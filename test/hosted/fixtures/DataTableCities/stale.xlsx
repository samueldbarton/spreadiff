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ula" sheetId="1" state="visible" r:id="rId3"/>
    <sheet name="Table" sheetId="2" state="visible" r:id="rId4"/>
    <sheet name="PivotTable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<sst xmlns="http://schemas.openxmlformats.org/spreadsheetml/2006/main" count="61" uniqueCount="38">
  <si>
    <t xml:space="preserve">Big City Average Location</t>
  </si>
  <si>
    <t xml:space="preserve">Latitude</t>
  </si>
  <si>
    <t xml:space="preserve">Longitude</t>
  </si>
  <si>
    <t xml:space="preserve">Source: https://en.wikipedia.org/wiki/World%27s_largest_cities</t>
  </si>
  <si>
    <t xml:space="preserve">Big Cities</t>
  </si>
  <si>
    <t xml:space="preserve">Small Cities</t>
  </si>
  <si>
    <t xml:space="preserve">City</t>
  </si>
  <si>
    <t xml:space="preserve">Population</t>
  </si>
  <si>
    <t xml:space="preserve">Shanghai, China</t>
  </si>
  <si>
    <t xml:space="preserve">Pyongyang, North Korea</t>
  </si>
  <si>
    <t xml:space="preserve">Karachi, Pakistan</t>
  </si>
  <si>
    <t xml:space="preserve">Buenos Aires, Argentina</t>
  </si>
  <si>
    <t xml:space="preserve">Beijing, China</t>
  </si>
  <si>
    <t xml:space="preserve">Seattle, Washington, USA</t>
  </si>
  <si>
    <t xml:space="preserve">São Paulo, Brazil</t>
  </si>
  <si>
    <t xml:space="preserve">Toronto, Canada</t>
  </si>
  <si>
    <t xml:space="preserve">Delhi, India</t>
  </si>
  <si>
    <t xml:space="preserve">Auckland, New Zealand</t>
  </si>
  <si>
    <t xml:space="preserve">Lagos, Nigeria</t>
  </si>
  <si>
    <t xml:space="preserve">Miami, Florida, USA</t>
  </si>
  <si>
    <t xml:space="preserve">Istanbul, Turkey</t>
  </si>
  <si>
    <t xml:space="preserve">Havana, Cuba</t>
  </si>
  <si>
    <t xml:space="preserve">Tokyo, Japan</t>
  </si>
  <si>
    <t xml:space="preserve">Fairbanks, Alaska, USA</t>
  </si>
  <si>
    <t xml:space="preserve">Mumbai, India</t>
  </si>
  <si>
    <t xml:space="preserve">Longyearbyen, Svalbard</t>
  </si>
  <si>
    <t xml:space="preserve">Moscow, Russia</t>
  </si>
  <si>
    <t xml:space="preserve">Johannesburg, South Africa</t>
  </si>
  <si>
    <t xml:space="preserve">Guangzhou, China</t>
  </si>
  <si>
    <t xml:space="preserve">Cancun, Mexico</t>
  </si>
  <si>
    <t xml:space="preserve">Shenzhen, China</t>
  </si>
  <si>
    <t xml:space="preserve">Oahu, Hawaii, USA</t>
  </si>
  <si>
    <t xml:space="preserve">Total</t>
  </si>
  <si>
    <t xml:space="preserve">Data</t>
  </si>
  <si>
    <t xml:space="preserve">Sum of Latitude</t>
  </si>
  <si>
    <t xml:space="preserve">Sum of Longitude</t>
  </si>
  <si>
    <t xml:space="preserve">Sum of Population</t>
  </si>
  <si>
    <t xml:space="preserve">Total Result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</si>
</sst>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°"/>
    <numFmt numFmtId="166" formatCode="_(* #,##0.00_);_(* \(#,##0.00\);_(* \-??_);_(@_)"/>
    <numFmt numFmtId="167" formatCode="_(* #,##0_);_(* \(#,##0\);_(* \-??_);_(@_)"/>
    <numFmt numFmtId="168" formatCode="0\°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9"/>
      <color rgb="FF595959"/>
      <name val="Calibri"/>
      <family val="2"/>
    </font>
    <font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Table!$C$1</c:f>
              <c:strCache>
                <c:ptCount val="1"/>
                <c:pt idx="0">
                  <c:v>Big Cities</c:v>
                </c:pt>
              </c:strCache>
            </c:strRef>
          </c:tx>
          <c:spPr>
            <a:solidFill>
              <a:srgbClr val="5b9bd5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Table!$E$3:$E$14</c:f>
              <c:numCache>
                <c:formatCode>0.00\°</c:formatCode>
                <c:ptCount val="12"/>
                <c:pt idx="0">
                  <c:v>121.5</c:v>
                </c:pt>
                <c:pt idx="1">
                  <c:v>67.01</c:v>
                </c:pt>
                <c:pt idx="2">
                  <c:v>116.4</c:v>
                </c:pt>
                <c:pt idx="3">
                  <c:v>-46.63</c:v>
                </c:pt>
                <c:pt idx="4">
                  <c:v>77.21</c:v>
                </c:pt>
                <c:pt idx="5">
                  <c:v>3.47</c:v>
                </c:pt>
                <c:pt idx="6">
                  <c:v>29</c:v>
                </c:pt>
                <c:pt idx="7">
                  <c:v>139.8</c:v>
                </c:pt>
                <c:pt idx="8">
                  <c:v>72.82</c:v>
                </c:pt>
                <c:pt idx="9">
                  <c:v>37.62</c:v>
                </c:pt>
                <c:pt idx="10">
                  <c:v>113.3</c:v>
                </c:pt>
                <c:pt idx="11">
                  <c:v>114.1</c:v>
                </c:pt>
              </c:numCache>
            </c:numRef>
          </c:xVal>
          <c:yVal>
            <c:numRef>
              <c:f>Table!$D$3:$D$14</c:f>
              <c:numCache>
                <c:formatCode>0.00\°</c:formatCode>
                <c:ptCount val="12"/>
                <c:pt idx="0">
                  <c:v>31.23</c:v>
                </c:pt>
                <c:pt idx="1">
                  <c:v>24.86</c:v>
                </c:pt>
                <c:pt idx="2">
                  <c:v>39.93</c:v>
                </c:pt>
                <c:pt idx="3">
                  <c:v>-23.53</c:v>
                </c:pt>
                <c:pt idx="4">
                  <c:v>28.67</c:v>
                </c:pt>
                <c:pt idx="5">
                  <c:v>6.45</c:v>
                </c:pt>
                <c:pt idx="6">
                  <c:v>41.1</c:v>
                </c:pt>
                <c:pt idx="7">
                  <c:v>35.67</c:v>
                </c:pt>
                <c:pt idx="8">
                  <c:v>18.96</c:v>
                </c:pt>
                <c:pt idx="9">
                  <c:v>55.75</c:v>
                </c:pt>
                <c:pt idx="10">
                  <c:v>23.12</c:v>
                </c:pt>
                <c:pt idx="11">
                  <c:v>22.55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Table!$I$1</c:f>
              <c:strCache>
                <c:ptCount val="1"/>
                <c:pt idx="0">
                  <c:v>Small Cities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Table!$K$3:$K$14</c:f>
              <c:numCache>
                <c:formatCode>0.00\°</c:formatCode>
                <c:ptCount val="12"/>
                <c:pt idx="0">
                  <c:v>125.74</c:v>
                </c:pt>
                <c:pt idx="1">
                  <c:v>-58.38</c:v>
                </c:pt>
                <c:pt idx="2">
                  <c:v>-122.33</c:v>
                </c:pt>
                <c:pt idx="3">
                  <c:v>-79.4</c:v>
                </c:pt>
                <c:pt idx="4">
                  <c:v>174.74</c:v>
                </c:pt>
                <c:pt idx="5">
                  <c:v>-80.21</c:v>
                </c:pt>
                <c:pt idx="6">
                  <c:v>-82.38</c:v>
                </c:pt>
                <c:pt idx="7">
                  <c:v>-147.72</c:v>
                </c:pt>
                <c:pt idx="8">
                  <c:v>15.55</c:v>
                </c:pt>
                <c:pt idx="9">
                  <c:v>28</c:v>
                </c:pt>
                <c:pt idx="10">
                  <c:v>-86.85</c:v>
                </c:pt>
                <c:pt idx="11">
                  <c:v>-157.98</c:v>
                </c:pt>
              </c:numCache>
            </c:numRef>
          </c:xVal>
          <c:yVal>
            <c:numRef>
              <c:f>Table!$J$3:$J$14</c:f>
              <c:numCache>
                <c:formatCode>0.00\°</c:formatCode>
                <c:ptCount val="12"/>
                <c:pt idx="0">
                  <c:v>39.02</c:v>
                </c:pt>
                <c:pt idx="1">
                  <c:v>-34.6</c:v>
                </c:pt>
                <c:pt idx="2">
                  <c:v>47.61</c:v>
                </c:pt>
                <c:pt idx="3">
                  <c:v>43.7</c:v>
                </c:pt>
                <c:pt idx="4">
                  <c:v>-36.84</c:v>
                </c:pt>
                <c:pt idx="5">
                  <c:v>25.78</c:v>
                </c:pt>
                <c:pt idx="6">
                  <c:v>23.13</c:v>
                </c:pt>
                <c:pt idx="7">
                  <c:v>64.84</c:v>
                </c:pt>
                <c:pt idx="8">
                  <c:v>78.22</c:v>
                </c:pt>
                <c:pt idx="9">
                  <c:v>-26.2</c:v>
                </c:pt>
                <c:pt idx="10">
                  <c:v>21.16</c:v>
                </c:pt>
                <c:pt idx="11">
                  <c:v>21.47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"Average Big City"</c:f>
              <c:strCache>
                <c:ptCount val="1"/>
                <c:pt idx="0">
                  <c:v>Average Big City</c:v>
                </c:pt>
              </c:strCache>
            </c:strRef>
          </c:tx>
          <c:spPr>
            <a:solidFill>
              <a:srgbClr val="a5a5a5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Formula!$B$5</c:f>
              <c:numCache>
                <c:formatCode>0.00\°</c:formatCode>
                <c:ptCount val="1"/>
                <c:pt idx="0">
                  <c:v>70.4666666666667</c:v>
                </c:pt>
              </c:numCache>
            </c:numRef>
          </c:xVal>
          <c:yVal>
            <c:numRef>
              <c:f>Formula!$A$5</c:f>
              <c:numCache>
                <c:formatCode>0.00\°</c:formatCode>
                <c:ptCount val="1"/>
                <c:pt idx="0">
                  <c:v>25.3966666666667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"Average Smaller City"</c:f>
              <c:strCache>
                <c:ptCount val="1"/>
                <c:pt idx="0">
                  <c:v>Average Smaller City</c:v>
                </c:pt>
              </c:strCache>
            </c:strRef>
          </c:tx>
          <c:spPr>
            <a:solidFill>
              <a:srgbClr val="ffc0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Formula!$B$9</c:f>
              <c:numCache>
                <c:formatCode>0.00\°</c:formatCode>
                <c:ptCount val="1"/>
                <c:pt idx="0">
                  <c:v>-39.2683333333333</c:v>
                </c:pt>
              </c:numCache>
            </c:numRef>
          </c:xVal>
          <c:yVal>
            <c:numRef>
              <c:f>Formula!$A$9</c:f>
              <c:numCache>
                <c:formatCode>0.00\°</c:formatCode>
                <c:ptCount val="1"/>
                <c:pt idx="0">
                  <c:v>22.2741666666667</c:v>
                </c:pt>
              </c:numCache>
            </c:numRef>
          </c:yVal>
          <c:smooth val="0"/>
        </c:ser>
        <c:axId val="36709978"/>
        <c:axId val="47078"/>
      </c:scatterChart>
      <c:valAx>
        <c:axId val="36709978"/>
        <c:scaling>
          <c:orientation val="minMax"/>
          <c:max val="180"/>
          <c:min val="-18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Longitude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°" sourceLinked="0"/>
        <c:majorTickMark val="none"/>
        <c:minorTickMark val="in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078"/>
        <c:crossesAt val="-180"/>
        <c:crossBetween val="midCat"/>
        <c:majorUnit val="60"/>
        <c:minorUnit val="10"/>
      </c:valAx>
      <c:valAx>
        <c:axId val="47078"/>
        <c:scaling>
          <c:orientation val="minMax"/>
          <c:max val="90"/>
          <c:min val="-9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Latitude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°" sourceLinked="0"/>
        <c:majorTickMark val="none"/>
        <c:minorTickMark val="in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709978"/>
        <c:crossesAt val="-180"/>
        <c:crossBetween val="midCat"/>
        <c:majorUnit val="30"/>
        <c:minorUnit val="1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12</xdr:row>
      <xdr:rowOff>133200</xdr:rowOff>
    </xdr:from>
    <xdr:to>
      <xdr:col>8</xdr:col>
      <xdr:colOff>37800</xdr:colOff>
      <xdr:row>27</xdr:row>
      <xdr:rowOff>18720</xdr:rowOff>
    </xdr:to>
    <xdr:graphicFrame>
      <xdr:nvGraphicFramePr>
        <xdr:cNvPr id="0" name="Chart 1"/>
        <xdr:cNvGraphicFramePr/>
      </xdr:nvGraphicFramePr>
      <xdr:xfrm>
        <a:off x="754560" y="2419200"/>
        <a:ext cx="4641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" createdVersion="3">
  <cacheSource type="worksheet">
    <worksheetSource ref="C2:F14" sheet="Table"/>
  </cacheSource>
  <cacheFields count="4">
    <cacheField name="City" numFmtId="0">
      <sharedItems count="12">
        <s v="Beijing, China"/>
        <s v="Delhi, India"/>
        <s v="Guangzhou, China"/>
        <s v="Istanbul, Turkey"/>
        <s v="Karachi, Pakistan"/>
        <s v="Lagos, Nigeria"/>
        <s v="Moscow, Russia"/>
        <s v="Mumbai, India"/>
        <s v="São Paulo, Brazil"/>
        <s v="Shanghai, China"/>
        <s v="Shenzhen, China"/>
        <s v="Tokyo, Japan"/>
      </sharedItems>
    </cacheField>
    <cacheField name="Latitude" numFmtId="0">
      <sharedItems containsSemiMixedTypes="0" containsString="0" containsNumber="1" minValue="-23.53" maxValue="55.75" count="12">
        <n v="-23.53"/>
        <n v="6.45"/>
        <n v="18.96"/>
        <n v="22.55"/>
        <n v="23.12"/>
        <n v="24.86"/>
        <n v="28.67"/>
        <n v="31.23"/>
        <n v="35.67"/>
        <n v="39.93"/>
        <n v="41.1"/>
        <n v="55.75"/>
      </sharedItems>
    </cacheField>
    <cacheField name="Longitude" numFmtId="0">
      <sharedItems containsSemiMixedTypes="0" containsString="0" containsNumber="1" minValue="-46.63" maxValue="139.8" count="12">
        <n v="-46.63"/>
        <n v="3.47"/>
        <n v="29"/>
        <n v="37.62"/>
        <n v="67.01"/>
        <n v="72.82"/>
        <n v="77.21"/>
        <n v="113.3"/>
        <n v="114.1"/>
        <n v="116.4"/>
        <n v="121.5"/>
        <n v="139.8"/>
      </sharedItems>
    </cacheField>
    <cacheField name="Population" numFmtId="0">
      <sharedItems containsSemiMixedTypes="0" containsString="0" containsNumber="1" containsInteger="1" minValue="10780000" maxValue="24256800" count="12">
        <n v="10780000"/>
        <n v="12081000"/>
        <n v="12198000"/>
        <n v="12478000"/>
        <n v="13298000"/>
        <n v="14657000"/>
        <n v="16060000"/>
        <n v="16788000"/>
        <n v="21292900"/>
        <n v="21516000"/>
        <n v="23500000"/>
        <n v="242568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9"/>
    <x v="7"/>
    <x v="10"/>
    <x v="11"/>
  </r>
  <r>
    <x v="4"/>
    <x v="5"/>
    <x v="4"/>
    <x v="10"/>
  </r>
  <r>
    <x v="0"/>
    <x v="9"/>
    <x v="9"/>
    <x v="9"/>
  </r>
  <r>
    <x v="8"/>
    <x v="0"/>
    <x v="0"/>
    <x v="8"/>
  </r>
  <r>
    <x v="1"/>
    <x v="6"/>
    <x v="6"/>
    <x v="7"/>
  </r>
  <r>
    <x v="5"/>
    <x v="1"/>
    <x v="1"/>
    <x v="6"/>
  </r>
  <r>
    <x v="3"/>
    <x v="10"/>
    <x v="2"/>
    <x v="5"/>
  </r>
  <r>
    <x v="11"/>
    <x v="8"/>
    <x v="11"/>
    <x v="4"/>
  </r>
  <r>
    <x v="7"/>
    <x v="2"/>
    <x v="5"/>
    <x v="3"/>
  </r>
  <r>
    <x v="6"/>
    <x v="11"/>
    <x v="3"/>
    <x v="2"/>
  </r>
  <r>
    <x v="2"/>
    <x v="4"/>
    <x v="7"/>
    <x v="1"/>
  </r>
  <r>
    <x v="10"/>
    <x v="3"/>
    <x v="8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5:E19" firstHeaderRow="1" firstDataRow="2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</pivotFields>
  <rowFields count="1">
    <field x="0"/>
  </rowFields>
  <colFields count="1">
    <field x="-2"/>
  </colFields>
  <dataFields count="3">
    <dataField name="Sum of Latitude" fld="1" subtotal="sum" numFmtId="165"/>
    <dataField name="Sum of Longitude" fld="2" subtotal="sum" numFmtId="165"/>
    <dataField name="Sum of Population" fld="3" subtotal="sum" numFmtId="167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BigCity" displayName="BigCity" ref="C2:F15" headerRowCount="1" totalsRowCount="1" totalsRowShown="1">
  <autoFilter ref="C2:F15"/>
  <tableColumns count="4">
    <tableColumn id="1" name="City"/>
    <tableColumn id="2" name="Latitude" totalsRowFunction="average"/>
    <tableColumn id="3" name="Longitude" totalsRowFunction="average"/>
    <tableColumn id="4" name="Population" totalsRowFunction="sum"/>
  </tableColumns>
</table>
</file>

<file path=xl/tables/table2.xml><?xml version="1.0" encoding="utf-8"?>
<table xmlns="http://schemas.openxmlformats.org/spreadsheetml/2006/main" id="2" name="SmallCity" displayName="SmallCity" ref="I2:L15" headerRowCount="1" totalsRowCount="1" totalsRowShown="1">
  <autoFilter ref="I2:L15"/>
  <tableColumns count="4">
    <tableColumn id="1" name="City"/>
    <tableColumn id="2" name="Latitude" totalsRowFunction="average"/>
    <tableColumn id="3" name="Longitude" totalsRowFunction="average"/>
    <tableColumn id="4" name="Population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5.29"/>
  </cols>
  <sheetData>
    <row r="3" customFormat="false" ht="15" hidden="false" customHeight="false" outlineLevel="0" collapsed="false">
      <c r="A3" s="0" t="s">
        <v>0</v>
      </c>
      <c r="D3" s="0" t="str">
        <f aca="false">"Total city proper population in world's "&amp;COUNTA(BigCity[City])&amp;" largest cities"</f>
        <v>Total city proper population in world's 12 largest cities</v>
      </c>
    </row>
    <row r="4" customFormat="false" ht="15" hidden="false" customHeight="false" outlineLevel="0" collapsed="false">
      <c r="A4" s="0" t="s">
        <v>1</v>
      </c>
      <c r="B4" s="0" t="s">
        <v>2</v>
      </c>
      <c r="D4" s="0" t="s">
        <v>3</v>
      </c>
    </row>
    <row r="5" customFormat="false" ht="15" hidden="false" customHeight="false" outlineLevel="0" collapsed="false">
      <c r="A5" s="1" t="n">
        <f aca="false">BigCity[[#Totals],[Latitude]]</f>
        <v>25.3966666666667</v>
      </c>
      <c r="B5" s="1" t="n">
        <f aca="false">BigCity[[#Totals],[Longitude]]</f>
        <v>70.4666666666667</v>
      </c>
      <c r="D5" s="2" t="n">
        <f aca="false">BigCity[[#Totals],[Population]]</f>
        <v>198905700</v>
      </c>
    </row>
    <row r="7" customFormat="false" ht="15" hidden="false" customHeight="false" outlineLevel="0" collapsed="false">
      <c r="A7" s="0" t="s">
        <v>0</v>
      </c>
      <c r="D7" s="0" t="str">
        <f aca="false">"Total city population in "&amp;COUNTA(BigCity[City])&amp;" random cities"</f>
        <v>Total city population in 12 random cities</v>
      </c>
    </row>
    <row r="8" customFormat="false" ht="15" hidden="false" customHeight="false" outlineLevel="0" collapsed="false">
      <c r="A8" s="0" t="s">
        <v>1</v>
      </c>
      <c r="B8" s="0" t="s">
        <v>2</v>
      </c>
    </row>
    <row r="9" customFormat="false" ht="15" hidden="false" customHeight="false" outlineLevel="0" collapsed="false">
      <c r="A9" s="1" t="n">
        <f aca="false">SmallCity[[#Totals],[Latitude]]</f>
        <v>22.2741666666667</v>
      </c>
      <c r="B9" s="1" t="n">
        <f aca="false">SmallCity[[#Totals],[Longitude]]</f>
        <v>-39.2683333333333</v>
      </c>
      <c r="D9" s="2" t="n">
        <f aca="false">SmallCity[[#Totals],[Population]]</f>
        <v>15322400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L1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0.42"/>
    <col collapsed="false" customWidth="true" hidden="false" outlineLevel="0" max="5" min="5" style="0" width="12"/>
    <col collapsed="false" customWidth="true" hidden="false" outlineLevel="0" max="6" min="6" style="0" width="15.29"/>
    <col collapsed="false" customWidth="true" hidden="false" outlineLevel="0" max="9" min="9" style="0" width="22.71"/>
    <col collapsed="false" customWidth="true" hidden="false" outlineLevel="0" max="10" min="10" style="0" width="10.42"/>
    <col collapsed="false" customWidth="true" hidden="false" outlineLevel="0" max="11" min="11" style="0" width="12"/>
    <col collapsed="false" customWidth="true" hidden="false" outlineLevel="0" max="12" min="12" style="0" width="12.86"/>
  </cols>
  <sheetData>
    <row r="1" customFormat="false" ht="15" hidden="false" customHeight="false" outlineLevel="0" collapsed="false">
      <c r="C1" s="0" t="s">
        <v>4</v>
      </c>
      <c r="I1" s="0" t="s">
        <v>5</v>
      </c>
    </row>
    <row r="2" customFormat="false" ht="15" hidden="false" customHeight="false" outlineLevel="0" collapsed="false">
      <c r="C2" s="3" t="s">
        <v>6</v>
      </c>
      <c r="D2" s="3" t="s">
        <v>1</v>
      </c>
      <c r="E2" s="3" t="s">
        <v>2</v>
      </c>
      <c r="F2" s="3" t="s">
        <v>7</v>
      </c>
      <c r="I2" s="3" t="s">
        <v>6</v>
      </c>
      <c r="J2" s="3" t="s">
        <v>1</v>
      </c>
      <c r="K2" s="3" t="s">
        <v>2</v>
      </c>
      <c r="L2" s="3" t="s">
        <v>7</v>
      </c>
    </row>
    <row r="3" customFormat="false" ht="15" hidden="false" customHeight="false" outlineLevel="0" collapsed="false">
      <c r="C3" s="0" t="s">
        <v>8</v>
      </c>
      <c r="D3" s="1" t="n">
        <v>31.23</v>
      </c>
      <c r="E3" s="1" t="n">
        <v>121.5</v>
      </c>
      <c r="F3" s="2" t="n">
        <v>24256800</v>
      </c>
      <c r="I3" s="3" t="s">
        <v>9</v>
      </c>
      <c r="J3" s="1" t="n">
        <v>39.02</v>
      </c>
      <c r="K3" s="1" t="n">
        <v>125.74</v>
      </c>
      <c r="L3" s="2" t="n">
        <v>2581000</v>
      </c>
    </row>
    <row r="4" customFormat="false" ht="15" hidden="false" customHeight="false" outlineLevel="0" collapsed="false">
      <c r="C4" s="0" t="s">
        <v>10</v>
      </c>
      <c r="D4" s="1" t="n">
        <v>24.86</v>
      </c>
      <c r="E4" s="1" t="n">
        <v>67.01</v>
      </c>
      <c r="F4" s="2" t="n">
        <v>23500000</v>
      </c>
      <c r="I4" s="3" t="s">
        <v>11</v>
      </c>
      <c r="J4" s="1" t="n">
        <v>-34.6</v>
      </c>
      <c r="K4" s="1" t="n">
        <v>-58.38</v>
      </c>
      <c r="L4" s="2" t="n">
        <v>2890000</v>
      </c>
    </row>
    <row r="5" customFormat="false" ht="15" hidden="false" customHeight="false" outlineLevel="0" collapsed="false">
      <c r="C5" s="0" t="s">
        <v>12</v>
      </c>
      <c r="D5" s="1" t="n">
        <v>39.93</v>
      </c>
      <c r="E5" s="1" t="n">
        <v>116.4</v>
      </c>
      <c r="F5" s="2" t="n">
        <v>21516000</v>
      </c>
      <c r="I5" s="3" t="s">
        <v>13</v>
      </c>
      <c r="J5" s="1" t="n">
        <v>47.61</v>
      </c>
      <c r="K5" s="1" t="n">
        <v>-122.33</v>
      </c>
      <c r="L5" s="2" t="n">
        <v>609000</v>
      </c>
    </row>
    <row r="6" customFormat="false" ht="15" hidden="false" customHeight="false" outlineLevel="0" collapsed="false">
      <c r="C6" s="0" t="s">
        <v>14</v>
      </c>
      <c r="D6" s="1" t="n">
        <v>-23.53</v>
      </c>
      <c r="E6" s="1" t="n">
        <v>-46.63</v>
      </c>
      <c r="F6" s="2" t="n">
        <v>21292900</v>
      </c>
      <c r="I6" s="3" t="s">
        <v>15</v>
      </c>
      <c r="J6" s="1" t="n">
        <v>43.7</v>
      </c>
      <c r="K6" s="1" t="n">
        <v>-79.4</v>
      </c>
      <c r="L6" s="2" t="n">
        <v>2615000</v>
      </c>
    </row>
    <row r="7" customFormat="false" ht="15" hidden="false" customHeight="false" outlineLevel="0" collapsed="false">
      <c r="C7" s="0" t="s">
        <v>16</v>
      </c>
      <c r="D7" s="1" t="n">
        <v>40.2779</v>
      </c>
      <c r="E7" s="1" t="n">
        <v>77.21</v>
      </c>
      <c r="F7" s="2" t="n">
        <v>16788000</v>
      </c>
      <c r="I7" s="3" t="s">
        <v>17</v>
      </c>
      <c r="J7" s="1" t="n">
        <v>-36.84</v>
      </c>
      <c r="K7" s="1" t="n">
        <v>174.74</v>
      </c>
      <c r="L7" s="2" t="n">
        <v>1454000</v>
      </c>
    </row>
    <row r="8" customFormat="false" ht="15" hidden="false" customHeight="false" outlineLevel="0" collapsed="false">
      <c r="C8" s="0" t="s">
        <v>18</v>
      </c>
      <c r="D8" s="1" t="n">
        <v>6.45</v>
      </c>
      <c r="E8" s="1" t="n">
        <v>3.47</v>
      </c>
      <c r="F8" s="2" t="n">
        <v>16060000</v>
      </c>
      <c r="I8" s="3" t="s">
        <v>19</v>
      </c>
      <c r="J8" s="1" t="n">
        <v>25.78</v>
      </c>
      <c r="K8" s="1" t="n">
        <v>-80.21</v>
      </c>
      <c r="L8" s="2" t="n">
        <v>400000</v>
      </c>
    </row>
    <row r="9" customFormat="false" ht="15" hidden="false" customHeight="false" outlineLevel="0" collapsed="false">
      <c r="C9" s="0" t="s">
        <v>20</v>
      </c>
      <c r="D9" s="1" t="n">
        <v>57.307</v>
      </c>
      <c r="E9" s="1" t="n">
        <v>29</v>
      </c>
      <c r="F9" s="2" t="n">
        <v>14657000</v>
      </c>
      <c r="I9" s="3" t="s">
        <v>21</v>
      </c>
      <c r="J9" s="1" t="n">
        <v>23.13</v>
      </c>
      <c r="K9" s="1" t="n">
        <v>-82.38</v>
      </c>
      <c r="L9" s="2" t="n">
        <v>2106000</v>
      </c>
    </row>
    <row r="10" customFormat="false" ht="15" hidden="false" customHeight="false" outlineLevel="0" collapsed="false">
      <c r="C10" s="0" t="s">
        <v>22</v>
      </c>
      <c r="D10" s="1" t="n">
        <v>35.67</v>
      </c>
      <c r="E10" s="1" t="n">
        <v>139.8</v>
      </c>
      <c r="F10" s="2" t="n">
        <v>13298000</v>
      </c>
      <c r="I10" s="3" t="s">
        <v>23</v>
      </c>
      <c r="J10" s="1" t="n">
        <v>64.84</v>
      </c>
      <c r="K10" s="1" t="n">
        <v>-147.72</v>
      </c>
      <c r="L10" s="2" t="n">
        <v>32000</v>
      </c>
    </row>
    <row r="11" customFormat="false" ht="15" hidden="false" customHeight="false" outlineLevel="0" collapsed="false">
      <c r="C11" s="0" t="s">
        <v>24</v>
      </c>
      <c r="D11" s="1" t="n">
        <v>18.96</v>
      </c>
      <c r="E11" s="1" t="n">
        <v>72.82</v>
      </c>
      <c r="F11" s="2" t="n">
        <v>12478000</v>
      </c>
      <c r="I11" s="3" t="s">
        <v>25</v>
      </c>
      <c r="J11" s="1" t="n">
        <v>78.22</v>
      </c>
      <c r="K11" s="1" t="n">
        <v>15.55</v>
      </c>
      <c r="L11" s="2" t="n">
        <v>2600</v>
      </c>
    </row>
    <row r="12" customFormat="false" ht="15" hidden="false" customHeight="false" outlineLevel="0" collapsed="false">
      <c r="C12" s="0" t="s">
        <v>26</v>
      </c>
      <c r="D12" s="1" t="n">
        <v>55.75</v>
      </c>
      <c r="E12" s="1" t="n">
        <v>37.62</v>
      </c>
      <c r="F12" s="2" t="n">
        <v>12198000</v>
      </c>
      <c r="I12" s="3" t="s">
        <v>27</v>
      </c>
      <c r="J12" s="1" t="n">
        <v>-26.2</v>
      </c>
      <c r="K12" s="1" t="n">
        <v>28</v>
      </c>
      <c r="L12" s="2" t="n">
        <v>957000</v>
      </c>
    </row>
    <row r="13" customFormat="false" ht="15" hidden="false" customHeight="false" outlineLevel="0" collapsed="false">
      <c r="C13" s="0" t="s">
        <v>28</v>
      </c>
      <c r="D13" s="1" t="n">
        <v>23.12</v>
      </c>
      <c r="E13" s="1" t="n">
        <v>113.3</v>
      </c>
      <c r="F13" s="2" t="n">
        <v>12081000</v>
      </c>
      <c r="I13" s="3" t="s">
        <v>29</v>
      </c>
      <c r="J13" s="1" t="n">
        <v>21.16</v>
      </c>
      <c r="K13" s="1" t="n">
        <v>-86.85</v>
      </c>
      <c r="L13" s="2" t="n">
        <v>722800</v>
      </c>
    </row>
    <row r="14" customFormat="false" ht="15" hidden="false" customHeight="false" outlineLevel="0" collapsed="false">
      <c r="C14" s="0" t="s">
        <v>30</v>
      </c>
      <c r="D14" s="1" t="n">
        <v>22.55</v>
      </c>
      <c r="E14" s="1" t="n">
        <v>157.317</v>
      </c>
      <c r="F14" s="2" t="n">
        <v>10780000</v>
      </c>
      <c r="I14" s="3" t="s">
        <v>31</v>
      </c>
      <c r="J14" s="1" t="n">
        <v>21.47</v>
      </c>
      <c r="K14" s="1" t="n">
        <v>-157.98</v>
      </c>
      <c r="L14" s="2" t="n">
        <v>953000</v>
      </c>
    </row>
    <row r="15" customFormat="false" ht="15" hidden="false" customHeight="false" outlineLevel="0" collapsed="false">
      <c r="C15" s="0" t="s">
        <v>32</v>
      </c>
      <c r="D15" s="1" t="n">
        <f aca="false">SUBTOTAL(101,BigCity[Latitude])</f>
        <v>25.3966666666667</v>
      </c>
      <c r="E15" s="1" t="n">
        <f aca="false">SUBTOTAL(101,BigCity[Longitude])</f>
        <v>70.4666666666667</v>
      </c>
      <c r="F15" s="2" t="n">
        <f aca="false">SUBTOTAL(109,BigCity[Population])</f>
        <v>198905700</v>
      </c>
      <c r="I15" s="3" t="s">
        <v>32</v>
      </c>
      <c r="J15" s="1" t="n">
        <f aca="false">SUBTOTAL(101,SmallCity[Latitude])</f>
        <v>22.2741666666667</v>
      </c>
      <c r="K15" s="1" t="n">
        <f aca="false">SUBTOTAL(101,SmallCity[Longitude])</f>
        <v>-39.2683333333333</v>
      </c>
      <c r="L15" s="2" t="n">
        <f aca="false">SUBTOTAL(109,SmallCity[Population])</f>
        <v>15322400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6.57"/>
    <col collapsed="false" customWidth="true" hidden="false" outlineLevel="0" max="37" min="5" style="0" width="17.57"/>
    <col collapsed="false" customWidth="true" hidden="false" outlineLevel="0" max="38" min="38" style="0" width="20"/>
    <col collapsed="false" customWidth="true" hidden="false" outlineLevel="0" max="39" min="39" style="0" width="21.71"/>
    <col collapsed="false" customWidth="true" hidden="false" outlineLevel="0" max="40" min="40" style="0" width="22.57"/>
  </cols>
  <sheetData>
    <row r="5" customFormat="false" ht="15" hidden="false" customHeight="false" outlineLevel="0" collapsed="false">
      <c r="B5" s="4"/>
      <c r="C5" s="5" t="s">
        <v>33</v>
      </c>
      <c r="D5" s="6"/>
      <c r="E5" s="7"/>
    </row>
    <row r="6" customFormat="false" ht="15" hidden="false" customHeight="false" outlineLevel="0" collapsed="false">
      <c r="B6" s="8" t="s">
        <v>6</v>
      </c>
      <c r="C6" s="9" t="s">
        <v>34</v>
      </c>
      <c r="D6" s="10" t="s">
        <v>35</v>
      </c>
      <c r="E6" s="11" t="s">
        <v>36</v>
      </c>
    </row>
    <row r="7" customFormat="false" ht="15" hidden="false" customHeight="false" outlineLevel="0" collapsed="false">
      <c r="B7" s="12" t="s">
        <v>12</v>
      </c>
      <c r="C7" s="13" t="n">
        <v>39.93</v>
      </c>
      <c r="D7" s="14" t="n">
        <v>116.4</v>
      </c>
      <c r="E7" s="15" t="n">
        <v>21516000</v>
      </c>
    </row>
    <row r="8" customFormat="false" ht="15" hidden="false" customHeight="false" outlineLevel="0" collapsed="false">
      <c r="B8" s="16" t="s">
        <v>16</v>
      </c>
      <c r="C8" s="17" t="n">
        <v>28.67</v>
      </c>
      <c r="D8" s="18" t="n">
        <v>77.21</v>
      </c>
      <c r="E8" s="19" t="n">
        <v>16788000</v>
      </c>
    </row>
    <row r="9" customFormat="false" ht="15" hidden="false" customHeight="false" outlineLevel="0" collapsed="false">
      <c r="B9" s="16" t="s">
        <v>28</v>
      </c>
      <c r="C9" s="17" t="n">
        <v>23.12</v>
      </c>
      <c r="D9" s="18" t="n">
        <v>113.3</v>
      </c>
      <c r="E9" s="19" t="n">
        <v>12081000</v>
      </c>
    </row>
    <row r="10" customFormat="false" ht="15" hidden="false" customHeight="false" outlineLevel="0" collapsed="false">
      <c r="B10" s="16" t="s">
        <v>20</v>
      </c>
      <c r="C10" s="17" t="n">
        <v>41.1</v>
      </c>
      <c r="D10" s="18" t="n">
        <v>29</v>
      </c>
      <c r="E10" s="19" t="n">
        <v>14657000</v>
      </c>
    </row>
    <row r="11" customFormat="false" ht="15" hidden="false" customHeight="false" outlineLevel="0" collapsed="false">
      <c r="B11" s="16" t="s">
        <v>10</v>
      </c>
      <c r="C11" s="17" t="n">
        <v>24.86</v>
      </c>
      <c r="D11" s="18" t="n">
        <v>67.01</v>
      </c>
      <c r="E11" s="19" t="n">
        <v>23500000</v>
      </c>
    </row>
    <row r="12" customFormat="false" ht="15" hidden="false" customHeight="false" outlineLevel="0" collapsed="false">
      <c r="B12" s="16" t="s">
        <v>18</v>
      </c>
      <c r="C12" s="17" t="n">
        <v>6.45</v>
      </c>
      <c r="D12" s="18" t="n">
        <v>3.47</v>
      </c>
      <c r="E12" s="19" t="n">
        <v>16060000</v>
      </c>
    </row>
    <row r="13" customFormat="false" ht="15" hidden="false" customHeight="false" outlineLevel="0" collapsed="false">
      <c r="B13" s="16" t="s">
        <v>26</v>
      </c>
      <c r="C13" s="17" t="n">
        <v>55.75</v>
      </c>
      <c r="D13" s="18" t="n">
        <v>37.62</v>
      </c>
      <c r="E13" s="19" t="n">
        <v>12198000</v>
      </c>
    </row>
    <row r="14" customFormat="false" ht="15" hidden="false" customHeight="false" outlineLevel="0" collapsed="false">
      <c r="B14" s="16" t="s">
        <v>24</v>
      </c>
      <c r="C14" s="17" t="n">
        <v>18.96</v>
      </c>
      <c r="D14" s="18" t="n">
        <v>72.82</v>
      </c>
      <c r="E14" s="19" t="n">
        <v>12478000</v>
      </c>
    </row>
    <row r="15" customFormat="false" ht="15" hidden="false" customHeight="false" outlineLevel="0" collapsed="false">
      <c r="B15" s="16" t="s">
        <v>14</v>
      </c>
      <c r="C15" s="17" t="n">
        <v>-23.53</v>
      </c>
      <c r="D15" s="18" t="n">
        <v>-46.63</v>
      </c>
      <c r="E15" s="19" t="n">
        <v>21292900</v>
      </c>
    </row>
    <row r="16" customFormat="false" ht="15" hidden="false" customHeight="false" outlineLevel="0" collapsed="false">
      <c r="B16" s="16" t="s">
        <v>8</v>
      </c>
      <c r="C16" s="17" t="n">
        <v>31.23</v>
      </c>
      <c r="D16" s="18" t="n">
        <v>121.5</v>
      </c>
      <c r="E16" s="19" t="n">
        <v>24256800</v>
      </c>
    </row>
    <row r="17" customFormat="false" ht="15" hidden="false" customHeight="false" outlineLevel="0" collapsed="false">
      <c r="B17" s="16" t="s">
        <v>30</v>
      </c>
      <c r="C17" s="17" t="n">
        <v>22.55</v>
      </c>
      <c r="D17" s="18" t="n">
        <v>114.1</v>
      </c>
      <c r="E17" s="19" t="n">
        <v>10780000</v>
      </c>
    </row>
    <row r="18" customFormat="false" ht="15" hidden="false" customHeight="false" outlineLevel="0" collapsed="false">
      <c r="B18" s="16" t="s">
        <v>22</v>
      </c>
      <c r="C18" s="20" t="n">
        <v>35.67</v>
      </c>
      <c r="D18" s="21" t="n">
        <v>139.8</v>
      </c>
      <c r="E18" s="22" t="n">
        <v>13298000</v>
      </c>
    </row>
    <row r="19" customFormat="false" ht="15" hidden="false" customHeight="false" outlineLevel="0" collapsed="false">
      <c r="B19" s="23" t="s">
        <v>37</v>
      </c>
      <c r="C19" s="24" t="n">
        <v>304.76</v>
      </c>
      <c r="D19" s="25" t="n">
        <v>845.6</v>
      </c>
      <c r="E19" s="26" t="n">
        <v>198905700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SSL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2016-06-10T22:50:51Z</dcterms:created>
  <dc:creator>Javen Foster-O'Neal</dc:creator>
  <dc:description/>
  <dc:language>en-US</dc:language>
  <cp:lastModifiedBy/>
  <dcterms:modified xsi:type="dcterms:W3CDTF">2026-10-23T18:24:44Z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