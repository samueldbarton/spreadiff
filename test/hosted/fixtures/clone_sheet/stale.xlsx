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rkusz1" sheetId="1" state="visible" r:id="rId3"/>
    <sheet name="Arkusz2" sheetId="2" state="visible" r:id="rId4"/>
    <sheet name="Arkusz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<sst xmlns="http://schemas.openxmlformats.org/spreadsheetml/2006/main" count="18" uniqueCount="17">
  <si>
    <t xml:space="preserve">higher level standard</t>
  </si>
  <si>
    <t xml:space="preserve">rate generator</t>
  </si>
  <si>
    <t xml:space="preserve">inductive transducer</t>
  </si>
  <si>
    <t xml:space="preserve">pneumatic I</t>
  </si>
  <si>
    <t xml:space="preserve">pneumatic II</t>
  </si>
  <si>
    <t xml:space="preserve">m</t>
  </si>
  <si>
    <t xml:space="preserve">n</t>
  </si>
  <si>
    <t xml:space="preserve">U</t>
  </si>
  <si>
    <t xml:space="preserve">n(r60)</t>
  </si>
  <si>
    <t xml:space="preserve">n®</t>
  </si>
  <si>
    <t xml:space="preserve">m(i)</t>
  </si>
  <si>
    <t xml:space="preserve">n(i)</t>
  </si>
  <si>
    <t xml:space="preserve">l</t>
  </si>
  <si>
    <t xml:space="preserve">dl</t>
  </si>
  <si>
    <t xml:space="preserve">p</t>
  </si>
  <si>
    <t xml:space="preserve">l1</t>
  </si>
  <si>
    <t xml:space="preserve">l2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</si>
</sst>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zcionka tekstu podstawowego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2"/>
    </font>
    <font>
      <sz val="10"/>
      <name val="Arial"/>
      <family val="2"/>
    </font>
    <font>
      <b val="true"/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DCE6F2"/>
      </patternFill>
    </fill>
    <fill>
      <patternFill patternType="solid">
        <fgColor rgb="FFB9CDE5"/>
        <bgColor rgb="FFCCC1DA"/>
      </patternFill>
    </fill>
    <fill>
      <patternFill patternType="solid">
        <fgColor rgb="FFDCE6F2"/>
        <bgColor rgb="FFD9D9D9"/>
      </patternFill>
    </fill>
    <fill>
      <patternFill patternType="solid">
        <fgColor rgb="FFCCC1DA"/>
        <bgColor rgb="FFB9CDE5"/>
      </patternFill>
    </fill>
    <fill>
      <patternFill patternType="solid">
        <fgColor rgb="FFD7E4BD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1DA"/>
      <rgbColor rgb="FF808080"/>
      <rgbColor rgb="FF9999FF"/>
      <rgbColor rgb="FF993366"/>
      <rgbColor rgb="FFFFFFCC"/>
      <rgbColor rgb="FFDCE6F2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D9D9D9"/>
      <rgbColor rgb="FF3366FF"/>
      <rgbColor rgb="FF33CCCC"/>
      <rgbColor rgb="FF99CC00"/>
      <rgbColor rgb="FFFFCC00"/>
      <rgbColor rgb="FFFF9900"/>
      <rgbColor rgb="FFFF6600"/>
      <rgbColor rgb="FF666699"/>
      <rgbColor rgb="FFB3B3B3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latin typeface="Arial"/>
              </a:defRPr>
            </a:pPr>
            <a:r>
              <a:rPr b="1" sz="1300" spc="-1" strike="noStrike">
                <a:latin typeface="Arial"/>
              </a:rPr>
              <a:t>Rate generator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Arkusz1!$D$4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rgbClr val="99ccff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Arkusz1!$D$5:$D$21</c:f>
              <c:numCache>
                <c:formatCode>General</c:formatCode>
                <c:ptCount val="17"/>
                <c:pt idx="0">
                  <c:v>0</c:v>
                </c:pt>
                <c:pt idx="1">
                  <c:v>3.5</c:v>
                </c:pt>
                <c:pt idx="2">
                  <c:v>10.275</c:v>
                </c:pt>
                <c:pt idx="3">
                  <c:v>15.1</c:v>
                </c:pt>
                <c:pt idx="4">
                  <c:v>20.2</c:v>
                </c:pt>
                <c:pt idx="5">
                  <c:v>25.25</c:v>
                </c:pt>
                <c:pt idx="6">
                  <c:v>30.1</c:v>
                </c:pt>
                <c:pt idx="7">
                  <c:v>37.85</c:v>
                </c:pt>
                <c:pt idx="8">
                  <c:v>45.875</c:v>
                </c:pt>
                <c:pt idx="9">
                  <c:v>38.3</c:v>
                </c:pt>
                <c:pt idx="10">
                  <c:v>31.375</c:v>
                </c:pt>
                <c:pt idx="11">
                  <c:v>24.47</c:v>
                </c:pt>
                <c:pt idx="12">
                  <c:v>17.05</c:v>
                </c:pt>
                <c:pt idx="13">
                  <c:v>11.175</c:v>
                </c:pt>
                <c:pt idx="14">
                  <c:v>7.25</c:v>
                </c:pt>
                <c:pt idx="15">
                  <c:v>3.4</c:v>
                </c:pt>
                <c:pt idx="16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Arkusz1!$H$4</c:f>
              <c:strCache>
                <c:ptCount val="1"/>
                <c:pt idx="0">
                  <c:v>n®</c:v>
                </c:pt>
              </c:strCache>
            </c:strRef>
          </c:tx>
          <c:spPr>
            <a:solidFill>
              <a:srgbClr val="99ccff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Arkusz1!$H$5:$H$21</c:f>
              <c:numCache>
                <c:formatCode>General</c:formatCode>
                <c:ptCount val="17"/>
                <c:pt idx="0">
                  <c:v>0</c:v>
                </c:pt>
                <c:pt idx="1">
                  <c:v>1.66666666666667</c:v>
                </c:pt>
                <c:pt idx="2">
                  <c:v>8.33333333333333</c:v>
                </c:pt>
                <c:pt idx="3">
                  <c:v>12.5</c:v>
                </c:pt>
                <c:pt idx="4">
                  <c:v>18.3333333333333</c:v>
                </c:pt>
                <c:pt idx="5">
                  <c:v>23.3333333333333</c:v>
                </c:pt>
                <c:pt idx="6">
                  <c:v>28.3333333333333</c:v>
                </c:pt>
                <c:pt idx="7">
                  <c:v>35</c:v>
                </c:pt>
                <c:pt idx="8">
                  <c:v>43.3333333333333</c:v>
                </c:pt>
                <c:pt idx="9">
                  <c:v>36.6666666666667</c:v>
                </c:pt>
                <c:pt idx="10">
                  <c:v>29.1666666666667</c:v>
                </c:pt>
                <c:pt idx="11">
                  <c:v>23.3333333333333</c:v>
                </c:pt>
                <c:pt idx="12">
                  <c:v>15</c:v>
                </c:pt>
                <c:pt idx="13">
                  <c:v>9.16666666666667</c:v>
                </c:pt>
                <c:pt idx="14">
                  <c:v>5.33333333333333</c:v>
                </c:pt>
                <c:pt idx="15">
                  <c:v>2</c:v>
                </c:pt>
                <c:pt idx="16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59590262"/>
        <c:axId val="65765501"/>
      </c:lineChart>
      <c:catAx>
        <c:axId val="595902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900" spc="-1" strike="noStrike">
                    <a:latin typeface="Arial"/>
                  </a:defRPr>
                </a:pPr>
                <a:r>
                  <a:rPr b="1" sz="900" spc="-1" strike="noStrike">
                    <a:latin typeface="Arial"/>
                  </a:rPr>
                  <a:t>Meaurement no.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5765501"/>
        <c:crossesAt val="0"/>
        <c:auto val="1"/>
        <c:lblAlgn val="ctr"/>
        <c:lblOffset val="100"/>
        <c:noMultiLvlLbl val="0"/>
      </c:catAx>
      <c:valAx>
        <c:axId val="6576550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900" spc="-1" strike="noStrike">
                    <a:latin typeface="Arial"/>
                  </a:defRPr>
                </a:pPr>
                <a:r>
                  <a:rPr b="1" sz="900" spc="-1" strike="noStrike">
                    <a:latin typeface="Arial"/>
                  </a:rPr>
                  <a:t>Frequency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9590262"/>
        <c:crossesAt val="0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latin typeface="Arial"/>
              </a:defRPr>
            </a:pPr>
            <a:r>
              <a:rPr b="1" sz="1300" spc="-1" strike="noStrike">
                <a:latin typeface="Arial"/>
              </a:rPr>
              <a:t>Inductive transducer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standard</c:f>
              <c:strCache>
                <c:ptCount val="1"/>
                <c:pt idx="0">
                  <c:v>standard</c:v>
                </c:pt>
              </c:strCache>
            </c:strRef>
          </c:tx>
          <c:spPr>
            <a:solidFill>
              <a:srgbClr val="99ccff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Arkusz1!$D$3</c:f>
              <c:strCache>
                <c:ptCount val="1"/>
                <c:pt idx="0">
                  <c:v/>
                </c:pt>
              </c:strCache>
            </c:strRef>
          </c:cat>
          <c:val>
            <c:numRef>
              <c:f>Arkusz1!$D$5:$D$21</c:f>
              <c:numCache>
                <c:formatCode>General</c:formatCode>
                <c:ptCount val="17"/>
                <c:pt idx="0">
                  <c:v>0</c:v>
                </c:pt>
                <c:pt idx="1">
                  <c:v>3.5</c:v>
                </c:pt>
                <c:pt idx="2">
                  <c:v>10.275</c:v>
                </c:pt>
                <c:pt idx="3">
                  <c:v>15.1</c:v>
                </c:pt>
                <c:pt idx="4">
                  <c:v>20.2</c:v>
                </c:pt>
                <c:pt idx="5">
                  <c:v>25.25</c:v>
                </c:pt>
                <c:pt idx="6">
                  <c:v>30.1</c:v>
                </c:pt>
                <c:pt idx="7">
                  <c:v>37.85</c:v>
                </c:pt>
                <c:pt idx="8">
                  <c:v>45.875</c:v>
                </c:pt>
                <c:pt idx="9">
                  <c:v>38.3</c:v>
                </c:pt>
                <c:pt idx="10">
                  <c:v>31.375</c:v>
                </c:pt>
                <c:pt idx="11">
                  <c:v>24.47</c:v>
                </c:pt>
                <c:pt idx="12">
                  <c:v>17.05</c:v>
                </c:pt>
                <c:pt idx="13">
                  <c:v>11.175</c:v>
                </c:pt>
                <c:pt idx="14">
                  <c:v>7.25</c:v>
                </c:pt>
                <c:pt idx="15">
                  <c:v>3.4</c:v>
                </c:pt>
                <c:pt idx="16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measurement</c:f>
              <c:strCache>
                <c:ptCount val="1"/>
                <c:pt idx="0">
                  <c:v>measurement</c:v>
                </c:pt>
              </c:strCache>
            </c:strRef>
          </c:tx>
          <c:spPr>
            <a:solidFill>
              <a:srgbClr val="99ccff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Arkusz1!$D$3</c:f>
              <c:strCache>
                <c:ptCount val="1"/>
                <c:pt idx="0">
                  <c:v/>
                </c:pt>
              </c:strCache>
            </c:strRef>
          </c:cat>
          <c:val>
            <c:numRef>
              <c:f>Arkusz1!$J$5:$J$21</c:f>
              <c:numCache>
                <c:formatCode>General</c:formatCode>
                <c:ptCount val="17"/>
                <c:pt idx="0">
                  <c:v>0</c:v>
                </c:pt>
                <c:pt idx="1">
                  <c:v>3.55</c:v>
                </c:pt>
                <c:pt idx="2">
                  <c:v>10.2833333333333</c:v>
                </c:pt>
                <c:pt idx="3">
                  <c:v>15.0833333333333</c:v>
                </c:pt>
                <c:pt idx="4">
                  <c:v>20.2333333333333</c:v>
                </c:pt>
                <c:pt idx="5">
                  <c:v>25.25</c:v>
                </c:pt>
                <c:pt idx="6">
                  <c:v>30.0833333333333</c:v>
                </c:pt>
                <c:pt idx="7">
                  <c:v>37.8333333333333</c:v>
                </c:pt>
                <c:pt idx="8">
                  <c:v>45.8833333333333</c:v>
                </c:pt>
                <c:pt idx="9">
                  <c:v>38.3333333333333</c:v>
                </c:pt>
                <c:pt idx="10">
                  <c:v>31.3833333333333</c:v>
                </c:pt>
                <c:pt idx="11">
                  <c:v>24.4666666666667</c:v>
                </c:pt>
                <c:pt idx="12">
                  <c:v>17.05</c:v>
                </c:pt>
                <c:pt idx="13">
                  <c:v>11.1666666666667</c:v>
                </c:pt>
                <c:pt idx="14">
                  <c:v>7.25</c:v>
                </c:pt>
                <c:pt idx="15">
                  <c:v>3.41666666666667</c:v>
                </c:pt>
                <c:pt idx="16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64341997"/>
        <c:axId val="34257539"/>
      </c:lineChart>
      <c:catAx>
        <c:axId val="6434199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900" spc="-1" strike="noStrike">
                    <a:latin typeface="Arial"/>
                  </a:defRPr>
                </a:pPr>
                <a:r>
                  <a:rPr b="1" sz="900" spc="-1" strike="noStrike">
                    <a:latin typeface="Arial"/>
                  </a:rPr>
                  <a:t>Measurement no.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4257539"/>
        <c:crossesAt val="0"/>
        <c:auto val="1"/>
        <c:lblAlgn val="ctr"/>
        <c:lblOffset val="100"/>
        <c:noMultiLvlLbl val="0"/>
      </c:catAx>
      <c:valAx>
        <c:axId val="3425753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900" spc="-1" strike="noStrike">
                    <a:latin typeface="Arial"/>
                  </a:defRPr>
                </a:pPr>
                <a:r>
                  <a:rPr b="1" sz="900" spc="-1" strike="noStrike">
                    <a:latin typeface="Arial"/>
                  </a:rPr>
                  <a:t>Measured frequency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4341997"/>
        <c:crossesAt val="0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solidFill>
            <a:srgbClr val="000000"/>
          </a:solidFill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19</xdr:col>
      <xdr:colOff>542520</xdr:colOff>
      <xdr:row>24</xdr:row>
      <xdr:rowOff>10080</xdr:rowOff>
    </xdr:from>
    <xdr:to>
      <xdr:col>28</xdr:col>
      <xdr:colOff>267840</xdr:colOff>
      <xdr:row>45</xdr:row>
      <xdr:rowOff>76320</xdr:rowOff>
    </xdr:to>
    <xdr:graphicFrame>
      <xdr:nvGraphicFramePr>
        <xdr:cNvPr id="0" name=""/>
        <xdr:cNvGraphicFramePr/>
      </xdr:nvGraphicFramePr>
      <xdr:xfrm>
        <a:off x="13408920" y="4353480"/>
        <a:ext cx="6754680" cy="3866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146880</xdr:colOff>
      <xdr:row>2</xdr:row>
      <xdr:rowOff>86040</xdr:rowOff>
    </xdr:from>
    <xdr:to>
      <xdr:col>28</xdr:col>
      <xdr:colOff>494280</xdr:colOff>
      <xdr:row>21</xdr:row>
      <xdr:rowOff>123840</xdr:rowOff>
    </xdr:to>
    <xdr:graphicFrame>
      <xdr:nvGraphicFramePr>
        <xdr:cNvPr id="1" name=""/>
        <xdr:cNvGraphicFramePr/>
      </xdr:nvGraphicFramePr>
      <xdr:xfrm>
        <a:off x="13794480" y="447840"/>
        <a:ext cx="6595560" cy="347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3:Q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41" activeCellId="0" sqref="J41"/>
    </sheetView>
  </sheetViews>
  <sheetFormatPr defaultColWidth="8.53125" defaultRowHeight="14.25" zeroHeight="false" outlineLevelRow="0" outlineLevelCol="0"/>
  <cols>
    <col collapsed="false" customWidth="true" hidden="false" outlineLevel="0" max="4" min="1" style="1" width="8.66"/>
    <col collapsed="false" customWidth="true" hidden="true" outlineLevel="0" max="5" min="5" style="1" width="9.01"/>
    <col collapsed="false" customWidth="true" hidden="false" outlineLevel="0" max="7" min="6" style="1" width="8.66"/>
    <col collapsed="false" customWidth="true" hidden="false" outlineLevel="0" max="8" min="8" style="1" width="6.25"/>
    <col collapsed="false" customWidth="true" hidden="false" outlineLevel="0" max="9" min="9" style="1" width="8.66"/>
    <col collapsed="false" customWidth="true" hidden="false" outlineLevel="0" max="10" min="10" style="1" width="6.51"/>
    <col collapsed="false" customWidth="true" hidden="true" outlineLevel="0" max="11" min="11" style="1" width="9.01"/>
    <col collapsed="false" customWidth="true" hidden="false" outlineLevel="0" max="1025" min="12" style="1" width="8.66"/>
  </cols>
  <sheetData>
    <row r="3" customFormat="false" ht="14.25" hidden="false" customHeight="true" outlineLevel="0" collapsed="false">
      <c r="C3" s="1" t="s">
        <v>0</v>
      </c>
      <c r="F3" s="1" t="s">
        <v>1</v>
      </c>
      <c r="I3" s="1" t="s">
        <v>2</v>
      </c>
      <c r="L3" s="1" t="s">
        <v>3</v>
      </c>
      <c r="O3" s="1" t="s">
        <v>4</v>
      </c>
    </row>
    <row r="4" customFormat="false" ht="14.25" hidden="false" customHeight="true" outlineLevel="0" collapsed="false">
      <c r="C4" s="2" t="s">
        <v>5</v>
      </c>
      <c r="D4" s="2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13</v>
      </c>
    </row>
    <row r="5" customFormat="false" ht="14.25" hidden="false" customHeight="true" outlineLevel="0" collapsed="false">
      <c r="C5" s="2" t="n">
        <v>0</v>
      </c>
      <c r="D5" s="2" t="n">
        <f aca="false">C5/20</f>
        <v>0</v>
      </c>
      <c r="F5" s="3" t="n">
        <v>0</v>
      </c>
      <c r="G5" s="3" t="n">
        <v>0</v>
      </c>
      <c r="H5" s="3" t="n">
        <f aca="false">G5/60</f>
        <v>0</v>
      </c>
      <c r="I5" s="4" t="n">
        <v>0</v>
      </c>
      <c r="J5" s="4" t="n">
        <f aca="false">I5/6</f>
        <v>0</v>
      </c>
      <c r="L5" s="5" t="n">
        <v>-4.3</v>
      </c>
      <c r="M5" s="5" t="n">
        <f aca="false">L5-(-4.3)</f>
        <v>0</v>
      </c>
      <c r="N5" s="5"/>
      <c r="O5" s="6" t="n">
        <v>0.1</v>
      </c>
      <c r="P5" s="6" t="n">
        <v>0.1</v>
      </c>
      <c r="Q5" s="6" t="n">
        <f aca="false">O5-P5</f>
        <v>0</v>
      </c>
    </row>
    <row r="6" customFormat="false" ht="14.25" hidden="false" customHeight="true" outlineLevel="0" collapsed="false">
      <c r="C6" s="2" t="n">
        <v>70</v>
      </c>
      <c r="D6" s="2" t="n">
        <f aca="false">C6/20</f>
        <v>3.5</v>
      </c>
      <c r="F6" s="3" t="n">
        <v>0.05</v>
      </c>
      <c r="G6" s="3" t="n">
        <v>100</v>
      </c>
      <c r="H6" s="3" t="n">
        <f aca="false">G6/60</f>
        <v>1.66666666666667</v>
      </c>
      <c r="I6" s="4" t="n">
        <v>21.3</v>
      </c>
      <c r="J6" s="4" t="n">
        <f aca="false">I6/6</f>
        <v>3.55</v>
      </c>
      <c r="L6" s="5" t="n">
        <v>-4.1</v>
      </c>
      <c r="M6" s="5" t="e">
        <f aca="false">L6-(-4,3)</f>
        <v>#VALUE!</v>
      </c>
      <c r="N6" s="5"/>
      <c r="O6" s="6" t="n">
        <v>10</v>
      </c>
      <c r="P6" s="6" t="n">
        <v>-9</v>
      </c>
      <c r="Q6" s="6" t="n">
        <f aca="false">O6-P6</f>
        <v>19</v>
      </c>
    </row>
    <row r="7" customFormat="false" ht="14.25" hidden="false" customHeight="true" outlineLevel="0" collapsed="false">
      <c r="C7" s="2" t="n">
        <v>205.5</v>
      </c>
      <c r="D7" s="2" t="n">
        <f aca="false">C7/20</f>
        <v>10.275</v>
      </c>
      <c r="F7" s="3" t="n">
        <v>3.99</v>
      </c>
      <c r="G7" s="3" t="n">
        <v>500</v>
      </c>
      <c r="H7" s="3" t="n">
        <f aca="false">G7/60</f>
        <v>8.33333333333333</v>
      </c>
      <c r="I7" s="4" t="n">
        <v>61.7</v>
      </c>
      <c r="J7" s="4" t="n">
        <f aca="false">I7/6</f>
        <v>10.2833333333333</v>
      </c>
      <c r="L7" s="5" t="n">
        <v>-3.5</v>
      </c>
      <c r="M7" s="5" t="e">
        <f aca="false">L7-(-4,3)</f>
        <v>#VALUE!</v>
      </c>
      <c r="N7" s="5"/>
      <c r="O7" s="6" t="n">
        <v>28</v>
      </c>
      <c r="P7" s="6" t="n">
        <v>-26</v>
      </c>
      <c r="Q7" s="6" t="n">
        <f aca="false">O7-P7</f>
        <v>54</v>
      </c>
    </row>
    <row r="8" customFormat="false" ht="14.25" hidden="false" customHeight="true" outlineLevel="0" collapsed="false">
      <c r="C8" s="2" t="n">
        <v>302</v>
      </c>
      <c r="D8" s="2" t="n">
        <f aca="false">C8/20</f>
        <v>15.1</v>
      </c>
      <c r="F8" s="3" t="n">
        <v>6.03</v>
      </c>
      <c r="G8" s="3" t="n">
        <v>750</v>
      </c>
      <c r="H8" s="3" t="n">
        <f aca="false">G8/60</f>
        <v>12.5</v>
      </c>
      <c r="I8" s="4" t="n">
        <v>90.5</v>
      </c>
      <c r="J8" s="4" t="n">
        <f aca="false">I8/6</f>
        <v>15.0833333333333</v>
      </c>
      <c r="L8" s="5" t="n">
        <v>-2.7</v>
      </c>
      <c r="M8" s="5" t="e">
        <f aca="false">L8-(-4,3)</f>
        <v>#VALUE!</v>
      </c>
      <c r="N8" s="5"/>
      <c r="O8" s="6" t="n">
        <v>39</v>
      </c>
      <c r="P8" s="6" t="n">
        <v>-38</v>
      </c>
      <c r="Q8" s="6" t="n">
        <f aca="false">O8-P8</f>
        <v>77</v>
      </c>
    </row>
    <row r="9" customFormat="false" ht="14.25" hidden="false" customHeight="true" outlineLevel="0" collapsed="false">
      <c r="C9" s="2" t="n">
        <v>404</v>
      </c>
      <c r="D9" s="2" t="n">
        <f aca="false">C9/20</f>
        <v>20.2</v>
      </c>
      <c r="F9" s="3" t="n">
        <v>8.12</v>
      </c>
      <c r="G9" s="3" t="n">
        <v>1100</v>
      </c>
      <c r="H9" s="3" t="n">
        <f aca="false">G9/60</f>
        <v>18.3333333333333</v>
      </c>
      <c r="I9" s="4" t="n">
        <v>121.4</v>
      </c>
      <c r="J9" s="4" t="n">
        <f aca="false">I9/6</f>
        <v>20.2333333333333</v>
      </c>
      <c r="L9" s="5" t="n">
        <v>-1.5</v>
      </c>
      <c r="M9" s="5" t="e">
        <f aca="false">L9-(-4,3)</f>
        <v>#VALUE!</v>
      </c>
      <c r="N9" s="5"/>
      <c r="O9" s="6" t="n">
        <v>39</v>
      </c>
      <c r="P9" s="6" t="n">
        <v>-38</v>
      </c>
      <c r="Q9" s="6" t="n">
        <f aca="false">O9-P9</f>
        <v>77</v>
      </c>
    </row>
    <row r="10" customFormat="false" ht="14.25" hidden="false" customHeight="true" outlineLevel="0" collapsed="false">
      <c r="C10" s="2" t="n">
        <v>505</v>
      </c>
      <c r="D10" s="2" t="n">
        <f aca="false">C10/20</f>
        <v>25.25</v>
      </c>
      <c r="F10" s="3" t="n">
        <v>10.15</v>
      </c>
      <c r="G10" s="3" t="n">
        <v>1400</v>
      </c>
      <c r="H10" s="3" t="n">
        <f aca="false">G10/60</f>
        <v>23.3333333333333</v>
      </c>
      <c r="I10" s="4" t="n">
        <v>151.5</v>
      </c>
      <c r="J10" s="4" t="n">
        <f aca="false">I10/6</f>
        <v>25.25</v>
      </c>
      <c r="L10" s="5" t="n">
        <v>0</v>
      </c>
      <c r="M10" s="5" t="e">
        <f aca="false">L10-(-4,3)</f>
        <v>#VALUE!</v>
      </c>
      <c r="N10" s="5"/>
      <c r="O10" s="6" t="n">
        <v>48</v>
      </c>
      <c r="P10" s="6" t="n">
        <v>-47</v>
      </c>
      <c r="Q10" s="6" t="n">
        <f aca="false">O10-P10</f>
        <v>95</v>
      </c>
    </row>
    <row r="11" customFormat="false" ht="14.25" hidden="false" customHeight="true" outlineLevel="0" collapsed="false">
      <c r="C11" s="2" t="n">
        <v>602</v>
      </c>
      <c r="D11" s="2" t="n">
        <f aca="false">C11/20</f>
        <v>30.1</v>
      </c>
      <c r="F11" s="3" t="n">
        <v>12.08</v>
      </c>
      <c r="G11" s="3" t="n">
        <v>1700</v>
      </c>
      <c r="H11" s="3" t="n">
        <f aca="false">G11/60</f>
        <v>28.3333333333333</v>
      </c>
      <c r="I11" s="4" t="n">
        <v>180.5</v>
      </c>
      <c r="J11" s="4" t="n">
        <f aca="false">I11/6</f>
        <v>30.0833333333333</v>
      </c>
      <c r="L11" s="5" t="n">
        <v>2.3</v>
      </c>
      <c r="M11" s="5" t="e">
        <f aca="false">L11-(-4,3)</f>
        <v>#VALUE!</v>
      </c>
      <c r="N11" s="5"/>
      <c r="O11" s="6" t="n">
        <v>59</v>
      </c>
      <c r="P11" s="6" t="n">
        <v>-57</v>
      </c>
      <c r="Q11" s="6" t="n">
        <f aca="false">O11-P11</f>
        <v>116</v>
      </c>
    </row>
    <row r="12" customFormat="false" ht="14.25" hidden="false" customHeight="true" outlineLevel="0" collapsed="false">
      <c r="C12" s="2" t="n">
        <v>757</v>
      </c>
      <c r="D12" s="2" t="n">
        <f aca="false">C12/20</f>
        <v>37.85</v>
      </c>
      <c r="F12" s="3" t="n">
        <v>15.2</v>
      </c>
      <c r="G12" s="3" t="n">
        <v>2100</v>
      </c>
      <c r="H12" s="3" t="n">
        <f aca="false">G12/60</f>
        <v>35</v>
      </c>
      <c r="I12" s="4" t="n">
        <v>227</v>
      </c>
      <c r="J12" s="4" t="n">
        <f aca="false">I12/6</f>
        <v>37.8333333333333</v>
      </c>
      <c r="L12" s="5" t="n">
        <v>6.1</v>
      </c>
      <c r="M12" s="5" t="e">
        <f aca="false">L12-(-4,3)</f>
        <v>#VALUE!</v>
      </c>
      <c r="N12" s="5"/>
      <c r="O12" s="6" t="n">
        <v>75</v>
      </c>
      <c r="P12" s="6" t="n">
        <v>-72</v>
      </c>
      <c r="Q12" s="6" t="n">
        <f aca="false">O12-P12</f>
        <v>147</v>
      </c>
    </row>
    <row r="13" customFormat="false" ht="14.25" hidden="false" customHeight="true" outlineLevel="0" collapsed="false">
      <c r="C13" s="2" t="n">
        <v>917.5</v>
      </c>
      <c r="D13" s="2" t="n">
        <f aca="false">C13/20</f>
        <v>45.875</v>
      </c>
      <c r="F13" s="3" t="n">
        <v>18.4</v>
      </c>
      <c r="G13" s="3" t="n">
        <v>2600</v>
      </c>
      <c r="H13" s="3" t="n">
        <f aca="false">G13/60</f>
        <v>43.3333333333333</v>
      </c>
      <c r="I13" s="4" t="n">
        <v>275.3</v>
      </c>
      <c r="J13" s="4" t="n">
        <f aca="false">I13/6</f>
        <v>45.8833333333333</v>
      </c>
      <c r="L13" s="5" t="n">
        <v>11</v>
      </c>
      <c r="M13" s="5" t="e">
        <f aca="false">L13-(-4,3)</f>
        <v>#VALUE!</v>
      </c>
      <c r="N13" s="5"/>
      <c r="O13" s="6" t="n">
        <v>90</v>
      </c>
      <c r="P13" s="6" t="n">
        <v>-88</v>
      </c>
      <c r="Q13" s="6" t="n">
        <f aca="false">O13-P13</f>
        <v>178</v>
      </c>
    </row>
    <row r="14" customFormat="false" ht="14.25" hidden="false" customHeight="true" outlineLevel="0" collapsed="false">
      <c r="C14" s="2" t="n">
        <v>1050.42</v>
      </c>
      <c r="D14" s="2" t="n">
        <f aca="false">C14/20</f>
        <v>38.3</v>
      </c>
      <c r="F14" s="3" t="n">
        <v>15.35</v>
      </c>
      <c r="G14" s="3" t="n">
        <v>2200</v>
      </c>
      <c r="H14" s="3" t="n">
        <f aca="false">G14/60</f>
        <v>36.6666666666667</v>
      </c>
      <c r="I14" s="4" t="n">
        <v>230</v>
      </c>
      <c r="J14" s="4" t="n">
        <f aca="false">I14/6</f>
        <v>38.3333333333333</v>
      </c>
      <c r="L14" s="5" t="n">
        <v>6.5</v>
      </c>
      <c r="M14" s="5" t="e">
        <f aca="false">L14-(-4,3)</f>
        <v>#VALUE!</v>
      </c>
      <c r="N14" s="5"/>
      <c r="O14" s="6" t="n">
        <v>76</v>
      </c>
      <c r="P14" s="6" t="n">
        <v>-74</v>
      </c>
      <c r="Q14" s="6" t="n">
        <f aca="false">O14-P14</f>
        <v>150</v>
      </c>
    </row>
    <row r="15" customFormat="false" ht="14.25" hidden="false" customHeight="true" outlineLevel="0" collapsed="false">
      <c r="C15" s="2" t="n">
        <v>627.5</v>
      </c>
      <c r="D15" s="2" t="n">
        <f aca="false">C15/20</f>
        <v>31.375</v>
      </c>
      <c r="F15" s="3" t="n">
        <v>12.56</v>
      </c>
      <c r="G15" s="3" t="n">
        <v>1750</v>
      </c>
      <c r="H15" s="3" t="n">
        <f aca="false">G15/60</f>
        <v>29.1666666666667</v>
      </c>
      <c r="I15" s="4" t="n">
        <v>188.3</v>
      </c>
      <c r="J15" s="4" t="n">
        <f aca="false">I15/6</f>
        <v>31.3833333333333</v>
      </c>
      <c r="L15" s="5" t="n">
        <v>3</v>
      </c>
      <c r="M15" s="5" t="e">
        <f aca="false">L15-(-4,3)</f>
        <v>#VALUE!</v>
      </c>
      <c r="N15" s="5"/>
      <c r="O15" s="6" t="n">
        <v>61</v>
      </c>
      <c r="P15" s="6" t="n">
        <v>-60</v>
      </c>
      <c r="Q15" s="6" t="n">
        <f aca="false">O15-P15</f>
        <v>121</v>
      </c>
    </row>
    <row r="16" customFormat="false" ht="14.25" hidden="false" customHeight="true" outlineLevel="0" collapsed="false">
      <c r="C16" s="2" t="n">
        <v>489.4</v>
      </c>
      <c r="D16" s="2" t="n">
        <f aca="false">C16/20</f>
        <v>24.47</v>
      </c>
      <c r="F16" s="3" t="n">
        <v>9.8</v>
      </c>
      <c r="G16" s="3" t="n">
        <v>1400</v>
      </c>
      <c r="H16" s="3" t="n">
        <f aca="false">G16/60</f>
        <v>23.3333333333333</v>
      </c>
      <c r="I16" s="4" t="n">
        <v>202.116</v>
      </c>
      <c r="J16" s="4" t="n">
        <f aca="false">I16/6</f>
        <v>24.4666666666667</v>
      </c>
      <c r="L16" s="5" t="n">
        <v>0.5</v>
      </c>
      <c r="M16" s="5" t="e">
        <f aca="false">L16-(-4,3)</f>
        <v>#VALUE!</v>
      </c>
      <c r="N16" s="5"/>
      <c r="O16" s="6" t="n">
        <v>48</v>
      </c>
      <c r="P16" s="6" t="n">
        <v>-46</v>
      </c>
      <c r="Q16" s="6" t="n">
        <f aca="false">O16-P16</f>
        <v>94</v>
      </c>
    </row>
    <row r="17" customFormat="false" ht="14.25" hidden="false" customHeight="true" outlineLevel="0" collapsed="false">
      <c r="C17" s="2" t="n">
        <v>341</v>
      </c>
      <c r="D17" s="2" t="n">
        <f aca="false">C17/20</f>
        <v>17.05</v>
      </c>
      <c r="F17" s="3" t="n">
        <v>6.85</v>
      </c>
      <c r="G17" s="3" t="n">
        <v>900</v>
      </c>
      <c r="H17" s="3" t="n">
        <f aca="false">G17/60</f>
        <v>15</v>
      </c>
      <c r="I17" s="4" t="n">
        <v>102.3</v>
      </c>
      <c r="J17" s="4" t="n">
        <f aca="false">I17/6</f>
        <v>17.05</v>
      </c>
      <c r="L17" s="5" t="n">
        <v>-2</v>
      </c>
      <c r="M17" s="5" t="e">
        <f aca="false">L17-(-4,3)</f>
        <v>#VALUE!</v>
      </c>
      <c r="N17" s="5"/>
      <c r="O17" s="6" t="n">
        <v>34</v>
      </c>
      <c r="P17" s="6" t="n">
        <v>-32</v>
      </c>
      <c r="Q17" s="6" t="n">
        <f aca="false">O17-P17</f>
        <v>66</v>
      </c>
    </row>
    <row r="18" customFormat="false" ht="14.25" hidden="false" customHeight="true" outlineLevel="0" collapsed="false">
      <c r="C18" s="2" t="n">
        <v>223.5</v>
      </c>
      <c r="D18" s="2" t="n">
        <f aca="false">C18/20</f>
        <v>11.175</v>
      </c>
      <c r="F18" s="3" t="n">
        <v>4.4</v>
      </c>
      <c r="G18" s="3" t="n">
        <v>550</v>
      </c>
      <c r="H18" s="3" t="n">
        <f aca="false">G18/60</f>
        <v>9.16666666666667</v>
      </c>
      <c r="I18" s="4" t="n">
        <v>67</v>
      </c>
      <c r="J18" s="4" t="n">
        <f aca="false">I18/6</f>
        <v>11.1666666666667</v>
      </c>
      <c r="L18" s="5" t="n">
        <v>-3</v>
      </c>
      <c r="M18" s="5" t="e">
        <f aca="false">L18-(-4,3)</f>
        <v>#VALUE!</v>
      </c>
      <c r="N18" s="5"/>
      <c r="O18" s="6" t="n">
        <v>31.14</v>
      </c>
      <c r="P18" s="6" t="n">
        <v>-21</v>
      </c>
      <c r="Q18" s="6" t="n">
        <f aca="false">O18-P18</f>
        <v>43</v>
      </c>
    </row>
    <row r="19" customFormat="false" ht="14.25" hidden="false" customHeight="true" outlineLevel="0" collapsed="false">
      <c r="C19" s="2" t="n">
        <v>145</v>
      </c>
      <c r="D19" s="2" t="n">
        <f aca="false">C19/20</f>
        <v>7.25</v>
      </c>
      <c r="F19" s="3" t="n">
        <v>2.35</v>
      </c>
      <c r="G19" s="3" t="n">
        <v>320</v>
      </c>
      <c r="H19" s="3" t="n">
        <f aca="false">G19/60</f>
        <v>5.33333333333333</v>
      </c>
      <c r="I19" s="4" t="n">
        <v>43.5</v>
      </c>
      <c r="J19" s="4" t="n">
        <f aca="false">I19/6</f>
        <v>7.25</v>
      </c>
      <c r="L19" s="5" t="n">
        <v>-3.5</v>
      </c>
      <c r="M19" s="5" t="e">
        <f aca="false">L19-(-4,3)</f>
        <v>#VALUE!</v>
      </c>
      <c r="N19" s="5"/>
      <c r="O19" s="6" t="n">
        <v>19</v>
      </c>
      <c r="P19" s="6" t="n">
        <v>-18</v>
      </c>
      <c r="Q19" s="6" t="n">
        <f aca="false">O19-P19</f>
        <v>37</v>
      </c>
    </row>
    <row r="20" customFormat="false" ht="14.25" hidden="false" customHeight="true" outlineLevel="0" collapsed="false">
      <c r="C20" s="2" t="n">
        <v>68</v>
      </c>
      <c r="D20" s="2" t="n">
        <f aca="false">C20/20</f>
        <v>3.4</v>
      </c>
      <c r="F20" s="3" t="n">
        <v>0.04</v>
      </c>
      <c r="G20" s="3" t="n">
        <v>120</v>
      </c>
      <c r="H20" s="3" t="n">
        <f aca="false">G20/60</f>
        <v>2</v>
      </c>
      <c r="I20" s="4" t="n">
        <v>20.5</v>
      </c>
      <c r="J20" s="4" t="n">
        <f aca="false">I20/6</f>
        <v>3.41666666666667</v>
      </c>
      <c r="L20" s="5" t="n">
        <v>-4</v>
      </c>
      <c r="M20" s="5" t="e">
        <f aca="false">L20-(-4,3)</f>
        <v>#VALUE!</v>
      </c>
      <c r="N20" s="5"/>
      <c r="O20" s="6" t="n">
        <v>10</v>
      </c>
      <c r="P20" s="6" t="n">
        <v>-8</v>
      </c>
      <c r="Q20" s="6" t="n">
        <f aca="false">O20-P20</f>
        <v>18</v>
      </c>
    </row>
    <row r="21" customFormat="false" ht="14.25" hidden="false" customHeight="true" outlineLevel="0" collapsed="false">
      <c r="C21" s="2" t="n">
        <v>0</v>
      </c>
      <c r="D21" s="2" t="n">
        <f aca="false">C21/20</f>
        <v>0</v>
      </c>
      <c r="F21" s="3" t="n">
        <v>0</v>
      </c>
      <c r="G21" s="3" t="n">
        <v>0</v>
      </c>
      <c r="H21" s="3" t="n">
        <f aca="false">G21/60</f>
        <v>0</v>
      </c>
      <c r="I21" s="4" t="n">
        <v>0</v>
      </c>
      <c r="J21" s="4" t="n">
        <f aca="false">I21/6</f>
        <v>0</v>
      </c>
      <c r="L21" s="5" t="n">
        <v>-4</v>
      </c>
      <c r="M21" s="5" t="e">
        <f aca="false">L21-(-4,3)</f>
        <v>#VALUE!</v>
      </c>
      <c r="N21" s="5"/>
      <c r="O21" s="6" t="n">
        <v>0.1</v>
      </c>
      <c r="P21" s="6" t="n">
        <v>0.1</v>
      </c>
      <c r="Q21" s="6" t="n">
        <f aca="false">O21-P21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125" defaultRowHeight="14.25" zeroHeight="false" outlineLevelRow="0" outlineLevelCol="0"/>
  <cols>
    <col collapsed="false" customWidth="true" hidden="false" outlineLevel="0" max="1025" min="1" style="1" width="8.66"/>
  </cols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125" defaultRowHeight="14.25" zeroHeight="false" outlineLevelRow="0" outlineLevelCol="0"/>
  <cols>
    <col collapsed="false" customWidth="true" hidden="false" outlineLevel="0" max="1025" min="1" style="1" width="8.66"/>
  </cols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2013-03-10T13:01:22Z</dcterms:created>
  <dc:creator>USER</dc:creator>
  <dc:description/>
  <dc:language>en-US</dc:language>
  <cp:lastModifiedBy/>
  <dcterms:modified xsi:type="dcterms:W3CDTF">2026-10-23T18:25:07Z</dcterms:modified>
  <cp:revision>1</cp:revision>
  <dc:subject/>
  <dc:title/>
</cp:coreProperties>
</file>