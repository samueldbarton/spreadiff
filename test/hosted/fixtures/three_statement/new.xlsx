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come" sheetId="2" state="visible" r:id="rId4"/>
    <sheet name="Cash" sheetId="3" state="visible" r:id="rId5"/>
    <sheet name="Summary" sheetId="4" state="visible" r:id="rId6"/>
  </sheets>
  <definedNames>
    <definedName function="false" hidden="false" name="Growth" vbProcedure="false">Assumptions!$B$2</definedName>
    <definedName function="false" hidden="false" name="TaxRate" vbProcedure="false">Assumptions!$B$5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<sst xmlns="http://schemas.openxmlformats.org/spreadsheetml/2006/main" count="35" uniqueCount="32">
  <si>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Driver</t>
  </si>
  <si>
    <t xml:space="preserve">Value</t>
  </si>
  <si>
    <t xml:space="preserve">Revenue growth</t>
  </si>
  <si>
    <t xml:space="preserve">Gross margin</t>
  </si>
  <si>
    <t xml:space="preserve">Opex % revenue</t>
  </si>
  <si>
    <t xml:space="preserve">Tax rate</t>
  </si>
  <si>
    <t xml:space="preserve">Capex % revenue</t>
  </si>
  <si>
    <t xml:space="preserve">Depreciation years</t>
  </si>
  <si>
    <t xml:space="preserve">DSO days</t>
  </si>
  <si>
    <t xml:space="preserve">Base revenue</t>
  </si>
  <si>
    <t xml:space="preserve">Line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</si>
  <si>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</si>
  <si>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</si>
  <si>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</si>
  <si>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</si>
  <si>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</si>
  <si>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Depreciation</t>
  </si>
  <si>
    <t xml:space="preserve">EBIT</t>
  </si>
  <si>
    <t xml:space="preserve">Tax</t>
  </si>
  <si>
    <t xml:space="preserve">Net income</t>
  </si>
  <si>
    <t xml:space="preserve">Capex</t>
  </si>
  <si>
    <t xml:space="preserve">Receivables</t>
  </si>
  <si>
    <t xml:space="preserve">Change in AR</t>
  </si>
  <si>
    <t xml:space="preserve">Free cash flow</t>
  </si>
  <si>
    <t xml:space="preserve">Cumulative FCF</t>
  </si>
  <si>
    <t xml:space="preserve">Metric</t>
  </si>
  <si>
    <t xml:space="preserve">Total revenue</t>
  </si>
  <si>
    <t xml:space="preserve">Total net income</t>
  </si>
  <si>
    <t xml:space="preserve">Avg net margin</t>
  </si>
  <si>
    <t xml:space="preserve">Ending cash</t>
  </si>
  <si>
    <t xml:space="preserve">Payback year</t>
  </si>
  <si>
    <t xml:space="preserve">Margin flag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</si>
</sst>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0.1</v>
      </c>
    </row>
    <row r="3" customFormat="false" ht="15" hidden="false" customHeight="false" outlineLevel="0" collapsed="false">
      <c r="A3" s="1" t="s">
        <v>3</v>
      </c>
      <c r="B3" s="1" t="n">
        <v>0.42</v>
      </c>
    </row>
    <row r="4" customFormat="false" ht="15" hidden="false" customHeight="false" outlineLevel="0" collapsed="false">
      <c r="A4" s="1" t="s">
        <v>4</v>
      </c>
      <c r="B4" s="1" t="n">
        <v>0.21</v>
      </c>
    </row>
    <row r="5" customFormat="false" ht="15" hidden="false" customHeight="false" outlineLevel="0" collapsed="false">
      <c r="A5" s="1" t="s">
        <v>5</v>
      </c>
      <c r="B5" s="1" t="n">
        <v>0.27</v>
      </c>
    </row>
    <row r="6" customFormat="false" ht="15" hidden="false" customHeight="false" outlineLevel="0" collapsed="false">
      <c r="A6" s="1" t="s">
        <v>6</v>
      </c>
      <c r="B6" s="1" t="n">
        <v>0.05</v>
      </c>
    </row>
    <row r="7" customFormat="false" ht="15" hidden="false" customHeight="false" outlineLevel="0" collapsed="false">
      <c r="A7" s="1" t="s">
        <v>7</v>
      </c>
      <c r="B7" s="1" t="n">
        <v>7</v>
      </c>
    </row>
    <row r="8" customFormat="false" ht="15" hidden="false" customHeight="false" outlineLevel="0" collapsed="false">
      <c r="A8" s="1" t="s">
        <v>8</v>
      </c>
      <c r="B8" s="1" t="n">
        <v>50</v>
      </c>
    </row>
    <row r="9" customFormat="false" ht="15" hidden="false" customHeight="false" outlineLevel="0" collapsed="false">
      <c r="A9" s="1" t="s">
        <v>9</v>
      </c>
      <c r="B9" s="1" t="n">
        <v>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10</v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</row>
    <row r="2" customFormat="false" ht="15" hidden="false" customHeight="false" outlineLevel="0" collapsed="false">
      <c r="A2" s="1" t="s">
        <v>11</v>
      </c>
      <c r="B2" s="1" t="n">
        <f aca="false">Assumptions!$B$9</f>
        <v>120000</v>
      </c>
      <c r="C2" s="1" t="n">
        <f aca="false">B2*(1+Growth)</f>
        <v>132000</v>
      </c>
      <c r="D2" s="1" t="n">
        <f aca="false">C2*(1+Growth)</f>
        <v>145200</v>
      </c>
      <c r="E2" s="1" t="n">
        <f aca="false">D2*(1+Growth)</f>
        <v>159720</v>
      </c>
      <c r="F2" s="1" t="n">
        <f aca="false">E2*(1+Growth)</f>
        <v>175692</v>
      </c>
      <c r="G2" s="1" t="n">
        <f aca="false">F2*(1+Growth)</f>
        <v>193261.2</v>
      </c>
      <c r="H2" s="1" t="n">
        <f aca="false">G2*(1+Growth)</f>
        <v>212587.32</v>
      </c>
      <c r="I2" s="1" t="n">
        <f aca="false">H2*(1+Growth)</f>
        <v>233846.052</v>
      </c>
      <c r="J2" s="1" t="n">
        <f aca="false">I2*(1+Growth)</f>
        <v>257230.6572</v>
      </c>
      <c r="K2" s="1" t="n">
        <f aca="false">J2*(1+Growth)</f>
        <v>282953.72292</v>
      </c>
    </row>
    <row r="3" customFormat="false" ht="15" hidden="false" customHeight="false" outlineLevel="0" collapsed="false">
      <c r="A3" s="1" t="s">
        <v>12</v>
      </c>
      <c r="B3" s="1" t="n">
        <f aca="false">-B2*(1-Assumptions!$B$3)</f>
        <v>-69600</v>
      </c>
      <c r="C3" s="1" t="n">
        <f aca="false">-C2*(1-Assumptions!$B$3)</f>
        <v>-76560</v>
      </c>
      <c r="D3" s="1" t="n">
        <f aca="false">-D2*(1-Assumptions!$B$3)</f>
        <v>-84216</v>
      </c>
      <c r="E3" s="1" t="n">
        <f aca="false">-E2*(1-Assumptions!$B$3)</f>
        <v>-92637.6</v>
      </c>
      <c r="F3" s="1" t="n">
        <f aca="false">-F2*(1-Assumptions!$B$3)</f>
        <v>-101901.36</v>
      </c>
      <c r="G3" s="1" t="n">
        <f aca="false">-G2*(1-Assumptions!$B$3)</f>
        <v>-112091.496</v>
      </c>
      <c r="H3" s="1" t="n">
        <f aca="false">-H2*(1-Assumptions!$B$3)</f>
        <v>-123300.6456</v>
      </c>
      <c r="I3" s="1" t="n">
        <f aca="false">-I2*(1-Assumptions!$B$3)</f>
        <v>-135630.71016</v>
      </c>
      <c r="J3" s="1" t="n">
        <f aca="false">-J2*(1-Assumptions!$B$3)</f>
        <v>-149193.781176</v>
      </c>
      <c r="K3" s="1" t="n">
        <f aca="false">-K2*(1-Assumptions!$B$3)</f>
        <v>-164113.1592936</v>
      </c>
    </row>
    <row r="4" customFormat="false" ht="15" hidden="false" customHeight="false" outlineLevel="0" collapsed="false">
      <c r="A4" s="1" t="s">
        <v>13</v>
      </c>
      <c r="B4" s="1" t="n">
        <f aca="false">B2+B3</f>
        <v>50400</v>
      </c>
      <c r="C4" s="1" t="n">
        <f aca="false">C2+C3</f>
        <v>55440</v>
      </c>
      <c r="D4" s="1" t="n">
        <f aca="false">D2+D3</f>
        <v>60984</v>
      </c>
      <c r="E4" s="1" t="n">
        <f aca="false">E2+E3</f>
        <v>67082.4</v>
      </c>
      <c r="F4" s="1" t="n">
        <f aca="false">F2+F3</f>
        <v>73790.64</v>
      </c>
      <c r="G4" s="1" t="n">
        <f aca="false">G2+G3</f>
        <v>81169.704</v>
      </c>
      <c r="H4" s="1" t="n">
        <f aca="false">H2+H3</f>
        <v>89286.6744</v>
      </c>
      <c r="I4" s="1" t="n">
        <f aca="false">I2+I3</f>
        <v>98215.34184</v>
      </c>
      <c r="J4" s="1" t="n">
        <f aca="false">J2+J3</f>
        <v>108036.876024</v>
      </c>
      <c r="K4" s="1" t="n">
        <f aca="false">K2+K3</f>
        <v>118840.5636264</v>
      </c>
    </row>
    <row r="5" customFormat="false" ht="15" hidden="false" customHeight="false" outlineLevel="0" collapsed="false">
      <c r="A5" s="1" t="s">
        <v>14</v>
      </c>
      <c r="B5" s="1" t="n">
        <f aca="false">-B2*Assumptions!$B$4</f>
        <v>-25200</v>
      </c>
      <c r="C5" s="1" t="n">
        <f aca="false">-C2*Assumptions!$B$4</f>
        <v>-27720</v>
      </c>
      <c r="D5" s="1" t="n">
        <f aca="false">-D2*Assumptions!$B$4</f>
        <v>-30492</v>
      </c>
      <c r="E5" s="1" t="n">
        <f aca="false">-E2*Assumptions!$B$4</f>
        <v>-33541.2</v>
      </c>
      <c r="F5" s="1" t="n">
        <f aca="false">-F2*Assumptions!$B$4</f>
        <v>-36895.32</v>
      </c>
      <c r="G5" s="1" t="n">
        <f aca="false">-G2*Assumptions!$B$4</f>
        <v>-40584.852</v>
      </c>
      <c r="H5" s="1" t="n">
        <f aca="false">-H2*Assumptions!$B$4</f>
        <v>-44643.3372</v>
      </c>
      <c r="I5" s="1" t="n">
        <f aca="false">-I2*Assumptions!$B$4</f>
        <v>-49107.67092</v>
      </c>
      <c r="J5" s="1" t="n">
        <f aca="false">-J2*Assumptions!$B$4</f>
        <v>-54018.438012</v>
      </c>
      <c r="K5" s="1" t="n">
        <f aca="false">-K2*Assumptions!$B$4</f>
        <v>-59420.2818132</v>
      </c>
    </row>
    <row r="6" customFormat="false" ht="15" hidden="false" customHeight="false" outlineLevel="0" collapsed="false">
      <c r="A6" s="1" t="s">
        <v>15</v>
      </c>
      <c r="B6" s="1" t="n">
        <f aca="false">B4+B5</f>
        <v>25200</v>
      </c>
      <c r="C6" s="1" t="n">
        <f aca="false">C4+C5</f>
        <v>27720</v>
      </c>
      <c r="D6" s="1" t="n">
        <f aca="false">D4+D5</f>
        <v>30492</v>
      </c>
      <c r="E6" s="1" t="n">
        <f aca="false">E4+E5</f>
        <v>33541.2</v>
      </c>
      <c r="F6" s="1" t="n">
        <f aca="false">F4+F5</f>
        <v>36895.32</v>
      </c>
      <c r="G6" s="1" t="n">
        <f aca="false">G4+G5</f>
        <v>40584.852</v>
      </c>
      <c r="H6" s="1" t="n">
        <f aca="false">H4+H5</f>
        <v>44643.3372</v>
      </c>
      <c r="I6" s="1" t="n">
        <f aca="false">I4+I5</f>
        <v>49107.67092</v>
      </c>
      <c r="J6" s="1" t="n">
        <f aca="false">J4+J5</f>
        <v>54018.438012</v>
      </c>
      <c r="K6" s="1" t="n">
        <f aca="false">K4+K5</f>
        <v>59420.2818132</v>
      </c>
    </row>
    <row r="7" customFormat="false" ht="15" hidden="false" customHeight="false" outlineLevel="0" collapsed="false">
      <c r="A7" s="1" t="s">
        <v>16</v>
      </c>
      <c r="B7" s="1" t="n">
        <f aca="false">-Cash!B3/Assumptions!$B$7</f>
        <v>-857.142857142857</v>
      </c>
      <c r="C7" s="1" t="n">
        <f aca="false">-SUM(Cash!$B$3:C3)/Assumptions!$B$7</f>
        <v>-1800</v>
      </c>
      <c r="D7" s="1" t="n">
        <f aca="false">-SUM(Cash!$B$3:D3)/Assumptions!$B$7</f>
        <v>-2837.14285714286</v>
      </c>
      <c r="E7" s="1" t="n">
        <f aca="false">-SUM(Cash!$B$3:E3)/Assumptions!$B$7</f>
        <v>-3978</v>
      </c>
      <c r="F7" s="1" t="n">
        <f aca="false">-SUM(Cash!$B$3:F3)/Assumptions!$B$7</f>
        <v>-5232.94285714286</v>
      </c>
      <c r="G7" s="1" t="n">
        <f aca="false">-SUM(Cash!$B$3:G3)/Assumptions!$B$7</f>
        <v>-6613.38</v>
      </c>
      <c r="H7" s="1" t="n">
        <f aca="false">-SUM(Cash!$B$3:H3)/Assumptions!$B$7</f>
        <v>-8131.86085714286</v>
      </c>
      <c r="I7" s="1" t="n">
        <f aca="false">-SUM(Cash!$B$3:I3)/Assumptions!$B$7</f>
        <v>-9802.1898</v>
      </c>
      <c r="J7" s="1" t="n">
        <f aca="false">-SUM(Cash!$B$3:J3)/Assumptions!$B$7</f>
        <v>-11639.5516371429</v>
      </c>
      <c r="K7" s="1" t="n">
        <f aca="false">-SUM(Cash!$B$3:K3)/Assumptions!$B$7</f>
        <v>-13660.649658</v>
      </c>
    </row>
    <row r="8" customFormat="false" ht="15" hidden="false" customHeight="false" outlineLevel="0" collapsed="false">
      <c r="A8" s="1" t="s">
        <v>17</v>
      </c>
      <c r="B8" s="1" t="n">
        <f aca="false">B6+B7</f>
        <v>24342.8571428571</v>
      </c>
      <c r="C8" s="1" t="n">
        <f aca="false">C6+C7</f>
        <v>25920</v>
      </c>
      <c r="D8" s="1" t="n">
        <f aca="false">D6+D7</f>
        <v>27654.8571428571</v>
      </c>
      <c r="E8" s="1" t="n">
        <f aca="false">E6+E7</f>
        <v>29563.2</v>
      </c>
      <c r="F8" s="1" t="n">
        <f aca="false">F6+F7</f>
        <v>31662.3771428571</v>
      </c>
      <c r="G8" s="1" t="n">
        <f aca="false">G6+G7</f>
        <v>33971.472</v>
      </c>
      <c r="H8" s="1" t="n">
        <f aca="false">H6+H7</f>
        <v>36511.4763428571</v>
      </c>
      <c r="I8" s="1" t="n">
        <f aca="false">I6+I7</f>
        <v>39305.48112</v>
      </c>
      <c r="J8" s="1" t="n">
        <f aca="false">J6+J7</f>
        <v>42378.8863748572</v>
      </c>
      <c r="K8" s="1" t="n">
        <f aca="false">K6+K7</f>
        <v>45759.6321552</v>
      </c>
    </row>
    <row r="9" customFormat="false" ht="15" hidden="false" customHeight="false" outlineLevel="0" collapsed="false">
      <c r="A9" s="1" t="s">
        <v>18</v>
      </c>
      <c r="B9" s="1" t="n">
        <f aca="false">-MAX(0,B8)*TaxRate</f>
        <v>-6572.57142857143</v>
      </c>
      <c r="C9" s="1" t="n">
        <f aca="false">-MAX(0,C8)*TaxRate</f>
        <v>-6998.4</v>
      </c>
      <c r="D9" s="1" t="n">
        <f aca="false">-MAX(0,D8)*TaxRate</f>
        <v>-7466.81142857143</v>
      </c>
      <c r="E9" s="1" t="n">
        <f aca="false">-MAX(0,E8)*TaxRate</f>
        <v>-7982.064</v>
      </c>
      <c r="F9" s="1" t="n">
        <f aca="false">-MAX(0,F8)*TaxRate*1.1</f>
        <v>-9403.72601142857</v>
      </c>
      <c r="G9" s="1" t="n">
        <f aca="false">-MAX(0,G8)*TaxRate</f>
        <v>-9172.29744</v>
      </c>
      <c r="H9" s="1" t="n">
        <f aca="false">-MAX(0,H8)*TaxRate</f>
        <v>-9858.09861257143</v>
      </c>
      <c r="I9" s="1" t="n">
        <f aca="false">-MAX(0,I8)*TaxRate</f>
        <v>-10612.4799024</v>
      </c>
      <c r="J9" s="1" t="n">
        <f aca="false">-MAX(0,J8)*TaxRate</f>
        <v>-11442.2993212114</v>
      </c>
      <c r="K9" s="1" t="n">
        <f aca="false">-MAX(0,K8)*TaxRate</f>
        <v>-12355.100681904</v>
      </c>
    </row>
    <row r="10" customFormat="false" ht="15" hidden="false" customHeight="false" outlineLevel="0" collapsed="false">
      <c r="A10" s="1" t="s">
        <v>19</v>
      </c>
      <c r="B10" s="1" t="n">
        <f aca="false">B8+B9</f>
        <v>17770.2857142857</v>
      </c>
      <c r="C10" s="1" t="n">
        <f aca="false">C8+C9</f>
        <v>18921.6</v>
      </c>
      <c r="D10" s="1" t="n">
        <f aca="false">D8+D9</f>
        <v>20188.0457142857</v>
      </c>
      <c r="E10" s="1" t="n">
        <f aca="false">E8+E9</f>
        <v>21581.136</v>
      </c>
      <c r="F10" s="1" t="n">
        <f aca="false">F8+F9</f>
        <v>22258.6511314286</v>
      </c>
      <c r="G10" s="1" t="n">
        <f aca="false">G8+G9</f>
        <v>24799.17456</v>
      </c>
      <c r="H10" s="1" t="n">
        <f aca="false">H8+H9</f>
        <v>26653.3777302857</v>
      </c>
      <c r="I10" s="1" t="n">
        <f aca="false">I8+I9</f>
        <v>28693.0012176</v>
      </c>
      <c r="J10" s="1" t="n">
        <f aca="false">J8+J9</f>
        <v>30936.5870536457</v>
      </c>
      <c r="K10" s="1" t="n">
        <f aca="false">K8+K9</f>
        <v>33404.531473296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10</v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</row>
    <row r="2" customFormat="false" ht="15" hidden="false" customHeight="false" outlineLevel="0" collapsed="false">
      <c r="A2" s="1" t="s">
        <v>19</v>
      </c>
      <c r="B2" s="1" t="n">
        <f aca="false">Income!B10</f>
        <v>17770.2857142857</v>
      </c>
      <c r="C2" s="1" t="n">
        <f aca="false">Income!C10</f>
        <v>18921.6</v>
      </c>
      <c r="D2" s="1" t="n">
        <f aca="false">Income!D10</f>
        <v>20188.0457142857</v>
      </c>
      <c r="E2" s="1" t="n">
        <f aca="false">Income!E10</f>
        <v>21581.136</v>
      </c>
      <c r="F2" s="1" t="n">
        <f aca="false">Income!F10</f>
        <v>22258.6511314286</v>
      </c>
      <c r="G2" s="1" t="n">
        <f aca="false">Income!G10</f>
        <v>24799.17456</v>
      </c>
      <c r="H2" s="1" t="n">
        <f aca="false">Income!H10</f>
        <v>26653.3777302857</v>
      </c>
      <c r="I2" s="1" t="n">
        <f aca="false">Income!I10</f>
        <v>28693.0012176</v>
      </c>
      <c r="J2" s="1" t="n">
        <f aca="false">Income!J10</f>
        <v>30936.5870536457</v>
      </c>
      <c r="K2" s="1" t="n">
        <f aca="false">Income!K10</f>
        <v>33404.531473296</v>
      </c>
    </row>
    <row r="3" customFormat="false" ht="15" hidden="false" customHeight="false" outlineLevel="0" collapsed="false">
      <c r="A3" s="1" t="s">
        <v>20</v>
      </c>
      <c r="B3" s="1" t="n">
        <f aca="false">Income!B2*Assumptions!$B$6</f>
        <v>6000</v>
      </c>
      <c r="C3" s="1" t="n">
        <f aca="false">Income!C2*Assumptions!$B$6</f>
        <v>6600</v>
      </c>
      <c r="D3" s="1" t="n">
        <f aca="false">Income!D2*Assumptions!$B$6</f>
        <v>7260</v>
      </c>
      <c r="E3" s="1" t="n">
        <f aca="false">Income!E2*Assumptions!$B$6</f>
        <v>7986</v>
      </c>
      <c r="F3" s="1" t="n">
        <f aca="false">Income!F2*Assumptions!$B$6</f>
        <v>8784.6</v>
      </c>
      <c r="G3" s="1" t="n">
        <f aca="false">Income!G2*Assumptions!$B$6</f>
        <v>9663.06</v>
      </c>
      <c r="H3" s="1" t="n">
        <f aca="false">Income!H2*Assumptions!$B$6</f>
        <v>10629.366</v>
      </c>
      <c r="I3" s="1" t="n">
        <f aca="false">Income!I2*Assumptions!$B$6</f>
        <v>11692.3026</v>
      </c>
      <c r="J3" s="1" t="n">
        <f aca="false">Income!J2*Assumptions!$B$6</f>
        <v>12861.53286</v>
      </c>
      <c r="K3" s="1" t="n">
        <f aca="false">Income!K2*Assumptions!$B$6</f>
        <v>14147.686146</v>
      </c>
    </row>
    <row r="4" customFormat="false" ht="15" hidden="false" customHeight="false" outlineLevel="0" collapsed="false">
      <c r="A4" s="1" t="s">
        <v>21</v>
      </c>
      <c r="B4" s="1" t="n">
        <f aca="false">Income!B2*Assumptions!$B$8/365</f>
        <v>16438.3561643836</v>
      </c>
      <c r="C4" s="1" t="n">
        <f aca="false">Income!C2*Assumptions!$B$8/365</f>
        <v>18082.1917808219</v>
      </c>
      <c r="D4" s="1" t="n">
        <f aca="false">Income!D2*Assumptions!$B$8/365</f>
        <v>19890.4109589041</v>
      </c>
      <c r="E4" s="1" t="n">
        <f aca="false">Income!E2*Assumptions!$B$8/365</f>
        <v>21879.4520547945</v>
      </c>
      <c r="F4" s="1" t="n">
        <f aca="false">Income!F2*Assumptions!$B$8/365</f>
        <v>24067.397260274</v>
      </c>
      <c r="G4" s="1" t="n">
        <f aca="false">Income!G2*Assumptions!$B$8/365</f>
        <v>26474.1369863014</v>
      </c>
      <c r="H4" s="1" t="n">
        <f aca="false">Income!H2*Assumptions!$B$8/365</f>
        <v>29121.5506849315</v>
      </c>
      <c r="I4" s="1" t="n">
        <f aca="false">Income!I2*Assumptions!$B$8/365</f>
        <v>32033.7057534247</v>
      </c>
      <c r="J4" s="1" t="n">
        <f aca="false">Income!J2*Assumptions!$B$8/365</f>
        <v>35237.0763287671</v>
      </c>
      <c r="K4" s="1" t="n">
        <f aca="false">Income!K2*Assumptions!$B$8/365</f>
        <v>38760.7839616439</v>
      </c>
    </row>
    <row r="5" customFormat="false" ht="15" hidden="false" customHeight="false" outlineLevel="0" collapsed="false">
      <c r="A5" s="1" t="s">
        <v>22</v>
      </c>
      <c r="B5" s="1" t="n">
        <f aca="false">B4</f>
        <v>16438.3561643836</v>
      </c>
      <c r="C5" s="1" t="n">
        <f aca="false">C4-B4</f>
        <v>1643.83561643836</v>
      </c>
      <c r="D5" s="1" t="n">
        <f aca="false">D4-C4</f>
        <v>1808.21917808219</v>
      </c>
      <c r="E5" s="1" t="n">
        <f aca="false">E4-D4</f>
        <v>1989.04109589041</v>
      </c>
      <c r="F5" s="1" t="n">
        <f aca="false">F4-E4</f>
        <v>2187.94520547945</v>
      </c>
      <c r="G5" s="1" t="n">
        <f aca="false">G4-F4</f>
        <v>2406.7397260274</v>
      </c>
      <c r="H5" s="1" t="n">
        <f aca="false">H4-G4</f>
        <v>2647.41369863014</v>
      </c>
      <c r="I5" s="1" t="n">
        <f aca="false">I4-H4</f>
        <v>2912.15506849315</v>
      </c>
      <c r="J5" s="1" t="n">
        <f aca="false">J4-I4</f>
        <v>3203.37057534246</v>
      </c>
      <c r="K5" s="1" t="n">
        <f aca="false">K4-J4</f>
        <v>3523.70763287672</v>
      </c>
    </row>
    <row r="6" customFormat="false" ht="15" hidden="false" customHeight="false" outlineLevel="0" collapsed="false">
      <c r="A6" s="1" t="s">
        <v>23</v>
      </c>
      <c r="B6" s="1" t="n">
        <f aca="false">B2-B3-B5-Income!B7</f>
        <v>-3810.927592955</v>
      </c>
      <c r="C6" s="1" t="n">
        <f aca="false">C2-C3-C5-Income!C7</f>
        <v>12477.7643835616</v>
      </c>
      <c r="D6" s="1" t="n">
        <f aca="false">D2-D3-D5-Income!D7</f>
        <v>13956.9693933464</v>
      </c>
      <c r="E6" s="1" t="n">
        <f aca="false">E2-E3-E5-Income!E7</f>
        <v>15584.0949041096</v>
      </c>
      <c r="F6" s="1" t="n">
        <f aca="false">F2-F3-F5-Income!F7</f>
        <v>16519.048783092</v>
      </c>
      <c r="G6" s="1" t="n">
        <f aca="false">G2-G3-G5-Income!G7</f>
        <v>19342.7548339726</v>
      </c>
      <c r="H6" s="1" t="n">
        <f aca="false">H2-H3-H5-Income!H7</f>
        <v>21508.4588887984</v>
      </c>
      <c r="I6" s="1" t="n">
        <f aca="false">I2-I3-I5-Income!I7</f>
        <v>23890.7333491068</v>
      </c>
      <c r="J6" s="1" t="n">
        <f aca="false">J2-J3-J5-Income!J7</f>
        <v>26511.2352554461</v>
      </c>
      <c r="K6" s="1" t="n">
        <f aca="false">K2-K3-K5-Income!K7</f>
        <v>29393.7873524193</v>
      </c>
    </row>
    <row r="7" customFormat="false" ht="15" hidden="false" customHeight="false" outlineLevel="0" collapsed="false">
      <c r="A7" s="1" t="s">
        <v>24</v>
      </c>
      <c r="B7" s="1" t="n">
        <f aca="false">B6</f>
        <v>-3810.927592955</v>
      </c>
      <c r="C7" s="1" t="n">
        <f aca="false">B7+C6</f>
        <v>8666.83679060663</v>
      </c>
      <c r="D7" s="1" t="n">
        <f aca="false">C7+D6</f>
        <v>22623.806183953</v>
      </c>
      <c r="E7" s="1" t="n">
        <f aca="false">D7+E6</f>
        <v>38207.9010880626</v>
      </c>
      <c r="F7" s="1" t="n">
        <f aca="false">E7+F6</f>
        <v>54726.9498711545</v>
      </c>
      <c r="G7" s="1" t="n">
        <f aca="false">F7+G6</f>
        <v>74069.7047051272</v>
      </c>
      <c r="H7" s="1" t="n">
        <f aca="false">G7+H6</f>
        <v>95578.1635939256</v>
      </c>
      <c r="I7" s="1" t="n">
        <f aca="false">H7+I6</f>
        <v>119468.896943032</v>
      </c>
      <c r="J7" s="1" t="n">
        <f aca="false">I7+J6</f>
        <v>145980.132198479</v>
      </c>
      <c r="K7" s="1" t="n">
        <f aca="false">J7+K6</f>
        <v>175373.919550898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1</v>
      </c>
    </row>
    <row r="2" customFormat="false" ht="15" hidden="false" customHeight="false" outlineLevel="0" collapsed="false">
      <c r="A2" s="1" t="s">
        <v>26</v>
      </c>
      <c r="B2" s="1" t="n">
        <f aca="false">SUM(Income!B2:K2)</f>
        <v>1912490.95212</v>
      </c>
    </row>
    <row r="3" customFormat="false" ht="15" hidden="false" customHeight="false" outlineLevel="0" collapsed="false">
      <c r="A3" s="1" t="s">
        <v>27</v>
      </c>
      <c r="B3" s="1" t="n">
        <f aca="false">SUM(Income!B10:K10)</f>
        <v>245206.390594827</v>
      </c>
    </row>
    <row r="4" customFormat="false" ht="15" hidden="false" customHeight="false" outlineLevel="0" collapsed="false">
      <c r="A4" s="1" t="s">
        <v>28</v>
      </c>
      <c r="B4" s="1" t="n">
        <f aca="false">B3/B2</f>
        <v>0.128213098379899</v>
      </c>
    </row>
    <row r="5" customFormat="false" ht="15" hidden="false" customHeight="false" outlineLevel="0" collapsed="false">
      <c r="A5" s="1" t="s">
        <v>29</v>
      </c>
      <c r="B5" s="1" t="n">
        <f aca="false">Cash!K7</f>
        <v>175373.919550898</v>
      </c>
    </row>
    <row r="6" customFormat="false" ht="15" hidden="false" customHeight="false" outlineLevel="0" collapsed="false">
      <c r="A6" s="1" t="s">
        <v>30</v>
      </c>
      <c r="B6" s="1" t="n">
        <f aca="false">IFERROR(INDEX(Cash!B1:K1,MATCH(TRUE(),INDEX(Cash!B7:K7&gt;0,0),0)),"never")</f>
        <v>2026</v>
      </c>
    </row>
    <row r="7" customFormat="false" ht="15" hidden="false" customHeight="false" outlineLevel="0" collapsed="false">
      <c r="A7" s="1" t="s">
        <v>31</v>
      </c>
      <c r="B7" s="1" t="str">
        <f aca="false">IF(B4&gt;0.15,"healthy",IF(B4&gt;0.05,"thin","loss"))</f>
        <v>thin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2026-10-23T18:21:22Z</dcterms:created>
  <dc:creator>openpyxl</dc:creator>
  <dc:description/>
  <dc:language>en-US</dc:language>
  <cp:lastModifiedBy/>
  <dcterms:modified xsi:type="dcterms:W3CDTF">2026-10-23T18:21:23Z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