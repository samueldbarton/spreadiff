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Income" sheetId="2" state="visible" r:id="rId2"/>
    <sheet xmlns:r="http://schemas.openxmlformats.org/officeDocument/2006/relationships" name="Cash" sheetId="3" state="visible" r:id="rId3"/>
    <sheet xmlns:r="http://schemas.openxmlformats.org/officeDocument/2006/relationships" name="Summary" sheetId="4" state="visible" r:id="rId4"/>
  </sheets>
  <definedNames>
    <definedName name="Growth" hidden="0" function="0" vbProcedure="0">Assumptions!$B$2</definedName>
    <definedName name="TaxRate" hidden="0" function="0" vbProcedure="0">Assumptions!$B$5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"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Driver</t>
        </is>
      </c>
      <c r="B1" s="2" t="inlineStr">
        <is>
          <t>Value</t>
        </is>
      </c>
    </row>
    <row r="2" ht="15" customHeight="1" s="1">
      <c r="A2" s="2" t="inlineStr">
        <is>
          <t>Revenue growth</t>
        </is>
      </c>
      <c r="B2" s="2" t="n">
        <v>0.1</v>
      </c>
    </row>
    <row r="3" ht="15" customHeight="1" s="1">
      <c r="A3" s="2" t="inlineStr">
        <is>
          <t>Gross margin</t>
        </is>
      </c>
      <c r="B3" s="2" t="n">
        <v>0.42</v>
      </c>
    </row>
    <row r="4" ht="15" customHeight="1" s="1">
      <c r="A4" s="2" t="inlineStr">
        <is>
          <t>Opex % revenue</t>
        </is>
      </c>
      <c r="B4" s="2" t="n">
        <v>0.21</v>
      </c>
    </row>
    <row r="5" ht="15" customHeight="1" s="1">
      <c r="A5" s="2" t="inlineStr">
        <is>
          <t>Tax rate</t>
        </is>
      </c>
      <c r="B5" s="2" t="n">
        <v>0.27</v>
      </c>
    </row>
    <row r="6" ht="15" customHeight="1" s="1">
      <c r="A6" s="2" t="inlineStr">
        <is>
          <t>Capex % revenue</t>
        </is>
      </c>
      <c r="B6" s="2" t="n">
        <v>0.05</v>
      </c>
    </row>
    <row r="7" ht="15" customHeight="1" s="1">
      <c r="A7" s="2" t="inlineStr">
        <is>
          <t>Depreciation years</t>
        </is>
      </c>
      <c r="B7" s="2" t="n">
        <v>7</v>
      </c>
    </row>
    <row r="8" ht="15" customHeight="1" s="1">
      <c r="A8" s="2" t="inlineStr">
        <is>
          <t>DSO days</t>
        </is>
      </c>
      <c r="B8" s="2" t="n">
        <v>50</v>
      </c>
    </row>
    <row r="9" ht="15" customHeight="1" s="1">
      <c r="A9" s="2" t="inlineStr">
        <is>
          <t>Base revenue</t>
        </is>
      </c>
      <c r="B9" s="2" t="n">
        <v>120000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Line</t>
        </is>
      </c>
      <c r="B1" s="2" t="n">
        <v>2025</v>
      </c>
      <c r="C1" s="2" t="n">
        <v>2026</v>
      </c>
      <c r="D1" s="2" t="n">
        <v>2027</v>
      </c>
      <c r="E1" s="2" t="n">
        <v>2028</v>
      </c>
      <c r="F1" s="2" t="n">
        <v>2029</v>
      </c>
      <c r="G1" s="2" t="n">
        <v>2030</v>
      </c>
      <c r="H1" s="2" t="n">
        <v>2031</v>
      </c>
      <c r="I1" s="2" t="n">
        <v>2032</v>
      </c>
      <c r="J1" s="2" t="n">
        <v>2033</v>
      </c>
      <c r="K1" s="2" t="n">
        <v>2034</v>
      </c>
    </row>
    <row r="2" ht="15" customHeight="1" s="1">
      <c r="A2" s="2" t="inlineStr">
        <is>
          <t>Revenue</t>
        </is>
      </c>
      <c r="B2" s="2">
        <f>Assumptions!$B$9</f>
        <v/>
      </c>
      <c r="C2" s="2">
        <f>B2*(1+Growth)</f>
        <v/>
      </c>
      <c r="D2" s="2">
        <f>C2*(1+Growth)</f>
        <v/>
      </c>
      <c r="E2" s="2">
        <f>D2*(1+Growth)</f>
        <v/>
      </c>
      <c r="F2" s="2">
        <f>E2*(1+Growth)</f>
        <v/>
      </c>
      <c r="G2" s="2">
        <f>F2*(1+Growth)</f>
        <v/>
      </c>
      <c r="H2" s="2">
        <f>G2*(1+Growth)</f>
        <v/>
      </c>
      <c r="I2" s="2">
        <f>H2*(1+Growth)</f>
        <v/>
      </c>
      <c r="J2" s="2">
        <f>I2*(1+Growth)</f>
        <v/>
      </c>
      <c r="K2" s="2">
        <f>J2*(1+Growth)</f>
        <v/>
      </c>
    </row>
    <row r="3" ht="15" customHeight="1" s="1">
      <c r="A3" s="2" t="inlineStr">
        <is>
          <t>COGS</t>
        </is>
      </c>
      <c r="B3" s="2">
        <f>-B2*(1-Assumptions!$B$3)</f>
        <v/>
      </c>
      <c r="C3" s="2">
        <f>-C2*(1-Assumptions!$B$3)</f>
        <v/>
      </c>
      <c r="D3" s="2">
        <f>-D2*(1-Assumptions!$B$3)</f>
        <v/>
      </c>
      <c r="E3" s="2">
        <f>-E2*(1-Assumptions!$B$3)</f>
        <v/>
      </c>
      <c r="F3" s="2">
        <f>-F2*(1-Assumptions!$B$3)</f>
        <v/>
      </c>
      <c r="G3" s="2">
        <f>-G2*(1-Assumptions!$B$3)</f>
        <v/>
      </c>
      <c r="H3" s="2">
        <f>-H2*(1-Assumptions!$B$3)</f>
        <v/>
      </c>
      <c r="I3" s="2">
        <f>-I2*(1-Assumptions!$B$3)</f>
        <v/>
      </c>
      <c r="J3" s="2">
        <f>-J2*(1-Assumptions!$B$3)</f>
        <v/>
      </c>
      <c r="K3" s="2">
        <f>-K2*(1-Assumptions!$B$3)</f>
        <v/>
      </c>
    </row>
    <row r="4" ht="15" customHeight="1" s="1">
      <c r="A4" s="2" t="inlineStr">
        <is>
          <t>Gross profit</t>
        </is>
      </c>
      <c r="B4" s="2">
        <f>B2+B3</f>
        <v/>
      </c>
      <c r="C4" s="2">
        <f>C2+C3</f>
        <v/>
      </c>
      <c r="D4" s="2">
        <f>D2+D3</f>
        <v/>
      </c>
      <c r="E4" s="2">
        <f>E2+E3</f>
        <v/>
      </c>
      <c r="F4" s="2">
        <f>F2+F3</f>
        <v/>
      </c>
      <c r="G4" s="2">
        <f>G2+G3</f>
        <v/>
      </c>
      <c r="H4" s="2">
        <f>H2+H3</f>
        <v/>
      </c>
      <c r="I4" s="2">
        <f>I2+I3</f>
        <v/>
      </c>
      <c r="J4" s="2">
        <f>J2+J3</f>
        <v/>
      </c>
      <c r="K4" s="2">
        <f>K2+K3</f>
        <v/>
      </c>
    </row>
    <row r="5" ht="15" customHeight="1" s="1">
      <c r="A5" s="2" t="inlineStr">
        <is>
          <t>Opex</t>
        </is>
      </c>
      <c r="B5" s="2">
        <f>-B2*Assumptions!$B$4</f>
        <v/>
      </c>
      <c r="C5" s="2">
        <f>-C2*Assumptions!$B$4</f>
        <v/>
      </c>
      <c r="D5" s="2">
        <f>-D2*Assumptions!$B$4</f>
        <v/>
      </c>
      <c r="E5" s="2">
        <f>-E2*Assumptions!$B$4</f>
        <v/>
      </c>
      <c r="F5" s="2">
        <f>-F2*Assumptions!$B$4</f>
        <v/>
      </c>
      <c r="G5" s="2">
        <f>-G2*Assumptions!$B$4</f>
        <v/>
      </c>
      <c r="H5" s="2">
        <f>-H2*Assumptions!$B$4</f>
        <v/>
      </c>
      <c r="I5" s="2">
        <f>-I2*Assumptions!$B$4</f>
        <v/>
      </c>
      <c r="J5" s="2">
        <f>-J2*Assumptions!$B$4</f>
        <v/>
      </c>
      <c r="K5" s="2">
        <f>-K2*Assumptions!$B$4</f>
        <v/>
      </c>
    </row>
    <row r="6" ht="15" customHeight="1" s="1">
      <c r="A6" s="2" t="inlineStr">
        <is>
          <t>EBITDA</t>
        </is>
      </c>
      <c r="B6" s="2">
        <f>B4+B5</f>
        <v/>
      </c>
      <c r="C6" s="2">
        <f>C4+C5</f>
        <v/>
      </c>
      <c r="D6" s="2">
        <f>D4+D5</f>
        <v/>
      </c>
      <c r="E6" s="2">
        <f>E4+E5</f>
        <v/>
      </c>
      <c r="F6" s="2">
        <f>F4+F5</f>
        <v/>
      </c>
      <c r="G6" s="2">
        <f>G4+G5</f>
        <v/>
      </c>
      <c r="H6" s="2">
        <f>H4+H5</f>
        <v/>
      </c>
      <c r="I6" s="2">
        <f>I4+I5</f>
        <v/>
      </c>
      <c r="J6" s="2">
        <f>J4+J5</f>
        <v/>
      </c>
      <c r="K6" s="2">
        <f>K4+K5</f>
        <v/>
      </c>
    </row>
    <row r="7" ht="15" customHeight="1" s="1">
      <c r="A7" s="2" t="inlineStr">
        <is>
          <t>Depreciation</t>
        </is>
      </c>
      <c r="B7" s="2">
        <f>-Cash!B3/Assumptions!$B$7</f>
        <v/>
      </c>
      <c r="C7" s="2">
        <f>-SUM(Cash!$B$3:C3)/Assumptions!$B$7</f>
        <v/>
      </c>
      <c r="D7" s="2">
        <f>-SUM(Cash!$B$3:D3)/Assumptions!$B$7</f>
        <v/>
      </c>
      <c r="E7" s="2">
        <f>-SUM(Cash!$B$3:E3)/Assumptions!$B$7</f>
        <v/>
      </c>
      <c r="F7" s="2">
        <f>-SUM(Cash!$B$3:F3)/Assumptions!$B$7</f>
        <v/>
      </c>
      <c r="G7" s="2">
        <f>-SUM(Cash!$B$3:G3)/Assumptions!$B$7</f>
        <v/>
      </c>
      <c r="H7" s="2">
        <f>-SUM(Cash!$B$3:H3)/Assumptions!$B$7</f>
        <v/>
      </c>
      <c r="I7" s="2">
        <f>-SUM(Cash!$B$3:I3)/Assumptions!$B$7</f>
        <v/>
      </c>
      <c r="J7" s="2">
        <f>-SUM(Cash!$B$3:J3)/Assumptions!$B$7</f>
        <v/>
      </c>
      <c r="K7" s="2">
        <f>-SUM(Cash!$B$3:K3)/Assumptions!$B$7</f>
        <v/>
      </c>
    </row>
    <row r="8" ht="15" customHeight="1" s="1">
      <c r="A8" s="2" t="inlineStr">
        <is>
          <t>EBIT</t>
        </is>
      </c>
      <c r="B8" s="2">
        <f>B6+B7</f>
        <v/>
      </c>
      <c r="C8" s="2">
        <f>C6+C7</f>
        <v/>
      </c>
      <c r="D8" s="2">
        <f>D6+D7</f>
        <v/>
      </c>
      <c r="E8" s="2">
        <f>E6+E7</f>
        <v/>
      </c>
      <c r="F8" s="2">
        <f>F6+F7</f>
        <v/>
      </c>
      <c r="G8" s="2">
        <f>G6+G7</f>
        <v/>
      </c>
      <c r="H8" s="2">
        <f>H6+H7</f>
        <v/>
      </c>
      <c r="I8" s="2">
        <f>I6+I7</f>
        <v/>
      </c>
      <c r="J8" s="2">
        <f>J6+J7</f>
        <v/>
      </c>
      <c r="K8" s="2">
        <f>K6+K7</f>
        <v/>
      </c>
    </row>
    <row r="9" ht="15" customHeight="1" s="1">
      <c r="A9" s="2" t="inlineStr">
        <is>
          <t>Tax</t>
        </is>
      </c>
      <c r="B9" s="2">
        <f>-MAX(0,B8)*TaxRate</f>
        <v/>
      </c>
      <c r="C9" s="2">
        <f>-MAX(0,C8)*TaxRate</f>
        <v/>
      </c>
      <c r="D9" s="2">
        <f>-MAX(0,D8)*TaxRate</f>
        <v/>
      </c>
      <c r="E9" s="2">
        <f>-MAX(0,E8)*TaxRate</f>
        <v/>
      </c>
      <c r="F9" s="2">
        <f>-MAX(0,F8)*TaxRate*1.1</f>
        <v/>
      </c>
      <c r="G9" s="2">
        <f>-MAX(0,G8)*TaxRate</f>
        <v/>
      </c>
      <c r="H9" s="2">
        <f>-MAX(0,H8)*TaxRate</f>
        <v/>
      </c>
      <c r="I9" s="2">
        <f>-MAX(0,I8)*TaxRate</f>
        <v/>
      </c>
      <c r="J9" s="2">
        <f>-MAX(0,J8)*TaxRate</f>
        <v/>
      </c>
      <c r="K9" s="2">
        <f>-MAX(0,K8)*TaxRate</f>
        <v/>
      </c>
    </row>
    <row r="10" ht="15" customHeight="1" s="1">
      <c r="A10" s="2" t="inlineStr">
        <is>
          <t>Net income</t>
        </is>
      </c>
      <c r="B10" s="2">
        <f>B8+B9</f>
        <v/>
      </c>
      <c r="C10" s="2">
        <f>C8+C9</f>
        <v/>
      </c>
      <c r="D10" s="2">
        <f>D8+D9</f>
        <v/>
      </c>
      <c r="E10" s="2">
        <f>E8+E9</f>
        <v/>
      </c>
      <c r="F10" s="2">
        <f>F8+F9</f>
        <v/>
      </c>
      <c r="G10" s="2">
        <f>G8+G9</f>
        <v/>
      </c>
      <c r="H10" s="2">
        <f>H8+H9</f>
        <v/>
      </c>
      <c r="I10" s="2">
        <f>I8+I9</f>
        <v/>
      </c>
      <c r="J10" s="2">
        <f>J8+J9</f>
        <v/>
      </c>
      <c r="K10" s="2">
        <f>K8+K9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Line</t>
        </is>
      </c>
      <c r="B1" s="2" t="n">
        <v>2025</v>
      </c>
      <c r="C1" s="2" t="n">
        <v>2026</v>
      </c>
      <c r="D1" s="2" t="n">
        <v>2027</v>
      </c>
      <c r="E1" s="2" t="n">
        <v>2028</v>
      </c>
      <c r="F1" s="2" t="n">
        <v>2029</v>
      </c>
      <c r="G1" s="2" t="n">
        <v>2030</v>
      </c>
      <c r="H1" s="2" t="n">
        <v>2031</v>
      </c>
      <c r="I1" s="2" t="n">
        <v>2032</v>
      </c>
      <c r="J1" s="2" t="n">
        <v>2033</v>
      </c>
      <c r="K1" s="2" t="n">
        <v>2034</v>
      </c>
    </row>
    <row r="2" ht="15" customHeight="1" s="1">
      <c r="A2" s="2" t="inlineStr">
        <is>
          <t>Net income</t>
        </is>
      </c>
      <c r="B2" s="2">
        <f>Income!B10</f>
        <v/>
      </c>
      <c r="C2" s="2">
        <f>Income!C10</f>
        <v/>
      </c>
      <c r="D2" s="2">
        <f>Income!D10</f>
        <v/>
      </c>
      <c r="E2" s="2">
        <f>Income!E10</f>
        <v/>
      </c>
      <c r="F2" s="2">
        <f>Income!F10</f>
        <v/>
      </c>
      <c r="G2" s="2">
        <f>Income!G10</f>
        <v/>
      </c>
      <c r="H2" s="2">
        <f>Income!H10</f>
        <v/>
      </c>
      <c r="I2" s="2">
        <f>Income!I10</f>
        <v/>
      </c>
      <c r="J2" s="2">
        <f>Income!J10</f>
        <v/>
      </c>
      <c r="K2" s="2">
        <f>Income!K10</f>
        <v/>
      </c>
    </row>
    <row r="3" ht="15" customHeight="1" s="1">
      <c r="A3" s="2" t="inlineStr">
        <is>
          <t>Capex</t>
        </is>
      </c>
      <c r="B3" s="2">
        <f>Income!B2*Assumptions!$B$6</f>
        <v/>
      </c>
      <c r="C3" s="2">
        <f>Income!C2*Assumptions!$B$6</f>
        <v/>
      </c>
      <c r="D3" s="2">
        <f>Income!D2*Assumptions!$B$6</f>
        <v/>
      </c>
      <c r="E3" s="2">
        <f>Income!E2*Assumptions!$B$6</f>
        <v/>
      </c>
      <c r="F3" s="2">
        <f>Income!F2*Assumptions!$B$6</f>
        <v/>
      </c>
      <c r="G3" s="2">
        <f>Income!G2*Assumptions!$B$6</f>
        <v/>
      </c>
      <c r="H3" s="2">
        <f>Income!H2*Assumptions!$B$6</f>
        <v/>
      </c>
      <c r="I3" s="2">
        <f>Income!I2*Assumptions!$B$6</f>
        <v/>
      </c>
      <c r="J3" s="2">
        <f>Income!J2*Assumptions!$B$6</f>
        <v/>
      </c>
      <c r="K3" s="2">
        <f>Income!K2*Assumptions!$B$6</f>
        <v/>
      </c>
    </row>
    <row r="4" ht="15" customHeight="1" s="1">
      <c r="A4" s="2" t="inlineStr">
        <is>
          <t>Receivables</t>
        </is>
      </c>
      <c r="B4" s="2">
        <f>Income!B2*Assumptions!$B$8/365</f>
        <v/>
      </c>
      <c r="C4" s="2">
        <f>Income!C2*Assumptions!$B$8/365</f>
        <v/>
      </c>
      <c r="D4" s="2">
        <f>Income!D2*Assumptions!$B$8/365</f>
        <v/>
      </c>
      <c r="E4" s="2">
        <f>Income!E2*Assumptions!$B$8/365</f>
        <v/>
      </c>
      <c r="F4" s="2">
        <f>Income!F2*Assumptions!$B$8/365</f>
        <v/>
      </c>
      <c r="G4" s="2">
        <f>Income!G2*Assumptions!$B$8/365</f>
        <v/>
      </c>
      <c r="H4" s="2">
        <f>Income!H2*Assumptions!$B$8/365</f>
        <v/>
      </c>
      <c r="I4" s="2">
        <f>Income!I2*Assumptions!$B$8/365</f>
        <v/>
      </c>
      <c r="J4" s="2">
        <f>Income!J2*Assumptions!$B$8/365</f>
        <v/>
      </c>
      <c r="K4" s="2">
        <f>Income!K2*Assumptions!$B$8/365</f>
        <v/>
      </c>
    </row>
    <row r="5" ht="15" customHeight="1" s="1">
      <c r="A5" s="2" t="inlineStr">
        <is>
          <t>Change in AR</t>
        </is>
      </c>
      <c r="B5" s="2">
        <f>B4</f>
        <v/>
      </c>
      <c r="C5" s="2">
        <f>C4-B4</f>
        <v/>
      </c>
      <c r="D5" s="2">
        <f>D4-C4</f>
        <v/>
      </c>
      <c r="E5" s="2">
        <f>E4-D4</f>
        <v/>
      </c>
      <c r="F5" s="2">
        <f>F4-E4</f>
        <v/>
      </c>
      <c r="G5" s="2">
        <f>G4-F4</f>
        <v/>
      </c>
      <c r="H5" s="2">
        <f>H4-G4</f>
        <v/>
      </c>
      <c r="I5" s="2">
        <f>I4-H4</f>
        <v/>
      </c>
      <c r="J5" s="2">
        <f>J4-I4</f>
        <v/>
      </c>
      <c r="K5" s="2">
        <f>K4-J4</f>
        <v/>
      </c>
    </row>
    <row r="6" ht="15" customHeight="1" s="1">
      <c r="A6" s="2" t="inlineStr">
        <is>
          <t>Free cash flow</t>
        </is>
      </c>
      <c r="B6" s="2">
        <f>B2-B3-B5-Income!B7</f>
        <v/>
      </c>
      <c r="C6" s="2">
        <f>C2-C3-C5-Income!C7</f>
        <v/>
      </c>
      <c r="D6" s="2">
        <f>D2-D3-D5-Income!D7</f>
        <v/>
      </c>
      <c r="E6" s="2">
        <f>E2-E3-E5-Income!E7</f>
        <v/>
      </c>
      <c r="F6" s="2">
        <f>F2-F3-F5-Income!F7</f>
        <v/>
      </c>
      <c r="G6" s="2">
        <f>G2-G3-G5-Income!G7</f>
        <v/>
      </c>
      <c r="H6" s="2">
        <f>H2-H3-H5-Income!H7</f>
        <v/>
      </c>
      <c r="I6" s="2">
        <f>I2-I3-I5-Income!I7</f>
        <v/>
      </c>
      <c r="J6" s="2">
        <f>J2-J3-J5-Income!J7</f>
        <v/>
      </c>
      <c r="K6" s="2">
        <f>K2-K3-K5-Income!K7</f>
        <v/>
      </c>
    </row>
    <row r="7" ht="15" customHeight="1" s="1">
      <c r="A7" s="2" t="inlineStr">
        <is>
          <t>Cumulative FCF</t>
        </is>
      </c>
      <c r="B7" s="2">
        <f>B6</f>
        <v/>
      </c>
      <c r="C7" s="2">
        <f>B7+C6</f>
        <v/>
      </c>
      <c r="D7" s="2">
        <f>C7+D6</f>
        <v/>
      </c>
      <c r="E7" s="2">
        <f>D7+E6</f>
        <v/>
      </c>
      <c r="F7" s="2">
        <f>E7+F6</f>
        <v/>
      </c>
      <c r="G7" s="2">
        <f>F7+G6</f>
        <v/>
      </c>
      <c r="H7" s="2">
        <f>G7+H6</f>
        <v/>
      </c>
      <c r="I7" s="2">
        <f>H7+I6</f>
        <v/>
      </c>
      <c r="J7" s="2">
        <f>I7+J6</f>
        <v/>
      </c>
      <c r="K7" s="2">
        <f>J7+K6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15" customHeight="1" s="1">
      <c r="A1" s="2" t="inlineStr">
        <is>
          <t>Metric</t>
        </is>
      </c>
      <c r="B1" s="2" t="inlineStr">
        <is>
          <t>Value</t>
        </is>
      </c>
    </row>
    <row r="2" ht="15" customHeight="1" s="1">
      <c r="A2" s="2" t="inlineStr">
        <is>
          <t>Total revenue</t>
        </is>
      </c>
      <c r="B2" s="2">
        <f>SUM(Income!B2:K2)</f>
        <v/>
      </c>
    </row>
    <row r="3" ht="15" customHeight="1" s="1">
      <c r="A3" s="2" t="inlineStr">
        <is>
          <t>Total net income</t>
        </is>
      </c>
      <c r="B3" s="2">
        <f>SUM(Income!B10:K10)</f>
        <v/>
      </c>
    </row>
    <row r="4" ht="15" customHeight="1" s="1">
      <c r="A4" s="2" t="inlineStr">
        <is>
          <t>Avg net margin</t>
        </is>
      </c>
      <c r="B4" s="2">
        <f>B3/B2</f>
        <v/>
      </c>
    </row>
    <row r="5" ht="15" customHeight="1" s="1">
      <c r="A5" s="2" t="inlineStr">
        <is>
          <t>Ending cash</t>
        </is>
      </c>
      <c r="B5" s="2">
        <f>Cash!K7</f>
        <v/>
      </c>
    </row>
    <row r="6" ht="15" customHeight="1" s="1">
      <c r="A6" s="2" t="inlineStr">
        <is>
          <t>Payback year</t>
        </is>
      </c>
      <c r="B6" s="2">
        <f>IFERROR(INDEX(Cash!B1:K1,MATCH(TRUE(),INDEX(Cash!B7:K7&gt;0,0),0)),"never")</f>
        <v/>
      </c>
    </row>
    <row r="7" ht="15" customHeight="1" s="1">
      <c r="A7" s="2" t="inlineStr">
        <is>
          <t>Margin flag</t>
        </is>
      </c>
      <c r="B7" s="2">
        <f>IF(B4&gt;0.15,"healthy",IF(B4&gt;0.05,"thin","loss"))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2026-10-23T18:21:22Z</dcterms:created>
  <dcterms:modified xmlns:dcterms="http://purl.org/dc/terms/" xmlns:xsi="http://www.w3.org/2001/XMLSchema-instance" xsi:type="dcterms:W3CDTF">2026-10-23T18:21:24Z</dcterms:modified>
  <cp:revision>0</cp:revision>
</cp:coreProperties>
</file>