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Income" sheetId="2" state="visible" r:id="rId4"/>
    <sheet name="Cash" sheetId="3" state="visible" r:id="rId5"/>
    <sheet name="Summary" sheetId="4" state="visible" r:id="rId6"/>
  </sheets>
  <definedNames>
    <definedName function="false" hidden="false" name="Growth" vbProcedure="false">Assumptions!$B$2</definedName>
    <definedName function="false" hidden="false" name="TaxRate" vbProcedure="false">Assumptions!$B$5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<sst xmlns="http://schemas.openxmlformats.org/spreadsheetml/2006/main" count="35" uniqueCount="32">
  <si>
    <t xml:space="preserve">Driver</t>
  </si>
  <si>
    <t xml:space="preserve">Value</t>
  </si>
  <si>
    <t xml:space="preserve">Revenue growth</t>
  </si>
  <si>
    <t xml:space="preserve">Gross margin</t>
  </si>
  <si>
    <t xml:space="preserve">Opex % revenue</t>
  </si>
  <si>
    <t xml:space="preserve">Tax rate</t>
  </si>
  <si>
    <t xml:space="preserve">Capex % revenue</t>
  </si>
  <si>
    <t xml:space="preserve">Depreciation years</t>
  </si>
  <si>
    <t xml:space="preserve">DSO days</t>
  </si>
  <si>
    <t xml:space="preserve">Base revenue</t>
  </si>
  <si>
    <t xml:space="preserve">Line</t>
  </si>
  <si>
    <t xml:space="preserve">Revenue</t>
  </si>
  <si>
    <t xml:space="preserve">COGS</t>
  </si>
  <si>
    <t xml:space="preserve">Gross profit</t>
  </si>
  <si>
    <t xml:space="preserve">Opex</t>
  </si>
  <si>
    <t xml:space="preserve">EBITDA</t>
  </si>
  <si>
    <t xml:space="preserve">Depreciation</t>
  </si>
  <si>
    <t xml:space="preserve">EBIT</t>
  </si>
  <si>
    <t xml:space="preserve">Tax</t>
  </si>
  <si>
    <t xml:space="preserve">Net income</t>
  </si>
  <si>
    <t xml:space="preserve">Capex</t>
  </si>
  <si>
    <t xml:space="preserve">Receivables</t>
  </si>
  <si>
    <t xml:space="preserve">Change in AR</t>
  </si>
  <si>
    <t xml:space="preserve">Free cash flow</t>
  </si>
  <si>
    <t xml:space="preserve">Cumulative FCF</t>
  </si>
  <si>
    <t xml:space="preserve">Metric</t>
  </si>
  <si>
    <t xml:space="preserve">Total revenue</t>
  </si>
  <si>
    <t xml:space="preserve">Total net income</t>
  </si>
  <si>
    <t xml:space="preserve">Avg net margin</t>
  </si>
  <si>
    <t xml:space="preserve">Ending cash</t>
  </si>
  <si>
    <t xml:space="preserve">Payback year</t>
  </si>
  <si>
    <t xml:space="preserve">Margin flag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</si>
</sst>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0.1</v>
      </c>
    </row>
    <row r="3" customFormat="false" ht="15" hidden="false" customHeight="false" outlineLevel="0" collapsed="false">
      <c r="A3" s="0" t="s">
        <v>3</v>
      </c>
      <c r="B3" s="0" t="n">
        <v>0.42</v>
      </c>
    </row>
    <row r="4" customFormat="false" ht="15" hidden="false" customHeight="false" outlineLevel="0" collapsed="false">
      <c r="A4" s="0" t="s">
        <v>4</v>
      </c>
      <c r="B4" s="0" t="n">
        <v>0.21</v>
      </c>
    </row>
    <row r="5" customFormat="false" ht="15" hidden="false" customHeight="false" outlineLevel="0" collapsed="false">
      <c r="A5" s="0" t="s">
        <v>5</v>
      </c>
      <c r="B5" s="0" t="n">
        <v>0.27</v>
      </c>
    </row>
    <row r="6" customFormat="false" ht="15" hidden="false" customHeight="false" outlineLevel="0" collapsed="false">
      <c r="A6" s="0" t="s">
        <v>6</v>
      </c>
      <c r="B6" s="0" t="n">
        <v>0.05</v>
      </c>
    </row>
    <row r="7" customFormat="false" ht="15" hidden="false" customHeight="false" outlineLevel="0" collapsed="false">
      <c r="A7" s="0" t="s">
        <v>7</v>
      </c>
      <c r="B7" s="0" t="n">
        <v>7</v>
      </c>
    </row>
    <row r="8" customFormat="false" ht="15" hidden="false" customHeight="false" outlineLevel="0" collapsed="false">
      <c r="A8" s="0" t="s">
        <v>8</v>
      </c>
      <c r="B8" s="0" t="n">
        <v>50</v>
      </c>
    </row>
    <row r="9" customFormat="false" ht="15" hidden="false" customHeight="false" outlineLevel="0" collapsed="false">
      <c r="A9" s="0" t="s">
        <v>9</v>
      </c>
      <c r="B9" s="0" t="n">
        <v>120000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</v>
      </c>
      <c r="B1" s="0" t="n">
        <v>2025</v>
      </c>
      <c r="C1" s="0" t="n">
        <v>2026</v>
      </c>
      <c r="D1" s="0" t="n">
        <v>2027</v>
      </c>
      <c r="E1" s="0" t="n">
        <v>2028</v>
      </c>
      <c r="F1" s="0" t="n">
        <v>2029</v>
      </c>
      <c r="G1" s="0" t="n">
        <v>2030</v>
      </c>
      <c r="H1" s="0" t="n">
        <v>2031</v>
      </c>
      <c r="I1" s="0" t="n">
        <v>2032</v>
      </c>
      <c r="J1" s="0" t="n">
        <v>2033</v>
      </c>
      <c r="K1" s="0" t="n">
        <v>2034</v>
      </c>
    </row>
    <row r="2" customFormat="false" ht="15" hidden="false" customHeight="false" outlineLevel="0" collapsed="false">
      <c r="A2" s="0" t="s">
        <v>11</v>
      </c>
      <c r="B2" s="0" t="n">
        <f aca="false">Assumptions!$B$9</f>
        <v>120000</v>
      </c>
      <c r="C2" s="0" t="n">
        <f aca="false">B2*(1+Growth)</f>
        <v>129600</v>
      </c>
      <c r="D2" s="0" t="n">
        <f aca="false">C2*(1+Growth)</f>
        <v>139968</v>
      </c>
      <c r="E2" s="0" t="n">
        <f aca="false">D2*(1+Growth)</f>
        <v>151165.44</v>
      </c>
      <c r="F2" s="0" t="n">
        <f aca="false">E2*(1+Growth)</f>
        <v>163258.6752</v>
      </c>
      <c r="G2" s="0" t="n">
        <f aca="false">F2*(1+Growth)</f>
        <v>176319.369216</v>
      </c>
      <c r="H2" s="0" t="n">
        <f aca="false">G2*(1+Growth)</f>
        <v>190424.91875328</v>
      </c>
      <c r="I2" s="0" t="n">
        <f aca="false">H2*(1+Growth)</f>
        <v>205658.912253543</v>
      </c>
      <c r="J2" s="0" t="n">
        <f aca="false">I2*(1+Growth)</f>
        <v>222111.625233826</v>
      </c>
      <c r="K2" s="0" t="n">
        <f aca="false">J2*(1+Growth)</f>
        <v>239880.555252532</v>
      </c>
    </row>
    <row r="3" customFormat="false" ht="15" hidden="false" customHeight="false" outlineLevel="0" collapsed="false">
      <c r="A3" s="0" t="s">
        <v>12</v>
      </c>
      <c r="B3" s="0" t="n">
        <f aca="false">-B2*(1-Assumptions!$B$3)</f>
        <v>-69600</v>
      </c>
      <c r="C3" s="0" t="n">
        <f aca="false">-C2*(1-Assumptions!$B$3)</f>
        <v>-75168</v>
      </c>
      <c r="D3" s="0" t="n">
        <f aca="false">-D2*(1-Assumptions!$B$3)</f>
        <v>-81181.44</v>
      </c>
      <c r="E3" s="0" t="n">
        <f aca="false">-E2*(1-Assumptions!$B$3)</f>
        <v>-87675.9552</v>
      </c>
      <c r="F3" s="0" t="n">
        <f aca="false">-F2*(1-Assumptions!$B$3)</f>
        <v>-94690.0316160001</v>
      </c>
      <c r="G3" s="0" t="n">
        <f aca="false">-G2*(1-Assumptions!$B$3)</f>
        <v>-102265.23414528</v>
      </c>
      <c r="H3" s="0" t="n">
        <f aca="false">-H2*(1-Assumptions!$B$3)</f>
        <v>-110446.452876902</v>
      </c>
      <c r="I3" s="0" t="n">
        <f aca="false">-I2*(1-Assumptions!$B$3)</f>
        <v>-119282.169107055</v>
      </c>
      <c r="J3" s="0" t="n">
        <f aca="false">-J2*(1-Assumptions!$B$3)</f>
        <v>-128824.742635619</v>
      </c>
      <c r="K3" s="0" t="n">
        <f aca="false">-K2*(1-Assumptions!$B$3)</f>
        <v>-139130.722046469</v>
      </c>
    </row>
    <row r="4" customFormat="false" ht="15" hidden="false" customHeight="false" outlineLevel="0" collapsed="false">
      <c r="A4" s="0" t="s">
        <v>13</v>
      </c>
      <c r="B4" s="0" t="n">
        <f aca="false">B2+B3</f>
        <v>50400</v>
      </c>
      <c r="C4" s="0" t="n">
        <f aca="false">C2+C3</f>
        <v>54432</v>
      </c>
      <c r="D4" s="0" t="n">
        <f aca="false">D2+D3</f>
        <v>58786.56</v>
      </c>
      <c r="E4" s="0" t="n">
        <f aca="false">E2+E3</f>
        <v>63489.4848</v>
      </c>
      <c r="F4" s="0" t="n">
        <f aca="false">F2+F3</f>
        <v>68568.643584</v>
      </c>
      <c r="G4" s="0" t="n">
        <f aca="false">G2+G3</f>
        <v>74054.13507072</v>
      </c>
      <c r="H4" s="0" t="n">
        <f aca="false">H2+H3</f>
        <v>79978.4658763776</v>
      </c>
      <c r="I4" s="0" t="n">
        <f aca="false">I2+I3</f>
        <v>86376.7431464879</v>
      </c>
      <c r="J4" s="0" t="n">
        <f aca="false">J2+J3</f>
        <v>93286.8825982069</v>
      </c>
      <c r="K4" s="0" t="n">
        <f aca="false">K2+K3</f>
        <v>100749.833206063</v>
      </c>
    </row>
    <row r="5" customFormat="false" ht="15" hidden="false" customHeight="false" outlineLevel="0" collapsed="false">
      <c r="A5" s="0" t="s">
        <v>14</v>
      </c>
      <c r="B5" s="0" t="n">
        <f aca="false">-B2*Assumptions!$B$4</f>
        <v>-25200</v>
      </c>
      <c r="C5" s="0" t="n">
        <f aca="false">-C2*Assumptions!$B$4</f>
        <v>-27216</v>
      </c>
      <c r="D5" s="0" t="n">
        <f aca="false">-D2*Assumptions!$B$4</f>
        <v>-29393.28</v>
      </c>
      <c r="E5" s="0" t="n">
        <f aca="false">-E2*Assumptions!$B$4</f>
        <v>-31744.7424</v>
      </c>
      <c r="F5" s="0" t="n">
        <f aca="false">-F2*Assumptions!$B$4</f>
        <v>-34284.321792</v>
      </c>
      <c r="G5" s="0" t="n">
        <f aca="false">-G2*Assumptions!$B$4</f>
        <v>-37027.06753536</v>
      </c>
      <c r="H5" s="0" t="n">
        <f aca="false">-H2*Assumptions!$B$4</f>
        <v>-39989.2329381888</v>
      </c>
      <c r="I5" s="0" t="n">
        <f aca="false">-I2*Assumptions!$B$4</f>
        <v>-43188.3715732439</v>
      </c>
      <c r="J5" s="0" t="n">
        <f aca="false">-J2*Assumptions!$B$4</f>
        <v>-46643.4412991035</v>
      </c>
      <c r="K5" s="0" t="n">
        <f aca="false">-K2*Assumptions!$B$4</f>
        <v>-50374.9166030317</v>
      </c>
    </row>
    <row r="6" customFormat="false" ht="15" hidden="false" customHeight="false" outlineLevel="0" collapsed="false">
      <c r="A6" s="0" t="s">
        <v>15</v>
      </c>
      <c r="B6" s="0" t="n">
        <f aca="false">B4+B5</f>
        <v>25200</v>
      </c>
      <c r="C6" s="0" t="n">
        <f aca="false">C4+C5</f>
        <v>27216</v>
      </c>
      <c r="D6" s="0" t="n">
        <f aca="false">D4+D5</f>
        <v>29393.28</v>
      </c>
      <c r="E6" s="0" t="n">
        <f aca="false">E4+E5</f>
        <v>31744.7424</v>
      </c>
      <c r="F6" s="0" t="n">
        <f aca="false">F4+F5</f>
        <v>34284.321792</v>
      </c>
      <c r="G6" s="0" t="n">
        <f aca="false">G4+G5</f>
        <v>37027.06753536</v>
      </c>
      <c r="H6" s="0" t="n">
        <f aca="false">H4+H5</f>
        <v>39989.2329381888</v>
      </c>
      <c r="I6" s="0" t="n">
        <f aca="false">I4+I5</f>
        <v>43188.3715732439</v>
      </c>
      <c r="J6" s="0" t="n">
        <f aca="false">J4+J5</f>
        <v>46643.4412991034</v>
      </c>
      <c r="K6" s="0" t="n">
        <f aca="false">K4+K5</f>
        <v>50374.9166030317</v>
      </c>
    </row>
    <row r="7" customFormat="false" ht="15" hidden="false" customHeight="false" outlineLevel="0" collapsed="false">
      <c r="A7" s="0" t="s">
        <v>16</v>
      </c>
      <c r="B7" s="0" t="n">
        <f aca="false">-Cash!B3/Assumptions!$B$7</f>
        <v>-857.142857142857</v>
      </c>
      <c r="C7" s="0" t="n">
        <f aca="false">-SUM(Cash!$B$3:C3)/Assumptions!$B$7</f>
        <v>-1782.85714285714</v>
      </c>
      <c r="D7" s="0" t="n">
        <f aca="false">-SUM(Cash!$B$3:D3)/Assumptions!$B$7</f>
        <v>-2782.62857142857</v>
      </c>
      <c r="E7" s="0" t="n">
        <f aca="false">-SUM(Cash!$B$3:E3)/Assumptions!$B$7</f>
        <v>-3862.38171428571</v>
      </c>
      <c r="F7" s="0" t="n">
        <f aca="false">-SUM(Cash!$B$3:F3)/Assumptions!$B$7</f>
        <v>-5028.51510857143</v>
      </c>
      <c r="G7" s="0" t="n">
        <f aca="false">-SUM(Cash!$B$3:G3)/Assumptions!$B$7</f>
        <v>-6287.9391744</v>
      </c>
      <c r="H7" s="0" t="n">
        <f aca="false">-SUM(Cash!$B$3:H3)/Assumptions!$B$7</f>
        <v>-7648.11716549486</v>
      </c>
      <c r="I7" s="0" t="n">
        <f aca="false">-SUM(Cash!$B$3:I3)/Assumptions!$B$7</f>
        <v>-9117.10939587731</v>
      </c>
      <c r="J7" s="0" t="n">
        <f aca="false">-SUM(Cash!$B$3:J3)/Assumptions!$B$7</f>
        <v>-10703.6210046903</v>
      </c>
      <c r="K7" s="0" t="n">
        <f aca="false">-SUM(Cash!$B$3:K3)/Assumptions!$B$7</f>
        <v>-12417.0535422084</v>
      </c>
    </row>
    <row r="8" customFormat="false" ht="15" hidden="false" customHeight="false" outlineLevel="0" collapsed="false">
      <c r="A8" s="0" t="s">
        <v>17</v>
      </c>
      <c r="B8" s="0" t="n">
        <f aca="false">B6+B7</f>
        <v>24342.8571428571</v>
      </c>
      <c r="C8" s="0" t="n">
        <f aca="false">C6+C7</f>
        <v>25433.1428571429</v>
      </c>
      <c r="D8" s="0" t="n">
        <f aca="false">D6+D7</f>
        <v>26610.6514285714</v>
      </c>
      <c r="E8" s="0" t="n">
        <f aca="false">E6+E7</f>
        <v>27882.3606857143</v>
      </c>
      <c r="F8" s="0" t="n">
        <f aca="false">F6+F7</f>
        <v>29255.8066834286</v>
      </c>
      <c r="G8" s="0" t="n">
        <f aca="false">G6+G7</f>
        <v>30739.12836096</v>
      </c>
      <c r="H8" s="0" t="n">
        <f aca="false">H6+H7</f>
        <v>32341.1157726939</v>
      </c>
      <c r="I8" s="0" t="n">
        <f aca="false">I6+I7</f>
        <v>34071.2621773666</v>
      </c>
      <c r="J8" s="0" t="n">
        <f aca="false">J6+J7</f>
        <v>35939.8202944131</v>
      </c>
      <c r="K8" s="0" t="n">
        <f aca="false">K6+K7</f>
        <v>37957.8630608233</v>
      </c>
    </row>
    <row r="9" customFormat="false" ht="15" hidden="false" customHeight="false" outlineLevel="0" collapsed="false">
      <c r="A9" s="0" t="s">
        <v>18</v>
      </c>
      <c r="B9" s="0" t="n">
        <f aca="false">-MAX(0,B8)*TaxRate</f>
        <v>-6085.71428571428</v>
      </c>
      <c r="C9" s="0" t="n">
        <f aca="false">-MAX(0,C8)*TaxRate</f>
        <v>-6358.28571428571</v>
      </c>
      <c r="D9" s="0" t="n">
        <f aca="false">-MAX(0,D8)*TaxRate</f>
        <v>-6652.66285714286</v>
      </c>
      <c r="E9" s="0" t="n">
        <f aca="false">-MAX(0,E8)*TaxRate</f>
        <v>-6970.59017142857</v>
      </c>
      <c r="F9" s="0" t="n">
        <f aca="false">-MAX(0,F8)*TaxRate</f>
        <v>-7313.95167085714</v>
      </c>
      <c r="G9" s="0" t="n">
        <f aca="false">-MAX(0,G8)*TaxRate</f>
        <v>-7684.78209024</v>
      </c>
      <c r="H9" s="0" t="n">
        <f aca="false">-MAX(0,H8)*TaxRate</f>
        <v>-8085.27894317349</v>
      </c>
      <c r="I9" s="0" t="n">
        <f aca="false">-MAX(0,I8)*TaxRate</f>
        <v>-8517.81554434165</v>
      </c>
      <c r="J9" s="0" t="n">
        <f aca="false">-MAX(0,J8)*TaxRate</f>
        <v>-8984.95507360327</v>
      </c>
      <c r="K9" s="0" t="n">
        <f aca="false">-MAX(0,K8)*TaxRate</f>
        <v>-9489.46576520582</v>
      </c>
    </row>
    <row r="10" customFormat="false" ht="15" hidden="false" customHeight="false" outlineLevel="0" collapsed="false">
      <c r="A10" s="0" t="s">
        <v>19</v>
      </c>
      <c r="B10" s="0" t="n">
        <f aca="false">B8+B9</f>
        <v>18257.1428571428</v>
      </c>
      <c r="C10" s="0" t="n">
        <f aca="false">C8+C9</f>
        <v>19074.8571428571</v>
      </c>
      <c r="D10" s="0" t="n">
        <f aca="false">D8+D9</f>
        <v>19957.9885714286</v>
      </c>
      <c r="E10" s="0" t="n">
        <f aca="false">E8+E9</f>
        <v>20911.7705142857</v>
      </c>
      <c r="F10" s="0" t="n">
        <f aca="false">F8+F9</f>
        <v>21941.8550125714</v>
      </c>
      <c r="G10" s="0" t="n">
        <f aca="false">G8+G9</f>
        <v>23054.34627072</v>
      </c>
      <c r="H10" s="0" t="n">
        <f aca="false">H8+H9</f>
        <v>24255.8368295205</v>
      </c>
      <c r="I10" s="0" t="n">
        <f aca="false">I8+I9</f>
        <v>25553.446633025</v>
      </c>
      <c r="J10" s="0" t="n">
        <f aca="false">J8+J9</f>
        <v>26954.8652208098</v>
      </c>
      <c r="K10" s="0" t="n">
        <f aca="false">K8+K9</f>
        <v>28468.3972956174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</v>
      </c>
      <c r="B1" s="0" t="n">
        <v>2025</v>
      </c>
      <c r="C1" s="0" t="n">
        <v>2026</v>
      </c>
      <c r="D1" s="0" t="n">
        <v>2027</v>
      </c>
      <c r="E1" s="0" t="n">
        <v>2028</v>
      </c>
      <c r="F1" s="0" t="n">
        <v>2029</v>
      </c>
      <c r="G1" s="0" t="n">
        <v>2030</v>
      </c>
      <c r="H1" s="0" t="n">
        <v>2031</v>
      </c>
      <c r="I1" s="0" t="n">
        <v>2032</v>
      </c>
      <c r="J1" s="0" t="n">
        <v>2033</v>
      </c>
      <c r="K1" s="0" t="n">
        <v>2034</v>
      </c>
    </row>
    <row r="2" customFormat="false" ht="15" hidden="false" customHeight="false" outlineLevel="0" collapsed="false">
      <c r="A2" s="0" t="s">
        <v>19</v>
      </c>
      <c r="B2" s="0" t="n">
        <f aca="false">Income!B10</f>
        <v>18257.1428571428</v>
      </c>
      <c r="C2" s="0" t="n">
        <f aca="false">Income!C10</f>
        <v>19074.8571428571</v>
      </c>
      <c r="D2" s="0" t="n">
        <f aca="false">Income!D10</f>
        <v>19957.9885714286</v>
      </c>
      <c r="E2" s="0" t="n">
        <f aca="false">Income!E10</f>
        <v>20911.7705142857</v>
      </c>
      <c r="F2" s="0" t="n">
        <f aca="false">Income!F10</f>
        <v>21941.8550125714</v>
      </c>
      <c r="G2" s="0" t="n">
        <f aca="false">Income!G10</f>
        <v>23054.34627072</v>
      </c>
      <c r="H2" s="0" t="n">
        <f aca="false">Income!H10</f>
        <v>24255.8368295205</v>
      </c>
      <c r="I2" s="0" t="n">
        <f aca="false">Income!I10</f>
        <v>25553.446633025</v>
      </c>
      <c r="J2" s="0" t="n">
        <f aca="false">Income!J10</f>
        <v>26954.8652208098</v>
      </c>
      <c r="K2" s="0" t="n">
        <f aca="false">Income!K10</f>
        <v>28468.3972956174</v>
      </c>
    </row>
    <row r="3" customFormat="false" ht="15" hidden="false" customHeight="false" outlineLevel="0" collapsed="false">
      <c r="A3" s="0" t="s">
        <v>20</v>
      </c>
      <c r="B3" s="0" t="n">
        <f aca="false">Income!B2*Assumptions!$B$6</f>
        <v>6000</v>
      </c>
      <c r="C3" s="0" t="n">
        <f aca="false">Income!C2*Assumptions!$B$6</f>
        <v>6480</v>
      </c>
      <c r="D3" s="0" t="n">
        <f aca="false">Income!D2*Assumptions!$B$6</f>
        <v>6998.4</v>
      </c>
      <c r="E3" s="0" t="n">
        <f aca="false">Income!E2*Assumptions!$B$6</f>
        <v>7558.272</v>
      </c>
      <c r="F3" s="0" t="n">
        <f aca="false">Income!F2*Assumptions!$B$6</f>
        <v>8162.93376</v>
      </c>
      <c r="G3" s="0" t="n">
        <f aca="false">Income!G2*Assumptions!$B$6</f>
        <v>8815.9684608</v>
      </c>
      <c r="H3" s="0" t="n">
        <f aca="false">Income!H2*Assumptions!$B$6</f>
        <v>9521.24593766401</v>
      </c>
      <c r="I3" s="0" t="n">
        <f aca="false">Income!I2*Assumptions!$B$6</f>
        <v>10282.9456126771</v>
      </c>
      <c r="J3" s="0" t="n">
        <f aca="false">Income!J2*Assumptions!$B$6</f>
        <v>11105.5812616913</v>
      </c>
      <c r="K3" s="0" t="n">
        <f aca="false">Income!K2*Assumptions!$B$6</f>
        <v>11994.0277626266</v>
      </c>
    </row>
    <row r="4" customFormat="false" ht="15" hidden="false" customHeight="false" outlineLevel="0" collapsed="false">
      <c r="A4" s="0" t="s">
        <v>21</v>
      </c>
      <c r="B4" s="0" t="n">
        <f aca="false">Income!B2*Assumptions!$B$8/365</f>
        <v>14794.5205479452</v>
      </c>
      <c r="C4" s="0" t="n">
        <f aca="false">Income!C2*Assumptions!$B$8/365</f>
        <v>15978.0821917808</v>
      </c>
      <c r="D4" s="0" t="n">
        <f aca="false">Income!D2*Assumptions!$B$8/365</f>
        <v>17256.3287671233</v>
      </c>
      <c r="E4" s="0" t="n">
        <f aca="false">Income!E2*Assumptions!$B$8/365</f>
        <v>18636.8350684932</v>
      </c>
      <c r="F4" s="0" t="n">
        <f aca="false">Income!F2*Assumptions!$B$8/365</f>
        <v>20127.7818739726</v>
      </c>
      <c r="G4" s="0" t="n">
        <f aca="false">Income!G2*Assumptions!$B$8/365</f>
        <v>21738.0044238904</v>
      </c>
      <c r="H4" s="0" t="n">
        <f aca="false">Income!H2*Assumptions!$B$8/365</f>
        <v>23477.0447778017</v>
      </c>
      <c r="I4" s="0" t="n">
        <f aca="false">Income!I2*Assumptions!$B$8/365</f>
        <v>25355.2083600258</v>
      </c>
      <c r="J4" s="0" t="n">
        <f aca="false">Income!J2*Assumptions!$B$8/365</f>
        <v>27383.6250288279</v>
      </c>
      <c r="K4" s="0" t="n">
        <f aca="false">Income!K2*Assumptions!$B$8/365</f>
        <v>29574.3150311341</v>
      </c>
    </row>
    <row r="5" customFormat="false" ht="15" hidden="false" customHeight="false" outlineLevel="0" collapsed="false">
      <c r="A5" s="0" t="s">
        <v>22</v>
      </c>
      <c r="B5" s="0" t="n">
        <f aca="false">B4</f>
        <v>14794.5205479452</v>
      </c>
      <c r="C5" s="0" t="n">
        <f aca="false">C4-B4</f>
        <v>1183.56164383562</v>
      </c>
      <c r="D5" s="0" t="n">
        <f aca="false">D4-C4</f>
        <v>1278.24657534247</v>
      </c>
      <c r="E5" s="0" t="n">
        <f aca="false">E4-D4</f>
        <v>1380.50630136986</v>
      </c>
      <c r="F5" s="0" t="n">
        <f aca="false">F4-E4</f>
        <v>1490.94680547946</v>
      </c>
      <c r="G5" s="0" t="n">
        <f aca="false">G4-F4</f>
        <v>1610.22254991781</v>
      </c>
      <c r="H5" s="0" t="n">
        <f aca="false">H4-G4</f>
        <v>1739.04035391124</v>
      </c>
      <c r="I5" s="0" t="n">
        <f aca="false">I4-H4</f>
        <v>1878.16358222413</v>
      </c>
      <c r="J5" s="0" t="n">
        <f aca="false">J4-I4</f>
        <v>2028.41666880207</v>
      </c>
      <c r="K5" s="0" t="n">
        <f aca="false">K4-J4</f>
        <v>2190.69000230623</v>
      </c>
    </row>
    <row r="6" customFormat="false" ht="15" hidden="false" customHeight="false" outlineLevel="0" collapsed="false">
      <c r="A6" s="0" t="s">
        <v>23</v>
      </c>
      <c r="B6" s="0" t="n">
        <f aca="false">B2-B3-B5-Income!B7</f>
        <v>-1680.2348336595</v>
      </c>
      <c r="C6" s="0" t="n">
        <f aca="false">C2-C3-C5-Income!C7</f>
        <v>13194.1526418787</v>
      </c>
      <c r="D6" s="0" t="n">
        <f aca="false">D2-D3-D5-Income!D7</f>
        <v>14463.9705675147</v>
      </c>
      <c r="E6" s="0" t="n">
        <f aca="false">E2-E3-E5-Income!E7</f>
        <v>15835.3739272016</v>
      </c>
      <c r="F6" s="0" t="n">
        <f aca="false">F2-F3-F5-Income!F7</f>
        <v>17316.4895556634</v>
      </c>
      <c r="G6" s="0" t="n">
        <f aca="false">G2-G3-G5-Income!G7</f>
        <v>18916.0944344022</v>
      </c>
      <c r="H6" s="0" t="n">
        <f aca="false">H2-H3-H5-Income!H7</f>
        <v>20643.6677034401</v>
      </c>
      <c r="I6" s="0" t="n">
        <f aca="false">I2-I3-I5-Income!I7</f>
        <v>22509.446834001</v>
      </c>
      <c r="J6" s="0" t="n">
        <f aca="false">J2-J3-J5-Income!J7</f>
        <v>24524.4882950068</v>
      </c>
      <c r="K6" s="0" t="n">
        <f aca="false">K2-K3-K5-Income!K7</f>
        <v>26700.733072893</v>
      </c>
    </row>
    <row r="7" customFormat="false" ht="15" hidden="false" customHeight="false" outlineLevel="0" collapsed="false">
      <c r="A7" s="0" t="s">
        <v>24</v>
      </c>
      <c r="B7" s="0" t="n">
        <f aca="false">B6</f>
        <v>-1680.2348336595</v>
      </c>
      <c r="C7" s="0" t="n">
        <f aca="false">B7+C6</f>
        <v>11513.9178082192</v>
      </c>
      <c r="D7" s="0" t="n">
        <f aca="false">C7+D6</f>
        <v>25977.8883757338</v>
      </c>
      <c r="E7" s="0" t="n">
        <f aca="false">D7+E6</f>
        <v>41813.2623029354</v>
      </c>
      <c r="F7" s="0" t="n">
        <f aca="false">E7+F6</f>
        <v>59129.7518585988</v>
      </c>
      <c r="G7" s="0" t="n">
        <f aca="false">F7+G6</f>
        <v>78045.846293001</v>
      </c>
      <c r="H7" s="0" t="n">
        <f aca="false">G7+H6</f>
        <v>98689.5139964411</v>
      </c>
      <c r="I7" s="0" t="n">
        <f aca="false">H7+I6</f>
        <v>121198.960830442</v>
      </c>
      <c r="J7" s="0" t="n">
        <f aca="false">I7+J6</f>
        <v>145723.449125449</v>
      </c>
      <c r="K7" s="0" t="n">
        <f aca="false">J7+K6</f>
        <v>172424.182198342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25</v>
      </c>
      <c r="B1" s="0" t="s">
        <v>1</v>
      </c>
    </row>
    <row r="2" customFormat="false" ht="15" hidden="false" customHeight="false" outlineLevel="0" collapsed="false">
      <c r="A2" s="0" t="s">
        <v>26</v>
      </c>
      <c r="B2" s="0" t="n">
        <f aca="false">SUM(Income!B2:K2)</f>
        <v>1738387.49590918</v>
      </c>
    </row>
    <row r="3" customFormat="false" ht="15" hidden="false" customHeight="false" outlineLevel="0" collapsed="false">
      <c r="A3" s="0" t="s">
        <v>27</v>
      </c>
      <c r="B3" s="0" t="n">
        <f aca="false">SUM(Income!B10:K10)</f>
        <v>228430.506347978</v>
      </c>
    </row>
    <row r="4" customFormat="false" ht="15" hidden="false" customHeight="false" outlineLevel="0" collapsed="false">
      <c r="A4" s="0" t="s">
        <v>28</v>
      </c>
      <c r="B4" s="0" t="n">
        <f aca="false">B3/B2</f>
        <v>0.131403675466792</v>
      </c>
    </row>
    <row r="5" customFormat="false" ht="15" hidden="false" customHeight="false" outlineLevel="0" collapsed="false">
      <c r="A5" s="0" t="s">
        <v>29</v>
      </c>
      <c r="B5" s="0" t="n">
        <f aca="false">Cash!K7</f>
        <v>172424.182198342</v>
      </c>
    </row>
    <row r="6" customFormat="false" ht="15" hidden="false" customHeight="false" outlineLevel="0" collapsed="false">
      <c r="A6" s="0" t="s">
        <v>30</v>
      </c>
      <c r="B6" s="0" t="n">
        <f aca="false">IFERROR(INDEX(Cash!B1:K1,MATCH(TRUE(),INDEX(Cash!B7:K7&gt;0,0),0)),"never")</f>
        <v>2026</v>
      </c>
    </row>
    <row r="7" customFormat="false" ht="15" hidden="false" customHeight="false" outlineLevel="0" collapsed="false">
      <c r="A7" s="0" t="s">
        <v>31</v>
      </c>
      <c r="B7" s="0" t="str">
        <f aca="false">IF(B4&gt;0.15,"healthy",IF(B4&gt;0.05,"thin","loss"))</f>
        <v>thin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2026-10-23T18:21:22Z</dcterms:created>
  <dc:creator>openpyxl</dc:creator>
  <dc:description/>
  <dc:language>en-US</dc:language>
  <cp:lastModifiedBy/>
  <dcterms:modified xsi:type="dcterms:W3CDTF">2026-10-23T18:21:22Z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