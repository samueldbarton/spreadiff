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<sst xmlns="http://schemas.openxmlformats.org/spreadsheetml/2006/main" count="10" uniqueCount="10">
  <si>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Field 1</t>
  </si>
  <si>
    <t xml:space="preserve">Field 2</t>
  </si>
  <si>
    <t xml:space="preserve">Field 3</t>
  </si>
  <si>
    <t xml:space="preserve">Field 4 </t>
  </si>
  <si>
    <t xml:space="preserve">Field 5</t>
  </si>
  <si>
    <t xml:space="preserve">a</t>
  </si>
  <si>
    <t xml:space="preserve">b</t>
  </si>
  <si>
    <t xml:space="preserve">c</t>
  </si>
  <si>
    <t xml:space="preserve">d</t>
  </si>
  <si>
    <t xml:space="preserve">Ergebnis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</si>
</sst>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le1" displayName="Tabelle1" ref="C4:G9" headerRowCount="1" totalsRowCount="1" totalsRowShown="1">
  <autoFilter ref="C4:G9"/>
  <tableColumns count="5">
    <tableColumn id="1" name="Field 1"/>
    <tableColumn id="2" name="Field 2" totalsRowFunction="average"/>
    <tableColumn id="3" name="Field 3" totalsRowFunction="sum"/>
    <tableColumn id="4" name="Field 4 " totalsRowFunction="sum"/>
    <tableColumn id="5" name="Field 5" totalsRowFunction="su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9.1484375" defaultRowHeight="15" zeroHeight="false" outlineLevelRow="0" outlineLevelCol="0"/>
  <sheetData>
    <row r="4" customFormat="false" ht="15" hidden="false" customHeight="false" outlineLevel="0" collapsed="false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</row>
    <row r="5" customFormat="false" ht="15" hidden="false" customHeight="false" outlineLevel="0" collapsed="false">
      <c r="C5" s="1" t="s">
        <v>5</v>
      </c>
      <c r="D5" s="1" t="n">
        <v>2.37</v>
      </c>
      <c r="E5" s="1" t="n">
        <v>5</v>
      </c>
      <c r="F5" s="1" t="n">
        <f aca="false">SUM(Tabelle1[[#This Row],[Field 2]:[Field 3]])</f>
        <v>7.37</v>
      </c>
      <c r="G5" s="2" t="n">
        <f aca="false">(Tabelle1[[#This Row],[Field 4 ]]/Tabelle1[[#Totals],[Field 4 ]])*1.5</f>
        <v>0.256675179939633</v>
      </c>
    </row>
    <row r="6" customFormat="false" ht="15" hidden="false" customHeight="false" outlineLevel="0" collapsed="false">
      <c r="C6" s="1" t="s">
        <v>6</v>
      </c>
      <c r="D6" s="1" t="n">
        <v>3.74</v>
      </c>
      <c r="E6" s="1" t="n">
        <v>6</v>
      </c>
      <c r="F6" s="1" t="n">
        <f aca="false">SUM(Tabelle1[[#This Row],[Field 2]:[Field 3]])</f>
        <v>9.74</v>
      </c>
      <c r="G6" s="2" t="n">
        <f aca="false">Tabelle1[[#This Row],[Field 4 ]]/Tabelle1[[#Totals],[Field 4 ]]</f>
        <v>0.226143487346181</v>
      </c>
    </row>
    <row r="7" customFormat="false" ht="15" hidden="false" customHeight="false" outlineLevel="0" collapsed="false">
      <c r="C7" s="1" t="s">
        <v>7</v>
      </c>
      <c r="D7" s="1" t="n">
        <v>3</v>
      </c>
      <c r="E7" s="1" t="n">
        <v>7</v>
      </c>
      <c r="F7" s="1" t="n">
        <f aca="false">SUM(Tabelle1[[#This Row],[Field 2]:[Field 3]])</f>
        <v>10</v>
      </c>
      <c r="G7" s="2" t="n">
        <f aca="false">Tabelle1[[#This Row],[Field 4 ]]/Tabelle1[[#Totals],[Field 4 ]]</f>
        <v>0.232180171813327</v>
      </c>
    </row>
    <row r="8" customFormat="false" ht="15" hidden="false" customHeight="false" outlineLevel="0" collapsed="false">
      <c r="C8" s="1" t="s">
        <v>8</v>
      </c>
      <c r="D8" s="1" t="n">
        <v>4</v>
      </c>
      <c r="E8" s="1" t="n">
        <v>11.96</v>
      </c>
      <c r="F8" s="1" t="n">
        <f aca="false">SUM(Tabelle1[[#This Row],[Field 2]:[Field 3]])</f>
        <v>15.96</v>
      </c>
      <c r="G8" s="2" t="n">
        <f aca="false">Tabelle1[[#This Row],[Field 4 ]]/Tabelle1[[#Totals],[Field 4 ]]</f>
        <v>0.37055955421407</v>
      </c>
    </row>
    <row r="9" customFormat="false" ht="15" hidden="false" customHeight="false" outlineLevel="0" collapsed="false">
      <c r="C9" s="1" t="s">
        <v>9</v>
      </c>
      <c r="D9" s="1" t="n">
        <f aca="false">SUBTOTAL(101,Tabelle1[Field 2])</f>
        <v>3.2775</v>
      </c>
      <c r="E9" s="1" t="n">
        <f aca="false">SUBTOTAL(109,Tabelle1[Field 3])</f>
        <v>29.96</v>
      </c>
      <c r="F9" s="1" t="n">
        <f aca="false">SUBTOTAL(109,Tabelle1[[Field 4 ]])</f>
        <v>43.07</v>
      </c>
      <c r="G9" s="2" t="n">
        <f aca="false">SUBTOTAL(109,Tabelle1[Field 5])</f>
        <v>1.08555839331321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Axel Richter</dc:creator>
  <dc:description/>
  <dc:language>en-US</dc:language>
  <cp:lastModifiedBy/>
  <dcterms:modified xsi:type="dcterms:W3CDTF">2026-10-23T18:25:09Z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