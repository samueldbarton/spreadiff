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abelle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<sst xmlns="http://schemas.openxmlformats.org/spreadsheetml/2006/main" count="9" uniqueCount="9">
  <si>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Partners</t>
  </si>
  <si>
    <t xml:space="preserve">Quantity</t>
  </si>
  <si>
    <t xml:space="preserve">Amount</t>
  </si>
  <si>
    <t xml:space="preserve">Total</t>
  </si>
  <si>
    <t xml:space="preserve">Percentage</t>
  </si>
  <si>
    <t xml:space="preserve">a</t>
  </si>
  <si>
    <t xml:space="preserve">b</t>
  </si>
  <si>
    <t xml:space="preserve">c</t>
  </si>
  <si>
    <t xml:space="preserve">Ergebnis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</si>
</sst>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.00&quot; €&quot;_-;\-* #,##0.00&quot; €&quot;_-;_-* \-??&quot; €&quot;_-;_-@_-"/>
    <numFmt numFmtId="166" formatCode="0%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elle1" displayName="Tabelle1" ref="B3:F7" headerRowCount="1" totalsRowCount="1" totalsRowShown="1">
  <autoFilter ref="B3:F7"/>
  <tableColumns count="5">
    <tableColumn id="1" name="Partners"/>
    <tableColumn id="2" name="Quantity" totalsRowFunction="sum"/>
    <tableColumn id="3" name="Amount" totalsRowFunction="average"/>
    <tableColumn id="4" name="Total" totalsRowFunction="sum"/>
    <tableColumn id="5" name="Percentage" totalsRowFunction="sum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F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5" zeroHeight="false" outlineLevelRow="0" outlineLevelCol="0"/>
  <cols>
    <col collapsed="false" customWidth="true" hidden="false" outlineLevel="0" max="3" min="3" style="1" width="11"/>
    <col collapsed="false" customWidth="true" hidden="false" outlineLevel="0" max="4" min="4" style="1" width="10.42"/>
    <col collapsed="false" customWidth="true" hidden="false" outlineLevel="0" max="5" min="5" style="1" width="11"/>
    <col collapsed="false" customWidth="true" hidden="false" outlineLevel="0" max="6" min="6" style="1" width="13.29"/>
  </cols>
  <sheetData>
    <row r="3" customFormat="false" ht="15" hidden="false" customHeight="false" outlineLevel="0" collapsed="false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</row>
    <row r="4" customFormat="false" ht="15" hidden="false" customHeight="false" outlineLevel="0" collapsed="false">
      <c r="B4" s="1" t="s">
        <v>5</v>
      </c>
      <c r="C4" s="1" t="n">
        <v>2</v>
      </c>
      <c r="D4" s="3" t="n">
        <v>169.51</v>
      </c>
      <c r="E4" s="3" t="n">
        <f aca="false">(Tabelle1[[#This Row],[Quantity]]*Tabelle1[[#This Row],[Amount]])*1.5</f>
        <v>508.53</v>
      </c>
      <c r="F4" s="4" t="n">
        <f aca="false">Tabelle1[[#This Row],[Total]]/Tabelle1[[#Totals],[Total]]</f>
        <v>0.107436899070203</v>
      </c>
    </row>
    <row r="5" customFormat="false" ht="15" hidden="false" customHeight="false" outlineLevel="0" collapsed="false">
      <c r="B5" s="1" t="s">
        <v>6</v>
      </c>
      <c r="C5" s="1" t="n">
        <v>5.11</v>
      </c>
      <c r="D5" s="3" t="n">
        <v>456</v>
      </c>
      <c r="E5" s="3" t="n">
        <f aca="false">Tabelle1[[#This Row],[Quantity]]*Tabelle1[[#This Row],[Amount]]</f>
        <v>2330.16</v>
      </c>
      <c r="F5" s="4" t="n">
        <f aca="false">Tabelle1[[#This Row],[Total]]/Tabelle1[[#Totals],[Total]]</f>
        <v>0.492291830840705</v>
      </c>
    </row>
    <row r="6" customFormat="false" ht="15" hidden="false" customHeight="false" outlineLevel="0" collapsed="false">
      <c r="B6" s="1" t="s">
        <v>7</v>
      </c>
      <c r="C6" s="1" t="n">
        <v>4</v>
      </c>
      <c r="D6" s="3" t="n">
        <v>473.65</v>
      </c>
      <c r="E6" s="3" t="n">
        <f aca="false">Tabelle1[[#This Row],[Quantity]]*Tabelle1[[#This Row],[Amount]]</f>
        <v>1894.6</v>
      </c>
      <c r="F6" s="4" t="n">
        <f aca="false">Tabelle1[[#This Row],[Total]]/Tabelle1[[#Totals],[Total]]</f>
        <v>0.400271270089092</v>
      </c>
    </row>
    <row r="7" customFormat="false" ht="15" hidden="false" customHeight="false" outlineLevel="0" collapsed="false">
      <c r="B7" s="1" t="s">
        <v>8</v>
      </c>
      <c r="C7" s="1" t="n">
        <f aca="false">SUBTOTAL(109,Tabelle1[Quantity])</f>
        <v>11.11</v>
      </c>
      <c r="D7" s="3" t="n">
        <f aca="false">SUBTOTAL(101,Tabelle1[Amount])</f>
        <v>366.386666666667</v>
      </c>
      <c r="E7" s="3" t="n">
        <f aca="false">SUBTOTAL(109,Tabelle1[Total])</f>
        <v>4733.29</v>
      </c>
      <c r="F7" s="5" t="n">
        <f aca="false">SUBTOTAL(109,Tabelle1[Percentage])</f>
        <v>1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Axel Richter</dc:creator>
  <dc:description/>
  <dc:language>en-US</dc:language>
  <cp:lastModifiedBy/>
  <dcterms:modified xsi:type="dcterms:W3CDTF">2026-10-23T18:25:05Z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