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s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<sst xmlns="http://schemas.openxmlformats.org/spreadsheetml/2006/main" count="321" uniqueCount="170">
  <si>
    <t xml:space="preserve">rep</t>
  </si>
  <si>
    <t xml:space="preserve">region</t>
  </si>
  <si>
    <t xml:space="preserve">quota</t>
  </si>
  <si>
    <t xml:space="preserve">sales</t>
  </si>
  <si>
    <t xml:space="preserve">attain</t>
  </si>
  <si>
    <t xml:space="preserve">tier</t>
  </si>
  <si>
    <t xml:space="preserve">rate</t>
  </si>
  <si>
    <t xml:space="preserve">commission</t>
  </si>
  <si>
    <t xml:space="preserve">capped</t>
  </si>
  <si>
    <t xml:space="preserve">R000</t>
  </si>
  <si>
    <t xml:space="preserve">W</t>
  </si>
  <si>
    <t xml:space="preserve">R001</t>
  </si>
  <si>
    <t xml:space="preserve">S</t>
  </si>
  <si>
    <t xml:space="preserve">R002</t>
  </si>
  <si>
    <t xml:space="preserve">N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</si>
  <si>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</si>
  <si>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</si>
  <si>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</si>
  <si>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</si>
  <si>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</si>
  <si>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</si>
  <si>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</si>
  <si>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</si>
  <si>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</si>
  <si>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</si>
  <si>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</si>
  <si>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</si>
  <si>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</si>
  <si>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</si>
  <si>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</si>
  <si>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</si>
  <si>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</si>
  <si>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</si>
  <si>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</si>
  <si>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</si>
  <si>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</si>
  <si>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</si>
  <si>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</si>
  <si>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</si>
  <si>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</si>
  <si>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</si>
  <si>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</si>
  <si>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</si>
  <si>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</si>
  <si>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E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</si>
  <si>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</si>
  <si>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</si>
  <si>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</si>
  <si>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</si>
  <si>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</si>
  <si>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</si>
  <si>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</si>
  <si>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</si>
  <si>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</si>
  <si>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</si>
  <si>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</si>
  <si>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</si>
  <si>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</si>
  <si>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</si>
  <si>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</si>
  <si>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</si>
  <si>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</si>
  <si>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</si>
  <si>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</si>
  <si>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</si>
  <si>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</si>
  <si>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</si>
  <si>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</si>
  <si>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</si>
  <si>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</si>
  <si>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</si>
  <si>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</si>
  <si>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</si>
  <si>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</si>
  <si>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</si>
  <si>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</si>
  <si>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</si>
  <si>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</si>
  <si>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</si>
  <si>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</si>
  <si>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</si>
  <si>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</si>
  <si>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</si>
  <si>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</si>
  <si>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</si>
  <si>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</si>
  <si>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</si>
  <si>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</si>
  <si>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</si>
  <si>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</si>
  <si>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</si>
  <si>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</si>
  <si>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</si>
  <si>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</si>
  <si>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</si>
  <si>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</si>
  <si>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</si>
  <si>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</si>
  <si>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</si>
  <si>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</si>
  <si>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</si>
  <si>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</si>
  <si>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</si>
  <si>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</si>
  <si>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</si>
  <si>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</si>
  <si>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</si>
  <si>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</si>
  <si>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</si>
  <si>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</si>
  <si>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</si>
  <si>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</si>
  <si>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</si>
  <si>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</si>
  <si>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</si>
  <si>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</si>
  <si>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</si>
  <si>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</si>
  <si>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</si>
  <si>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</si>
  <si>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</si>
  <si>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</si>
  <si>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</si>
  <si>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</si>
  <si>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</si>
  <si>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</si>
  <si>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</si>
  <si>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</si>
  <si>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</si>
  <si>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</si>
  <si>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</si>
  <si>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</si>
  <si>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</si>
  <si>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</si>
  <si>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</si>
  <si>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</si>
  <si>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</si>
  <si>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</si>
  <si>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</si>
  <si>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</si>
  <si>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</si>
  <si>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</si>
  <si>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</si>
  <si>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</si>
  <si>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</si>
  <si>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</si>
  <si>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</si>
  <si>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</si>
  <si>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</si>
  <si>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</si>
  <si>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</si>
  <si>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</si>
  <si>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</si>
  <si>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</si>
  <si>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</si>
  <si>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</si>
  <si>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</si>
  <si>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</si>
  <si>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</si>
  <si>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</si>
  <si>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</si>
  <si>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</si>
  <si>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</si>
  <si>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payout</t>
  </si>
  <si>
    <t xml:space="preserve">gold</t>
  </si>
  <si>
    <t xml:space="preserve">silver</t>
  </si>
  <si>
    <t xml:space="preserve">bronze</t>
  </si>
  <si>
    <t xml:space="preserve">none</t>
  </si>
  <si>
    <t xml:space="preserve">cap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</si>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</sst>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n">
        <v>400000</v>
      </c>
      <c r="D2" s="1" t="n">
        <v>255322</v>
      </c>
      <c r="E2" s="1" t="n">
        <f aca="false">D2/C2</f>
        <v>0.638305</v>
      </c>
      <c r="F2" s="1" t="str">
        <f aca="false">IF(E2&gt;=1.2,"gold",IF(E2&gt;=1,"silver",IF(E2&gt;=0.7,"bronze","none")))</f>
        <v>none</v>
      </c>
      <c r="G2" s="1" t="n">
        <f aca="false">IF(F2="gold",Rates!$B$2,IF(F2="silver",Rates!$B$3,IF(F2="bronze",Rates!$B$4,0)))</f>
        <v>0</v>
      </c>
      <c r="H2" s="1" t="n">
        <f aca="false">ROUND(D2*G2,2)</f>
        <v>0</v>
      </c>
      <c r="I2" s="1" t="n">
        <f aca="false">MIN(H2,Rates!$B$6)</f>
        <v>0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n">
        <v>200000</v>
      </c>
      <c r="D3" s="1" t="n">
        <v>526609</v>
      </c>
      <c r="E3" s="1" t="n">
        <f aca="false">D3/C3</f>
        <v>2.633045</v>
      </c>
      <c r="F3" s="1" t="str">
        <f aca="false">IF(E3&gt;=1.2,"gold",IF(E3&gt;=1,"silver",IF(E3&gt;=0.7,"bronze","none")))</f>
        <v>gold</v>
      </c>
      <c r="G3" s="1" t="n">
        <f aca="false">IF(F3="gold",Rates!$B$2,IF(F3="silver",Rates!$B$3,IF(F3="bronze",Rates!$B$4,0)))</f>
        <v>0.1</v>
      </c>
      <c r="H3" s="1" t="n">
        <f aca="false">ROUND(D3*G3,2)</f>
        <v>52660.9</v>
      </c>
      <c r="I3" s="1" t="n">
        <f aca="false">MIN(H3,Rates!$B$6)</f>
        <v>45000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n">
        <v>300000</v>
      </c>
      <c r="D4" s="1" t="n">
        <v>326530</v>
      </c>
      <c r="E4" s="1" t="n">
        <f aca="false">D4/C4</f>
        <v>1.08843333333333</v>
      </c>
      <c r="F4" s="1" t="str">
        <f aca="false">IF(E4&gt;=1.2,"gold",IF(E4&gt;=1,"silver",IF(E4&gt;=0.7,"bronze","none")))</f>
        <v>silver</v>
      </c>
      <c r="G4" s="1" t="n">
        <f aca="false">IF(F4="gold",Rates!$B$2,IF(F4="silver",Rates!$B$3,IF(F4="bronze",Rates!$B$4,0)))</f>
        <v>0.08</v>
      </c>
      <c r="H4" s="1" t="n">
        <f aca="false">ROUND(D4*G4,2)</f>
        <v>26122.4</v>
      </c>
      <c r="I4" s="1" t="n">
        <f aca="false">MIN(H4,Rates!$B$6)</f>
        <v>26122.4</v>
      </c>
    </row>
    <row r="5" customFormat="false" ht="15" hidden="false" customHeight="false" outlineLevel="0" collapsed="false">
      <c r="A5" s="1" t="s">
        <v>15</v>
      </c>
      <c r="B5" s="1" t="s">
        <v>14</v>
      </c>
      <c r="C5" s="1" t="n">
        <v>300000</v>
      </c>
      <c r="D5" s="1" t="n">
        <v>354849</v>
      </c>
      <c r="E5" s="1" t="n">
        <f aca="false">D5/C5</f>
        <v>1.18283</v>
      </c>
      <c r="F5" s="1" t="str">
        <f aca="false">IF(E5&gt;=1.2,"gold",IF(E5&gt;=1,"silver",IF(E5&gt;=0.7,"bronze","none")))</f>
        <v>silver</v>
      </c>
      <c r="G5" s="1" t="n">
        <f aca="false">IF(F5="gold",Rates!$B$2,IF(F5="silver",Rates!$B$3,IF(F5="bronze",Rates!$B$4,0)))</f>
        <v>0.08</v>
      </c>
      <c r="H5" s="1" t="n">
        <f aca="false">ROUND(D5*G5,2)</f>
        <v>28387.92</v>
      </c>
      <c r="I5" s="1" t="n">
        <f aca="false">MIN(H5,Rates!$B$6)</f>
        <v>28387.92</v>
      </c>
    </row>
    <row r="6" customFormat="false" ht="15" hidden="false" customHeight="false" outlineLevel="0" collapsed="false">
      <c r="A6" s="1" t="s">
        <v>16</v>
      </c>
      <c r="B6" s="1" t="s">
        <v>14</v>
      </c>
      <c r="C6" s="1" t="n">
        <v>400000</v>
      </c>
      <c r="D6" s="1" t="n">
        <v>258461</v>
      </c>
      <c r="E6" s="1" t="n">
        <f aca="false">D6/C6</f>
        <v>0.6461525</v>
      </c>
      <c r="F6" s="1" t="str">
        <f aca="false">IF(E6&gt;=1.2,"gold",IF(E6&gt;=1,"silver",IF(E6&gt;=0.7,"bronze","none")))</f>
        <v>none</v>
      </c>
      <c r="G6" s="1" t="n">
        <f aca="false">IF(F6="gold",Rates!$B$2,IF(F6="silver",Rates!$B$3,IF(F6="bronze",Rates!$B$4,0)))</f>
        <v>0</v>
      </c>
      <c r="H6" s="1" t="n">
        <f aca="false">ROUND(D6*G6,2)</f>
        <v>0</v>
      </c>
      <c r="I6" s="1" t="n">
        <f aca="false">MIN(H6,Rates!$B$6)</f>
        <v>0</v>
      </c>
    </row>
    <row r="7" customFormat="false" ht="15" hidden="false" customHeight="false" outlineLevel="0" collapsed="false">
      <c r="A7" s="1" t="s">
        <v>17</v>
      </c>
      <c r="B7" s="1" t="s">
        <v>10</v>
      </c>
      <c r="C7" s="1" t="n">
        <v>400000</v>
      </c>
      <c r="D7" s="1" t="n">
        <v>282423</v>
      </c>
      <c r="E7" s="1" t="n">
        <f aca="false">D7/C7</f>
        <v>0.7060575</v>
      </c>
      <c r="F7" s="1" t="str">
        <f aca="false">IF(E7&gt;=1.2,"gold",IF(E7&gt;=1,"silver",IF(E7&gt;=0.7,"bronze","none")))</f>
        <v>bronze</v>
      </c>
      <c r="G7" s="1" t="n">
        <f aca="false">IF(F7="gold",Rates!$B$2,IF(F7="silver",Rates!$B$3,IF(F7="bronze",Rates!$B$4,0)))</f>
        <v>0.04</v>
      </c>
      <c r="H7" s="1" t="n">
        <f aca="false">ROUND(D7*G7,2)</f>
        <v>11296.92</v>
      </c>
      <c r="I7" s="1" t="n">
        <f aca="false">MIN(H7,Rates!$B$6)</f>
        <v>11296.92</v>
      </c>
    </row>
    <row r="8" customFormat="false" ht="15" hidden="false" customHeight="false" outlineLevel="0" collapsed="false">
      <c r="A8" s="1" t="s">
        <v>18</v>
      </c>
      <c r="B8" s="1" t="s">
        <v>12</v>
      </c>
      <c r="C8" s="1" t="n">
        <v>200000</v>
      </c>
      <c r="D8" s="1" t="n">
        <v>78234</v>
      </c>
      <c r="E8" s="1" t="n">
        <f aca="false">D8/C8</f>
        <v>0.39117</v>
      </c>
      <c r="F8" s="1" t="str">
        <f aca="false">IF(E8&gt;=1.2,"gold",IF(E8&gt;=1,"silver",IF(E8&gt;=0.7,"bronze","none")))</f>
        <v>none</v>
      </c>
      <c r="G8" s="1" t="n">
        <f aca="false">IF(F8="gold",Rates!$B$2,IF(F8="silver",Rates!$B$3,IF(F8="bronze",Rates!$B$4,0)))</f>
        <v>0</v>
      </c>
      <c r="H8" s="1" t="n">
        <f aca="false">ROUND(D8*G8,2)</f>
        <v>0</v>
      </c>
      <c r="I8" s="1" t="n">
        <f aca="false">MIN(H8,Rates!$B$6)</f>
        <v>0</v>
      </c>
    </row>
    <row r="9" customFormat="false" ht="15" hidden="false" customHeight="false" outlineLevel="0" collapsed="false">
      <c r="A9" s="1" t="s">
        <v>19</v>
      </c>
      <c r="B9" s="1" t="s">
        <v>12</v>
      </c>
      <c r="C9" s="1" t="n">
        <v>400000</v>
      </c>
      <c r="D9" s="1" t="n">
        <v>529449</v>
      </c>
      <c r="E9" s="1" t="n">
        <f aca="false">D9/C9</f>
        <v>1.3236225</v>
      </c>
      <c r="F9" s="1" t="str">
        <f aca="false">IF(E9&gt;=1.2,"gold",IF(E9&gt;=1,"silver",IF(E9&gt;=0.7,"bronze","none")))</f>
        <v>gold</v>
      </c>
      <c r="G9" s="1" t="n">
        <f aca="false">IF(F9="gold",Rates!$B$2,IF(F9="silver",Rates!$B$3,IF(F9="bronze",Rates!$B$4,0)))</f>
        <v>0.1</v>
      </c>
      <c r="H9" s="1" t="n">
        <f aca="false">ROUND(D9*G9,2)</f>
        <v>52944.9</v>
      </c>
      <c r="I9" s="1" t="n">
        <f aca="false">MIN(H9,Rates!$B$6)</f>
        <v>45000</v>
      </c>
    </row>
    <row r="10" customFormat="false" ht="15" hidden="false" customHeight="false" outlineLevel="0" collapsed="false">
      <c r="A10" s="1" t="s">
        <v>20</v>
      </c>
      <c r="B10" s="1" t="s">
        <v>14</v>
      </c>
      <c r="C10" s="1" t="n">
        <v>400000</v>
      </c>
      <c r="D10" s="1" t="n">
        <v>610000</v>
      </c>
      <c r="E10" s="1" t="n">
        <f aca="false">D10/C10</f>
        <v>1.525</v>
      </c>
      <c r="F10" s="1" t="str">
        <f aca="false">IF(E10&gt;=1.2,"gold",IF(E10&gt;=1,"silver",IF(E10&gt;=0.7,"bronze","none")))</f>
        <v>gold</v>
      </c>
      <c r="G10" s="1" t="n">
        <f aca="false">IF(F10="gold",Rates!$B$2,IF(F10="silver",Rates!$B$3,IF(F10="bronze",Rates!$B$4,0)))</f>
        <v>0.1</v>
      </c>
      <c r="H10" s="1" t="n">
        <f aca="false">ROUND(D10*G10,2)</f>
        <v>61000</v>
      </c>
      <c r="I10" s="1" t="n">
        <f aca="false">MIN(H10,Rates!$B$6)</f>
        <v>45000</v>
      </c>
    </row>
    <row r="11" customFormat="false" ht="15" hidden="false" customHeight="false" outlineLevel="0" collapsed="false">
      <c r="A11" s="1" t="s">
        <v>21</v>
      </c>
      <c r="B11" s="1" t="s">
        <v>14</v>
      </c>
      <c r="C11" s="1" t="n">
        <v>300000</v>
      </c>
      <c r="D11" s="1" t="n">
        <v>162728</v>
      </c>
      <c r="E11" s="1" t="n">
        <f aca="false">D11/C11</f>
        <v>0.542426666666667</v>
      </c>
      <c r="F11" s="1" t="str">
        <f aca="false">IF(E11&gt;=1.2,"gold",IF(E11&gt;=1,"silver",IF(E11&gt;=0.7,"bronze","none")))</f>
        <v>none</v>
      </c>
      <c r="G11" s="1" t="n">
        <f aca="false">IF(F11="gold",Rates!$B$2,IF(F11="silver",Rates!$B$3,IF(F11="bronze",Rates!$B$4,0)))</f>
        <v>0</v>
      </c>
      <c r="H11" s="1" t="n">
        <f aca="false">ROUND(D11*G11,2)</f>
        <v>0</v>
      </c>
      <c r="I11" s="1" t="n">
        <f aca="false">MIN(H11,Rates!$B$6)</f>
        <v>0</v>
      </c>
    </row>
    <row r="12" customFormat="false" ht="15" hidden="false" customHeight="false" outlineLevel="0" collapsed="false">
      <c r="A12" s="1" t="s">
        <v>22</v>
      </c>
      <c r="B12" s="1" t="s">
        <v>12</v>
      </c>
      <c r="C12" s="1" t="n">
        <v>400000</v>
      </c>
      <c r="D12" s="1" t="n">
        <v>486148</v>
      </c>
      <c r="E12" s="1" t="n">
        <f aca="false">D12/C12</f>
        <v>1.21537</v>
      </c>
      <c r="F12" s="1" t="str">
        <f aca="false">IF(E12&gt;=1.2,"gold",IF(E12&gt;=1,"silver",IF(E12&gt;=0.7,"bronze","none")))</f>
        <v>gold</v>
      </c>
      <c r="G12" s="1" t="n">
        <f aca="false">IF(F12="gold",Rates!$B$2,IF(F12="silver",Rates!$B$3,IF(F12="bronze",Rates!$B$4,0)))</f>
        <v>0.1</v>
      </c>
      <c r="H12" s="1" t="n">
        <f aca="false">ROUND(D12*G12,2)</f>
        <v>48614.8</v>
      </c>
      <c r="I12" s="1" t="n">
        <f aca="false">MIN(H12,Rates!$B$6)</f>
        <v>45000</v>
      </c>
    </row>
    <row r="13" customFormat="false" ht="15" hidden="false" customHeight="false" outlineLevel="0" collapsed="false">
      <c r="A13" s="1" t="s">
        <v>23</v>
      </c>
      <c r="B13" s="1" t="s">
        <v>14</v>
      </c>
      <c r="C13" s="1" t="n">
        <v>300000</v>
      </c>
      <c r="D13" s="1" t="n">
        <v>551259</v>
      </c>
      <c r="E13" s="1" t="n">
        <f aca="false">D13/C13</f>
        <v>1.83753</v>
      </c>
      <c r="F13" s="1" t="str">
        <f aca="false">IF(E13&gt;=1.2,"gold",IF(E13&gt;=1,"silver",IF(E13&gt;=0.7,"bronze","none")))</f>
        <v>gold</v>
      </c>
      <c r="G13" s="1" t="n">
        <f aca="false">IF(F13="gold",Rates!$B$2,IF(F13="silver",Rates!$B$3,IF(F13="bronze",Rates!$B$4,0)))</f>
        <v>0.1</v>
      </c>
      <c r="H13" s="1" t="n">
        <f aca="false">ROUND(D13*G13,2)</f>
        <v>55125.9</v>
      </c>
      <c r="I13" s="1" t="n">
        <f aca="false">MIN(H13,Rates!$B$6)</f>
        <v>45000</v>
      </c>
    </row>
    <row r="14" customFormat="false" ht="15" hidden="false" customHeight="false" outlineLevel="0" collapsed="false">
      <c r="A14" s="1" t="s">
        <v>24</v>
      </c>
      <c r="B14" s="1" t="s">
        <v>10</v>
      </c>
      <c r="C14" s="1" t="n">
        <v>300000</v>
      </c>
      <c r="D14" s="1" t="n">
        <v>237913</v>
      </c>
      <c r="E14" s="1" t="n">
        <f aca="false">D14/C14</f>
        <v>0.793043333333333</v>
      </c>
      <c r="F14" s="1" t="str">
        <f aca="false">IF(E14&gt;=1.2,"gold",IF(E14&gt;=1,"silver",IF(E14&gt;=0.7,"bronze","none")))</f>
        <v>bronze</v>
      </c>
      <c r="G14" s="1" t="n">
        <f aca="false">IF(F14="gold",Rates!$B$2,IF(F14="silver",Rates!$B$3,IF(F14="bronze",Rates!$B$4,0)))</f>
        <v>0.04</v>
      </c>
      <c r="H14" s="1" t="n">
        <f aca="false">ROUND(D14*G14,2)</f>
        <v>9516.52</v>
      </c>
      <c r="I14" s="1" t="n">
        <f aca="false">MIN(H14,Rates!$B$6)</f>
        <v>9516.52</v>
      </c>
    </row>
    <row r="15" customFormat="false" ht="15" hidden="false" customHeight="false" outlineLevel="0" collapsed="false">
      <c r="A15" s="1" t="s">
        <v>25</v>
      </c>
      <c r="B15" s="1" t="s">
        <v>14</v>
      </c>
      <c r="C15" s="1" t="n">
        <v>200000</v>
      </c>
      <c r="D15" s="1" t="n">
        <v>439840</v>
      </c>
      <c r="E15" s="1" t="n">
        <f aca="false">D15/C15</f>
        <v>2.1992</v>
      </c>
      <c r="F15" s="1" t="str">
        <f aca="false">IF(E15&gt;=1.2,"gold",IF(E15&gt;=1,"silver",IF(E15&gt;=0.7,"bronze","none")))</f>
        <v>gold</v>
      </c>
      <c r="G15" s="1" t="n">
        <f aca="false">IF(F15="gold",Rates!$B$2,IF(F15="silver",Rates!$B$3,IF(F15="bronze",Rates!$B$4,0)))</f>
        <v>0.1</v>
      </c>
      <c r="H15" s="1" t="n">
        <f aca="false">ROUND(D15*G15,2)</f>
        <v>43984</v>
      </c>
      <c r="I15" s="1" t="n">
        <f aca="false">MIN(H15,Rates!$B$6)</f>
        <v>43984</v>
      </c>
    </row>
    <row r="16" customFormat="false" ht="15" hidden="false" customHeight="false" outlineLevel="0" collapsed="false">
      <c r="A16" s="1" t="s">
        <v>26</v>
      </c>
      <c r="B16" s="1" t="s">
        <v>14</v>
      </c>
      <c r="C16" s="1" t="n">
        <v>300000</v>
      </c>
      <c r="D16" s="1" t="n">
        <v>80134</v>
      </c>
      <c r="E16" s="1" t="n">
        <f aca="false">D16/C16</f>
        <v>0.267113333333333</v>
      </c>
      <c r="F16" s="1" t="str">
        <f aca="false">IF(E16&gt;=1.2,"gold",IF(E16&gt;=1,"silver",IF(E16&gt;=0.7,"bronze","none")))</f>
        <v>none</v>
      </c>
      <c r="G16" s="1" t="n">
        <f aca="false">IF(F16="gold",Rates!$B$2,IF(F16="silver",Rates!$B$3,IF(F16="bronze",Rates!$B$4,0)))</f>
        <v>0</v>
      </c>
      <c r="H16" s="1" t="n">
        <f aca="false">ROUND(D16*G16,2)</f>
        <v>0</v>
      </c>
      <c r="I16" s="1" t="n">
        <f aca="false">MIN(H16,Rates!$B$6)</f>
        <v>0</v>
      </c>
    </row>
    <row r="17" customFormat="false" ht="15" hidden="false" customHeight="false" outlineLevel="0" collapsed="false">
      <c r="A17" s="1" t="s">
        <v>27</v>
      </c>
      <c r="B17" s="1" t="s">
        <v>10</v>
      </c>
      <c r="C17" s="1" t="n">
        <v>300000</v>
      </c>
      <c r="D17" s="1" t="n">
        <v>126529</v>
      </c>
      <c r="E17" s="1" t="n">
        <f aca="false">D17/C17</f>
        <v>0.421763333333333</v>
      </c>
      <c r="F17" s="1" t="str">
        <f aca="false">IF(E17&gt;=1.2,"gold",IF(E17&gt;=1,"silver",IF(E17&gt;=0.7,"bronze","none")))</f>
        <v>none</v>
      </c>
      <c r="G17" s="1" t="n">
        <f aca="false">IF(F17="gold",Rates!$B$2,IF(F17="silver",Rates!$B$3,IF(F17="bronze",Rates!$B$4,0)))</f>
        <v>0</v>
      </c>
      <c r="H17" s="1" t="n">
        <f aca="false">ROUND(D17*G17,2)</f>
        <v>0</v>
      </c>
      <c r="I17" s="1" t="n">
        <f aca="false">MIN(H17,Rates!$B$6)</f>
        <v>0</v>
      </c>
    </row>
    <row r="18" customFormat="false" ht="15" hidden="false" customHeight="false" outlineLevel="0" collapsed="false">
      <c r="A18" s="1" t="s">
        <v>28</v>
      </c>
      <c r="B18" s="1" t="s">
        <v>12</v>
      </c>
      <c r="C18" s="1" t="n">
        <v>300000</v>
      </c>
      <c r="D18" s="1" t="n">
        <v>454928</v>
      </c>
      <c r="E18" s="1" t="n">
        <f aca="false">D18/C18</f>
        <v>1.51642666666667</v>
      </c>
      <c r="F18" s="1" t="str">
        <f aca="false">IF(E18&gt;=1.2,"gold",IF(E18&gt;=1,"silver",IF(E18&gt;=0.7,"bronze","none")))</f>
        <v>gold</v>
      </c>
      <c r="G18" s="1" t="n">
        <f aca="false">IF(F18="gold",Rates!$B$2,IF(F18="silver",Rates!$B$3,IF(F18="bronze",Rates!$B$4,0)))</f>
        <v>0.1</v>
      </c>
      <c r="H18" s="1" t="n">
        <f aca="false">ROUND(D18*G18,2)</f>
        <v>45492.8</v>
      </c>
      <c r="I18" s="1" t="n">
        <f aca="false">MIN(H18,Rates!$B$6)</f>
        <v>45000</v>
      </c>
    </row>
    <row r="19" customFormat="false" ht="15" hidden="false" customHeight="false" outlineLevel="0" collapsed="false">
      <c r="A19" s="1" t="s">
        <v>29</v>
      </c>
      <c r="B19" s="1" t="s">
        <v>14</v>
      </c>
      <c r="C19" s="1" t="n">
        <v>400000</v>
      </c>
      <c r="D19" s="1" t="n">
        <v>52131</v>
      </c>
      <c r="E19" s="1" t="n">
        <f aca="false">D19/C19</f>
        <v>0.1303275</v>
      </c>
      <c r="F19" s="1" t="str">
        <f aca="false">IF(E19&gt;=1.2,"gold",IF(E19&gt;=1,"silver",IF(E19&gt;=0.7,"bronze","none")))</f>
        <v>none</v>
      </c>
      <c r="G19" s="1" t="n">
        <f aca="false">IF(F19="gold",Rates!$B$2,IF(F19="silver",Rates!$B$3,IF(F19="bronze",Rates!$B$4,0)))</f>
        <v>0</v>
      </c>
      <c r="H19" s="1" t="n">
        <f aca="false">ROUND(D19*G19,2)</f>
        <v>0</v>
      </c>
      <c r="I19" s="1" t="n">
        <f aca="false">MIN(H19,Rates!$B$6)</f>
        <v>0</v>
      </c>
    </row>
    <row r="20" customFormat="false" ht="15" hidden="false" customHeight="false" outlineLevel="0" collapsed="false">
      <c r="A20" s="1" t="s">
        <v>30</v>
      </c>
      <c r="B20" s="1" t="s">
        <v>12</v>
      </c>
      <c r="C20" s="1" t="n">
        <v>100000</v>
      </c>
      <c r="D20" s="1" t="n">
        <v>231619</v>
      </c>
      <c r="E20" s="1" t="n">
        <f aca="false">D20/C20</f>
        <v>2.31619</v>
      </c>
      <c r="F20" s="1" t="str">
        <f aca="false">IF(E20&gt;=1.2,"gold",IF(E20&gt;=1,"silver",IF(E20&gt;=0.7,"bronze","none")))</f>
        <v>gold</v>
      </c>
      <c r="G20" s="1" t="n">
        <f aca="false">IF(F20="gold",Rates!$B$2,IF(F20="silver",Rates!$B$3,IF(F20="bronze",Rates!$B$4,0)))</f>
        <v>0.1</v>
      </c>
      <c r="H20" s="1" t="n">
        <f aca="false">ROUND(D20*G20,2)</f>
        <v>23161.9</v>
      </c>
      <c r="I20" s="1" t="n">
        <f aca="false">MIN(H20,Rates!$B$6)</f>
        <v>23161.9</v>
      </c>
    </row>
    <row r="21" customFormat="false" ht="15" hidden="false" customHeight="false" outlineLevel="0" collapsed="false">
      <c r="A21" s="1" t="s">
        <v>31</v>
      </c>
      <c r="B21" s="1" t="s">
        <v>14</v>
      </c>
      <c r="C21" s="1" t="n">
        <v>200000</v>
      </c>
      <c r="D21" s="1" t="n">
        <v>346873</v>
      </c>
      <c r="E21" s="1" t="n">
        <f aca="false">D21/C21</f>
        <v>1.734365</v>
      </c>
      <c r="F21" s="1" t="str">
        <f aca="false">IF(E21&gt;=1.2,"gold",IF(E21&gt;=1,"silver",IF(E21&gt;=0.7,"bronze","none")))</f>
        <v>gold</v>
      </c>
      <c r="G21" s="1" t="n">
        <f aca="false">IF(F21="gold",Rates!$B$2,IF(F21="silver",Rates!$B$3,IF(F21="bronze",Rates!$B$4,0)))</f>
        <v>0.1</v>
      </c>
      <c r="H21" s="1" t="n">
        <f aca="false">ROUND(D21*G21,2)</f>
        <v>34687.3</v>
      </c>
      <c r="I21" s="1" t="n">
        <f aca="false">MIN(H21,Rates!$B$6)</f>
        <v>34687.3</v>
      </c>
    </row>
    <row r="22" customFormat="false" ht="15" hidden="false" customHeight="false" outlineLevel="0" collapsed="false">
      <c r="A22" s="1" t="s">
        <v>32</v>
      </c>
      <c r="B22" s="1" t="s">
        <v>14</v>
      </c>
      <c r="C22" s="1" t="n">
        <v>400000</v>
      </c>
      <c r="D22" s="1" t="n">
        <v>96660</v>
      </c>
      <c r="E22" s="1" t="n">
        <f aca="false">D22/C22</f>
        <v>0.24165</v>
      </c>
      <c r="F22" s="1" t="str">
        <f aca="false">IF(E22&gt;=1.2,"gold",IF(E22&gt;=1,"silver",IF(E22&gt;=0.7,"bronze","none")))</f>
        <v>none</v>
      </c>
      <c r="G22" s="1" t="n">
        <f aca="false">IF(F22="gold",Rates!$B$2,IF(F22="silver",Rates!$B$3,IF(F22="bronze",Rates!$B$4,0)))</f>
        <v>0</v>
      </c>
      <c r="H22" s="1" t="n">
        <f aca="false">ROUND(D22*G22,2)</f>
        <v>0</v>
      </c>
      <c r="I22" s="1" t="n">
        <f aca="false">MIN(H22,Rates!$B$6)</f>
        <v>0</v>
      </c>
    </row>
    <row r="23" customFormat="false" ht="15" hidden="false" customHeight="false" outlineLevel="0" collapsed="false">
      <c r="A23" s="1" t="s">
        <v>33</v>
      </c>
      <c r="B23" s="1" t="s">
        <v>10</v>
      </c>
      <c r="C23" s="1" t="n">
        <v>400000</v>
      </c>
      <c r="D23" s="1" t="n">
        <v>556509</v>
      </c>
      <c r="E23" s="1" t="n">
        <f aca="false">D23/C23</f>
        <v>1.3912725</v>
      </c>
      <c r="F23" s="1" t="str">
        <f aca="false">IF(E23&gt;=1.2,"gold",IF(E23&gt;=1,"silver",IF(E23&gt;=0.7,"bronze","none")))</f>
        <v>gold</v>
      </c>
      <c r="G23" s="1" t="n">
        <f aca="false">IF(F23="gold",Rates!$B$2,IF(F23="silver",Rates!$B$3,IF(F23="bronze",Rates!$B$4,0)))</f>
        <v>0.1</v>
      </c>
      <c r="H23" s="1" t="n">
        <f aca="false">ROUND(D23*G23,2)</f>
        <v>55650.9</v>
      </c>
      <c r="I23" s="1" t="n">
        <f aca="false">MIN(H23,Rates!$B$6)</f>
        <v>45000</v>
      </c>
    </row>
    <row r="24" customFormat="false" ht="15" hidden="false" customHeight="false" outlineLevel="0" collapsed="false">
      <c r="A24" s="1" t="s">
        <v>34</v>
      </c>
      <c r="B24" s="1" t="s">
        <v>10</v>
      </c>
      <c r="C24" s="1" t="n">
        <v>200000</v>
      </c>
      <c r="D24" s="1" t="n">
        <v>268974</v>
      </c>
      <c r="E24" s="1" t="n">
        <f aca="false">D24/C24</f>
        <v>1.34487</v>
      </c>
      <c r="F24" s="1" t="str">
        <f aca="false">IF(E24&gt;=1.2,"gold",IF(E24&gt;=1,"silver",IF(E24&gt;=0.7,"bronze","none")))</f>
        <v>gold</v>
      </c>
      <c r="G24" s="1" t="n">
        <f aca="false">IF(F24="gold",Rates!$B$2,IF(F24="silver",Rates!$B$3,IF(F24="bronze",Rates!$B$4,0)))</f>
        <v>0.1</v>
      </c>
      <c r="H24" s="1" t="n">
        <f aca="false">ROUND(D24*G24,2)</f>
        <v>26897.4</v>
      </c>
      <c r="I24" s="1" t="n">
        <f aca="false">MIN(H24,Rates!$B$6)</f>
        <v>26897.4</v>
      </c>
    </row>
    <row r="25" customFormat="false" ht="15" hidden="false" customHeight="false" outlineLevel="0" collapsed="false">
      <c r="A25" s="1" t="s">
        <v>35</v>
      </c>
      <c r="B25" s="1" t="s">
        <v>14</v>
      </c>
      <c r="C25" s="1" t="n">
        <v>400000</v>
      </c>
      <c r="D25" s="1" t="n">
        <v>368890</v>
      </c>
      <c r="E25" s="1" t="n">
        <f aca="false">D25/C25</f>
        <v>0.922225</v>
      </c>
      <c r="F25" s="1" t="str">
        <f aca="false">IF(E25&gt;=1.2,"gold",IF(E25&gt;=1,"silver",IF(E25&gt;=0.7,"bronze","none")))</f>
        <v>bronze</v>
      </c>
      <c r="G25" s="1" t="n">
        <f aca="false">IF(F25="gold",Rates!$B$2,IF(F25="silver",Rates!$B$3,IF(F25="bronze",Rates!$B$4,0)))</f>
        <v>0.04</v>
      </c>
      <c r="H25" s="1" t="n">
        <f aca="false">ROUND(D25*G25,2)</f>
        <v>14755.6</v>
      </c>
      <c r="I25" s="1" t="n">
        <f aca="false">MIN(H25,Rates!$B$6)</f>
        <v>14755.6</v>
      </c>
    </row>
    <row r="26" customFormat="false" ht="15" hidden="false" customHeight="false" outlineLevel="0" collapsed="false">
      <c r="A26" s="1" t="s">
        <v>36</v>
      </c>
      <c r="B26" s="1" t="s">
        <v>12</v>
      </c>
      <c r="C26" s="1" t="n">
        <v>400000</v>
      </c>
      <c r="D26" s="1" t="n">
        <v>445799</v>
      </c>
      <c r="E26" s="1" t="n">
        <f aca="false">D26/C26</f>
        <v>1.1144975</v>
      </c>
      <c r="F26" s="1" t="str">
        <f aca="false">IF(E26&gt;=1.2,"gold",IF(E26&gt;=1,"silver",IF(E26&gt;=0.7,"bronze","none")))</f>
        <v>silver</v>
      </c>
      <c r="G26" s="1" t="n">
        <f aca="false">IF(F26="gold",Rates!$B$2,IF(F26="silver",Rates!$B$3,IF(F26="bronze",Rates!$B$4,0)))</f>
        <v>0.08</v>
      </c>
      <c r="H26" s="1" t="n">
        <f aca="false">ROUND(D26*G26,2)</f>
        <v>35663.92</v>
      </c>
      <c r="I26" s="1" t="n">
        <f aca="false">MIN(H26,Rates!$B$6)</f>
        <v>35663.92</v>
      </c>
    </row>
    <row r="27" customFormat="false" ht="15" hidden="false" customHeight="false" outlineLevel="0" collapsed="false">
      <c r="A27" s="1" t="s">
        <v>37</v>
      </c>
      <c r="B27" s="1" t="s">
        <v>14</v>
      </c>
      <c r="C27" s="1" t="n">
        <v>200000</v>
      </c>
      <c r="D27" s="1" t="n">
        <v>198497</v>
      </c>
      <c r="E27" s="1" t="n">
        <f aca="false">D27/C27</f>
        <v>0.992485</v>
      </c>
      <c r="F27" s="1" t="str">
        <f aca="false">IF(E27&gt;=1.2,"gold",IF(E27&gt;=1,"silver",IF(E27&gt;=0.7,"bronze","none")))</f>
        <v>bronze</v>
      </c>
      <c r="G27" s="1" t="n">
        <f aca="false">IF(F27="gold",Rates!$B$2,IF(F27="silver",Rates!$B$3,IF(F27="bronze",Rates!$B$4,0)))</f>
        <v>0.04</v>
      </c>
      <c r="H27" s="1" t="n">
        <f aca="false">ROUND(D27*G27,2)</f>
        <v>7939.88</v>
      </c>
      <c r="I27" s="1" t="n">
        <f aca="false">MIN(H27,Rates!$B$6)</f>
        <v>7939.88</v>
      </c>
    </row>
    <row r="28" customFormat="false" ht="15" hidden="false" customHeight="false" outlineLevel="0" collapsed="false">
      <c r="A28" s="1" t="s">
        <v>38</v>
      </c>
      <c r="B28" s="1" t="s">
        <v>12</v>
      </c>
      <c r="C28" s="1" t="n">
        <v>400000</v>
      </c>
      <c r="D28" s="1" t="n">
        <v>197571</v>
      </c>
      <c r="E28" s="1" t="n">
        <f aca="false">D28/C28</f>
        <v>0.4939275</v>
      </c>
      <c r="F28" s="1" t="str">
        <f aca="false">IF(E28&gt;=1.2,"gold",IF(E28&gt;=1,"silver",IF(E28&gt;=0.7,"bronze","none")))</f>
        <v>none</v>
      </c>
      <c r="G28" s="1" t="n">
        <f aca="false">IF(F28="gold",Rates!$B$2,IF(F28="silver",Rates!$B$3,IF(F28="bronze",Rates!$B$4,0)))</f>
        <v>0</v>
      </c>
      <c r="H28" s="1" t="n">
        <f aca="false">ROUND(D28*G28,2)</f>
        <v>0</v>
      </c>
      <c r="I28" s="1" t="n">
        <f aca="false">MIN(H28,Rates!$B$6)</f>
        <v>0</v>
      </c>
    </row>
    <row r="29" customFormat="false" ht="15" hidden="false" customHeight="false" outlineLevel="0" collapsed="false">
      <c r="A29" s="1" t="s">
        <v>39</v>
      </c>
      <c r="B29" s="1" t="s">
        <v>14</v>
      </c>
      <c r="C29" s="1" t="n">
        <v>200000</v>
      </c>
      <c r="D29" s="1" t="n">
        <v>527763</v>
      </c>
      <c r="E29" s="1" t="n">
        <f aca="false">D29/C29</f>
        <v>2.638815</v>
      </c>
      <c r="F29" s="1" t="str">
        <f aca="false">IF(E29&gt;=1.2,"gold",IF(E29&gt;=1,"silver",IF(E29&gt;=0.7,"bronze","none")))</f>
        <v>gold</v>
      </c>
      <c r="G29" s="1" t="n">
        <f aca="false">IF(F29="gold",Rates!$B$2,IF(F29="silver",Rates!$B$3,IF(F29="bronze",Rates!$B$4,0)))</f>
        <v>0.1</v>
      </c>
      <c r="H29" s="1" t="n">
        <f aca="false">ROUND(D29*G29,2)</f>
        <v>52776.3</v>
      </c>
      <c r="I29" s="1" t="n">
        <f aca="false">MIN(H29,Rates!$B$6)</f>
        <v>45000</v>
      </c>
    </row>
    <row r="30" customFormat="false" ht="15" hidden="false" customHeight="false" outlineLevel="0" collapsed="false">
      <c r="A30" s="1" t="s">
        <v>40</v>
      </c>
      <c r="B30" s="1" t="s">
        <v>10</v>
      </c>
      <c r="C30" s="1" t="n">
        <v>200000</v>
      </c>
      <c r="D30" s="1" t="n">
        <v>138957</v>
      </c>
      <c r="E30" s="1" t="n">
        <f aca="false">D30/C30</f>
        <v>0.694785</v>
      </c>
      <c r="F30" s="1" t="str">
        <f aca="false">IF(E30&gt;=1.2,"gold",IF(E30&gt;=1,"silver",IF(E30&gt;=0.7,"bronze","none")))</f>
        <v>none</v>
      </c>
      <c r="G30" s="1" t="n">
        <f aca="false">IF(F30="gold",Rates!$B$2,IF(F30="silver",Rates!$B$3,IF(F30="bronze",Rates!$B$4,0)))</f>
        <v>0</v>
      </c>
      <c r="H30" s="1" t="n">
        <f aca="false">ROUND(D30*G30,2)</f>
        <v>0</v>
      </c>
      <c r="I30" s="1" t="n">
        <f aca="false">MIN(H30,Rates!$B$6)</f>
        <v>0</v>
      </c>
    </row>
    <row r="31" customFormat="false" ht="15" hidden="false" customHeight="false" outlineLevel="0" collapsed="false">
      <c r="A31" s="1" t="s">
        <v>41</v>
      </c>
      <c r="B31" s="1" t="s">
        <v>14</v>
      </c>
      <c r="C31" s="1" t="n">
        <v>400000</v>
      </c>
      <c r="D31" s="1" t="n">
        <v>251271</v>
      </c>
      <c r="E31" s="1" t="n">
        <f aca="false">D31/C31</f>
        <v>0.6281775</v>
      </c>
      <c r="F31" s="1" t="str">
        <f aca="false">IF(E31&gt;=1.2,"gold",IF(E31&gt;=1,"silver",IF(E31&gt;=0.7,"bronze","none")))</f>
        <v>none</v>
      </c>
      <c r="G31" s="1" t="n">
        <f aca="false">IF(F31="gold",Rates!$B$2,IF(F31="silver",Rates!$B$3,IF(F31="bronze",Rates!$B$4,0)))</f>
        <v>0</v>
      </c>
      <c r="H31" s="1" t="n">
        <f aca="false">ROUND(D31*G31,2)</f>
        <v>0</v>
      </c>
      <c r="I31" s="1" t="n">
        <f aca="false">MIN(H31,Rates!$B$6)</f>
        <v>0</v>
      </c>
    </row>
    <row r="32" customFormat="false" ht="15" hidden="false" customHeight="false" outlineLevel="0" collapsed="false">
      <c r="A32" s="1" t="s">
        <v>42</v>
      </c>
      <c r="B32" s="1" t="s">
        <v>14</v>
      </c>
      <c r="C32" s="1" t="n">
        <v>300000</v>
      </c>
      <c r="D32" s="1" t="n">
        <v>110481</v>
      </c>
      <c r="E32" s="1" t="n">
        <f aca="false">D32/C32</f>
        <v>0.36827</v>
      </c>
      <c r="F32" s="1" t="str">
        <f aca="false">IF(E32&gt;=1.2,"gold",IF(E32&gt;=1,"silver",IF(E32&gt;=0.7,"bronze","none")))</f>
        <v>none</v>
      </c>
      <c r="G32" s="1" t="n">
        <f aca="false">IF(F32="gold",Rates!$B$2,IF(F32="silver",Rates!$B$3,IF(F32="bronze",Rates!$B$4,0)))</f>
        <v>0</v>
      </c>
      <c r="H32" s="1" t="n">
        <f aca="false">ROUND(D32*G32,2)</f>
        <v>0</v>
      </c>
      <c r="I32" s="1" t="n">
        <f aca="false">MIN(H32,Rates!$B$6)</f>
        <v>0</v>
      </c>
    </row>
    <row r="33" customFormat="false" ht="15" hidden="false" customHeight="false" outlineLevel="0" collapsed="false">
      <c r="A33" s="1" t="s">
        <v>43</v>
      </c>
      <c r="B33" s="1" t="s">
        <v>44</v>
      </c>
      <c r="C33" s="1" t="n">
        <v>300000</v>
      </c>
      <c r="D33" s="1" t="n">
        <v>165517</v>
      </c>
      <c r="E33" s="1" t="n">
        <f aca="false">D33/C33</f>
        <v>0.551723333333333</v>
      </c>
      <c r="F33" s="1" t="str">
        <f aca="false">IF(E33&gt;=1.2,"gold",IF(E33&gt;=1,"silver",IF(E33&gt;=0.7,"bronze","none")))</f>
        <v>none</v>
      </c>
      <c r="G33" s="1" t="n">
        <f aca="false">IF(F33="gold",Rates!$B$2,IF(F33="silver",Rates!$B$3,IF(F33="bronze",Rates!$B$4,0)))</f>
        <v>0</v>
      </c>
      <c r="H33" s="1" t="n">
        <f aca="false">ROUND(D33*G33,2)</f>
        <v>0</v>
      </c>
      <c r="I33" s="1" t="n">
        <f aca="false">MIN(H33,Rates!$B$6)</f>
        <v>0</v>
      </c>
    </row>
    <row r="34" customFormat="false" ht="15" hidden="false" customHeight="false" outlineLevel="0" collapsed="false">
      <c r="A34" s="1" t="s">
        <v>45</v>
      </c>
      <c r="B34" s="1" t="s">
        <v>12</v>
      </c>
      <c r="C34" s="1" t="n">
        <v>400000</v>
      </c>
      <c r="D34" s="1" t="n">
        <v>460135</v>
      </c>
      <c r="E34" s="1" t="n">
        <f aca="false">D34/C34</f>
        <v>1.1503375</v>
      </c>
      <c r="F34" s="1" t="str">
        <f aca="false">IF(E34&gt;=1.2,"gold",IF(E34&gt;=1,"silver",IF(E34&gt;=0.7,"bronze","none")))</f>
        <v>silver</v>
      </c>
      <c r="G34" s="1" t="n">
        <f aca="false">IF(F34="gold",Rates!$B$2,IF(F34="silver",Rates!$B$3,IF(F34="bronze",Rates!$B$4,0)))</f>
        <v>0.08</v>
      </c>
      <c r="H34" s="1" t="n">
        <f aca="false">ROUND(D34*G34,2)</f>
        <v>36810.8</v>
      </c>
      <c r="I34" s="1" t="n">
        <f aca="false">MIN(H34,Rates!$B$6)</f>
        <v>36810.8</v>
      </c>
    </row>
    <row r="35" customFormat="false" ht="15" hidden="false" customHeight="false" outlineLevel="0" collapsed="false">
      <c r="A35" s="1" t="s">
        <v>46</v>
      </c>
      <c r="B35" s="1" t="s">
        <v>10</v>
      </c>
      <c r="C35" s="1" t="n">
        <v>400000</v>
      </c>
      <c r="D35" s="1" t="n">
        <v>230792</v>
      </c>
      <c r="E35" s="1" t="n">
        <f aca="false">D35/C35</f>
        <v>0.57698</v>
      </c>
      <c r="F35" s="1" t="str">
        <f aca="false">IF(E35&gt;=1.2,"gold",IF(E35&gt;=1,"silver",IF(E35&gt;=0.7,"bronze","none")))</f>
        <v>none</v>
      </c>
      <c r="G35" s="1" t="n">
        <f aca="false">IF(F35="gold",Rates!$B$2,IF(F35="silver",Rates!$B$3,IF(F35="bronze",Rates!$B$4,0)))</f>
        <v>0</v>
      </c>
      <c r="H35" s="1" t="n">
        <f aca="false">ROUND(D35*G35,2)</f>
        <v>0</v>
      </c>
      <c r="I35" s="1" t="n">
        <f aca="false">MIN(H35,Rates!$B$6)</f>
        <v>0</v>
      </c>
    </row>
    <row r="36" customFormat="false" ht="15" hidden="false" customHeight="false" outlineLevel="0" collapsed="false">
      <c r="A36" s="1" t="s">
        <v>47</v>
      </c>
      <c r="B36" s="1" t="s">
        <v>10</v>
      </c>
      <c r="C36" s="1" t="n">
        <v>200000</v>
      </c>
      <c r="D36" s="1" t="n">
        <v>167385</v>
      </c>
      <c r="E36" s="1" t="n">
        <f aca="false">D36/C36</f>
        <v>0.836925</v>
      </c>
      <c r="F36" s="1" t="str">
        <f aca="false">IF(E36&gt;=1.2,"gold",IF(E36&gt;=1,"silver",IF(E36&gt;=0.7,"bronze","none")))</f>
        <v>bronze</v>
      </c>
      <c r="G36" s="1" t="n">
        <f aca="false">IF(F36="gold",Rates!$B$2,IF(F36="silver",Rates!$B$3,IF(F36="bronze",Rates!$B$4,0)))</f>
        <v>0.04</v>
      </c>
      <c r="H36" s="1" t="n">
        <f aca="false">ROUND(D36*G36,2)</f>
        <v>6695.4</v>
      </c>
      <c r="I36" s="1" t="n">
        <f aca="false">MIN(H36,Rates!$B$6)</f>
        <v>6695.4</v>
      </c>
    </row>
    <row r="37" customFormat="false" ht="15" hidden="false" customHeight="false" outlineLevel="0" collapsed="false">
      <c r="A37" s="1" t="s">
        <v>48</v>
      </c>
      <c r="B37" s="1" t="s">
        <v>10</v>
      </c>
      <c r="C37" s="1" t="n">
        <v>300000</v>
      </c>
      <c r="D37" s="1" t="n">
        <v>228590</v>
      </c>
      <c r="E37" s="1" t="n">
        <f aca="false">D37/C37</f>
        <v>0.761966666666667</v>
      </c>
      <c r="F37" s="1" t="str">
        <f aca="false">IF(E37&gt;=1.2,"gold",IF(E37&gt;=1,"silver",IF(E37&gt;=0.7,"bronze","none")))</f>
        <v>bronze</v>
      </c>
      <c r="G37" s="1" t="n">
        <f aca="false">IF(F37="gold",Rates!$B$2,IF(F37="silver",Rates!$B$3,IF(F37="bronze",Rates!$B$4,0)))</f>
        <v>0.04</v>
      </c>
      <c r="H37" s="1" t="n">
        <f aca="false">ROUND(D37*G37,2)</f>
        <v>9143.6</v>
      </c>
      <c r="I37" s="1" t="n">
        <f aca="false">MIN(H37,Rates!$B$6)</f>
        <v>9143.6</v>
      </c>
    </row>
    <row r="38" customFormat="false" ht="15" hidden="false" customHeight="false" outlineLevel="0" collapsed="false">
      <c r="A38" s="1" t="s">
        <v>49</v>
      </c>
      <c r="B38" s="1" t="s">
        <v>14</v>
      </c>
      <c r="C38" s="1" t="n">
        <v>300000</v>
      </c>
      <c r="D38" s="1" t="n">
        <v>396231</v>
      </c>
      <c r="E38" s="1" t="n">
        <f aca="false">D38/C38</f>
        <v>1.32077</v>
      </c>
      <c r="F38" s="1" t="str">
        <f aca="false">IF(E38&gt;=1.2,"gold",IF(E38&gt;=1,"silver",IF(E38&gt;=0.7,"bronze","none")))</f>
        <v>gold</v>
      </c>
      <c r="G38" s="1" t="n">
        <f aca="false">IF(F38="gold",Rates!$B$2,IF(F38="silver",Rates!$B$3,IF(F38="bronze",Rates!$B$4,0)))</f>
        <v>0.1</v>
      </c>
      <c r="H38" s="1" t="n">
        <f aca="false">ROUND(D38*G38,2)</f>
        <v>39623.1</v>
      </c>
      <c r="I38" s="1" t="n">
        <f aca="false">MIN(H38,Rates!$B$6)</f>
        <v>39623.1</v>
      </c>
    </row>
    <row r="39" customFormat="false" ht="15" hidden="false" customHeight="false" outlineLevel="0" collapsed="false">
      <c r="A39" s="1" t="s">
        <v>50</v>
      </c>
      <c r="B39" s="1" t="s">
        <v>14</v>
      </c>
      <c r="C39" s="1" t="n">
        <v>400000</v>
      </c>
      <c r="D39" s="1" t="n">
        <v>481254</v>
      </c>
      <c r="E39" s="1" t="n">
        <f aca="false">D39/C39</f>
        <v>1.203135</v>
      </c>
      <c r="F39" s="1" t="str">
        <f aca="false">IF(E39&gt;=1.2,"gold",IF(E39&gt;=1,"silver",IF(E39&gt;=0.7,"bronze","none")))</f>
        <v>gold</v>
      </c>
      <c r="G39" s="1" t="n">
        <f aca="false">IF(F39="gold",Rates!$B$2,IF(F39="silver",Rates!$B$3,IF(F39="bronze",Rates!$B$4,0)))</f>
        <v>0.1</v>
      </c>
      <c r="H39" s="1" t="n">
        <f aca="false">ROUND(D39*G39,2)</f>
        <v>48125.4</v>
      </c>
      <c r="I39" s="1" t="n">
        <f aca="false">MIN(H39,Rates!$B$6)</f>
        <v>45000</v>
      </c>
    </row>
    <row r="40" customFormat="false" ht="15" hidden="false" customHeight="false" outlineLevel="0" collapsed="false">
      <c r="A40" s="1" t="s">
        <v>51</v>
      </c>
      <c r="B40" s="1" t="s">
        <v>14</v>
      </c>
      <c r="C40" s="1" t="n">
        <v>300000</v>
      </c>
      <c r="D40" s="1" t="n">
        <v>479397</v>
      </c>
      <c r="E40" s="1" t="n">
        <f aca="false">D40/C40</f>
        <v>1.59799</v>
      </c>
      <c r="F40" s="1" t="str">
        <f aca="false">IF(E40&gt;=1.2,"gold",IF(E40&gt;=1,"silver",IF(E40&gt;=0.7,"bronze","none")))</f>
        <v>gold</v>
      </c>
      <c r="G40" s="1" t="n">
        <f aca="false">IF(F40="gold",Rates!$B$2,IF(F40="silver",Rates!$B$3,IF(F40="bronze",Rates!$B$4,0)))</f>
        <v>0.1</v>
      </c>
      <c r="H40" s="1" t="n">
        <f aca="false">ROUND(D40*G40,2)</f>
        <v>47939.7</v>
      </c>
      <c r="I40" s="1" t="n">
        <f aca="false">MIN(H40,Rates!$B$6)</f>
        <v>45000</v>
      </c>
    </row>
    <row r="41" customFormat="false" ht="15" hidden="false" customHeight="false" outlineLevel="0" collapsed="false">
      <c r="A41" s="1" t="s">
        <v>52</v>
      </c>
      <c r="B41" s="1" t="s">
        <v>10</v>
      </c>
      <c r="C41" s="1" t="n">
        <v>300000</v>
      </c>
      <c r="D41" s="1" t="n">
        <v>240343</v>
      </c>
      <c r="E41" s="1" t="n">
        <f aca="false">D41/C41</f>
        <v>0.801143333333333</v>
      </c>
      <c r="F41" s="1" t="str">
        <f aca="false">IF(E41&gt;=1.2,"gold",IF(E41&gt;=1,"silver",IF(E41&gt;=0.7,"bronze","none")))</f>
        <v>bronze</v>
      </c>
      <c r="G41" s="1" t="n">
        <f aca="false">IF(F41="gold",Rates!$B$2,IF(F41="silver",Rates!$B$3,IF(F41="bronze",Rates!$B$4,0)))</f>
        <v>0.04</v>
      </c>
      <c r="H41" s="1" t="n">
        <f aca="false">ROUND(D41*G41,2)</f>
        <v>9613.72</v>
      </c>
      <c r="I41" s="1" t="n">
        <f aca="false">MIN(H41,Rates!$B$6)</f>
        <v>9613.72</v>
      </c>
    </row>
    <row r="42" customFormat="false" ht="15" hidden="false" customHeight="false" outlineLevel="0" collapsed="false">
      <c r="A42" s="1" t="s">
        <v>53</v>
      </c>
      <c r="B42" s="1" t="s">
        <v>12</v>
      </c>
      <c r="C42" s="1" t="n">
        <v>400000</v>
      </c>
      <c r="D42" s="1" t="n">
        <v>455689</v>
      </c>
      <c r="E42" s="1" t="n">
        <f aca="false">D42/C42</f>
        <v>1.1392225</v>
      </c>
      <c r="F42" s="1" t="str">
        <f aca="false">IF(E42&gt;=1.2,"gold",IF(E42&gt;=1,"silver",IF(E42&gt;=0.7,"bronze","none")))</f>
        <v>silver</v>
      </c>
      <c r="G42" s="1" t="n">
        <f aca="false">IF(F42="gold",Rates!$B$2,IF(F42="silver",Rates!$B$3,IF(F42="bronze",Rates!$B$4,0)))</f>
        <v>0.08</v>
      </c>
      <c r="H42" s="1" t="n">
        <f aca="false">ROUND(D42*G42,2)</f>
        <v>36455.12</v>
      </c>
      <c r="I42" s="1" t="n">
        <f aca="false">MIN(H42,Rates!$B$6)</f>
        <v>36455.12</v>
      </c>
    </row>
    <row r="43" customFormat="false" ht="15" hidden="false" customHeight="false" outlineLevel="0" collapsed="false">
      <c r="A43" s="1" t="s">
        <v>54</v>
      </c>
      <c r="B43" s="1" t="s">
        <v>10</v>
      </c>
      <c r="C43" s="1" t="n">
        <v>400000</v>
      </c>
      <c r="D43" s="1" t="n">
        <v>177024</v>
      </c>
      <c r="E43" s="1" t="n">
        <f aca="false">D43/C43</f>
        <v>0.44256</v>
      </c>
      <c r="F43" s="1" t="str">
        <f aca="false">IF(E43&gt;=1.2,"gold",IF(E43&gt;=1,"silver",IF(E43&gt;=0.7,"bronze","none")))</f>
        <v>none</v>
      </c>
      <c r="G43" s="1" t="n">
        <f aca="false">IF(F43="gold",Rates!$B$2,IF(F43="silver",Rates!$B$3,IF(F43="bronze",Rates!$B$4,0)))</f>
        <v>0</v>
      </c>
      <c r="H43" s="1" t="n">
        <f aca="false">ROUND(D43*G43,2)</f>
        <v>0</v>
      </c>
      <c r="I43" s="1" t="n">
        <f aca="false">MIN(H43,Rates!$B$6)</f>
        <v>0</v>
      </c>
    </row>
    <row r="44" customFormat="false" ht="15" hidden="false" customHeight="false" outlineLevel="0" collapsed="false">
      <c r="A44" s="1" t="s">
        <v>55</v>
      </c>
      <c r="B44" s="1" t="s">
        <v>10</v>
      </c>
      <c r="C44" s="1" t="n">
        <v>400000</v>
      </c>
      <c r="D44" s="1" t="n">
        <v>255133</v>
      </c>
      <c r="E44" s="1" t="n">
        <f aca="false">D44/C44</f>
        <v>0.6378325</v>
      </c>
      <c r="F44" s="1" t="str">
        <f aca="false">IF(E44&gt;=1.2,"gold",IF(E44&gt;=1,"silver",IF(E44&gt;=0.7,"bronze","none")))</f>
        <v>none</v>
      </c>
      <c r="G44" s="1" t="n">
        <f aca="false">IF(F44="gold",Rates!$B$2,IF(F44="silver",Rates!$B$3,IF(F44="bronze",Rates!$B$4,0)))</f>
        <v>0</v>
      </c>
      <c r="H44" s="1" t="n">
        <f aca="false">ROUND(D44*G44,2)</f>
        <v>0</v>
      </c>
      <c r="I44" s="1" t="n">
        <f aca="false">MIN(H44,Rates!$B$6)</f>
        <v>0</v>
      </c>
    </row>
    <row r="45" customFormat="false" ht="15" hidden="false" customHeight="false" outlineLevel="0" collapsed="false">
      <c r="A45" s="1" t="s">
        <v>56</v>
      </c>
      <c r="B45" s="1" t="s">
        <v>44</v>
      </c>
      <c r="C45" s="1" t="n">
        <v>200000</v>
      </c>
      <c r="D45" s="1" t="n">
        <v>417128</v>
      </c>
      <c r="E45" s="1" t="n">
        <f aca="false">D45/C45</f>
        <v>2.08564</v>
      </c>
      <c r="F45" s="1" t="str">
        <f aca="false">IF(E45&gt;=1.2,"gold",IF(E45&gt;=1,"silver",IF(E45&gt;=0.7,"bronze","none")))</f>
        <v>gold</v>
      </c>
      <c r="G45" s="1" t="n">
        <f aca="false">IF(F45="gold",Rates!$B$2,IF(F45="silver",Rates!$B$3,IF(F45="bronze",Rates!$B$4,0)))</f>
        <v>0.1</v>
      </c>
      <c r="H45" s="1" t="n">
        <f aca="false">ROUND(D45*G45,2)</f>
        <v>41712.8</v>
      </c>
      <c r="I45" s="1" t="n">
        <f aca="false">MIN(H45,Rates!$B$6)</f>
        <v>41712.8</v>
      </c>
    </row>
    <row r="46" customFormat="false" ht="15" hidden="false" customHeight="false" outlineLevel="0" collapsed="false">
      <c r="A46" s="1" t="s">
        <v>57</v>
      </c>
      <c r="B46" s="1" t="s">
        <v>12</v>
      </c>
      <c r="C46" s="1" t="n">
        <v>400000</v>
      </c>
      <c r="D46" s="1" t="n">
        <v>513801</v>
      </c>
      <c r="E46" s="1" t="n">
        <f aca="false">D46/C46</f>
        <v>1.2845025</v>
      </c>
      <c r="F46" s="1" t="str">
        <f aca="false">IF(E46&gt;=1.2,"gold",IF(E46&gt;=1,"silver",IF(E46&gt;=0.7,"bronze","none")))</f>
        <v>gold</v>
      </c>
      <c r="G46" s="1" t="n">
        <f aca="false">IF(F46="gold",Rates!$B$2,IF(F46="silver",Rates!$B$3,IF(F46="bronze",Rates!$B$4,0)))</f>
        <v>0.1</v>
      </c>
      <c r="H46" s="1" t="n">
        <f aca="false">ROUND(D46*G46,2)</f>
        <v>51380.1</v>
      </c>
      <c r="I46" s="1" t="n">
        <f aca="false">MIN(H46,Rates!$B$6)</f>
        <v>45000</v>
      </c>
    </row>
    <row r="47" customFormat="false" ht="15" hidden="false" customHeight="false" outlineLevel="0" collapsed="false">
      <c r="A47" s="1" t="s">
        <v>58</v>
      </c>
      <c r="B47" s="1" t="s">
        <v>44</v>
      </c>
      <c r="C47" s="1" t="n">
        <v>200000</v>
      </c>
      <c r="D47" s="1" t="n">
        <v>77777</v>
      </c>
      <c r="E47" s="1" t="n">
        <f aca="false">D47/C47</f>
        <v>0.388885</v>
      </c>
      <c r="F47" s="1" t="str">
        <f aca="false">IF(E47&gt;=1.2,"gold",IF(E47&gt;=1,"silver",IF(E47&gt;=0.7,"bronze","none")))</f>
        <v>none</v>
      </c>
      <c r="G47" s="1" t="n">
        <f aca="false">IF(F47="gold",Rates!$B$2,IF(F47="silver",Rates!$B$3,IF(F47="bronze",Rates!$B$4,0)))</f>
        <v>0</v>
      </c>
      <c r="H47" s="1" t="n">
        <f aca="false">ROUND(D47*G47,2)</f>
        <v>0</v>
      </c>
      <c r="I47" s="1" t="n">
        <f aca="false">MIN(H47,Rates!$B$6)</f>
        <v>0</v>
      </c>
    </row>
    <row r="48" customFormat="false" ht="15" hidden="false" customHeight="false" outlineLevel="0" collapsed="false">
      <c r="A48" s="1" t="s">
        <v>59</v>
      </c>
      <c r="B48" s="1" t="s">
        <v>12</v>
      </c>
      <c r="C48" s="1" t="n">
        <v>300000</v>
      </c>
      <c r="D48" s="1" t="n">
        <v>570586</v>
      </c>
      <c r="E48" s="1" t="n">
        <f aca="false">D48/C48</f>
        <v>1.90195333333333</v>
      </c>
      <c r="F48" s="1" t="str">
        <f aca="false">IF(E48&gt;=1.2,"gold",IF(E48&gt;=1,"silver",IF(E48&gt;=0.7,"bronze","none")))</f>
        <v>gold</v>
      </c>
      <c r="G48" s="1" t="n">
        <f aca="false">IF(F48="gold",Rates!$B$2,IF(F48="silver",Rates!$B$3,IF(F48="bronze",Rates!$B$4,0)))</f>
        <v>0.1</v>
      </c>
      <c r="H48" s="1" t="n">
        <f aca="false">ROUND(D48*G48,2)</f>
        <v>57058.6</v>
      </c>
      <c r="I48" s="1" t="n">
        <f aca="false">MIN(H48,Rates!$B$6)</f>
        <v>45000</v>
      </c>
    </row>
    <row r="49" customFormat="false" ht="15" hidden="false" customHeight="false" outlineLevel="0" collapsed="false">
      <c r="A49" s="1" t="s">
        <v>60</v>
      </c>
      <c r="B49" s="1" t="s">
        <v>14</v>
      </c>
      <c r="C49" s="1" t="n">
        <v>400000</v>
      </c>
      <c r="D49" s="1" t="n">
        <v>131576</v>
      </c>
      <c r="E49" s="1" t="n">
        <f aca="false">D49/C49</f>
        <v>0.32894</v>
      </c>
      <c r="F49" s="1" t="str">
        <f aca="false">IF(E49&gt;=1.2,"gold",IF(E49&gt;=1,"silver",IF(E49&gt;=0.7,"bronze","none")))</f>
        <v>none</v>
      </c>
      <c r="G49" s="1" t="n">
        <f aca="false">IF(F49="gold",Rates!$B$2,IF(F49="silver",Rates!$B$3,IF(F49="bronze",Rates!$B$4,0)))</f>
        <v>0</v>
      </c>
      <c r="H49" s="1" t="n">
        <f aca="false">ROUND(D49*G49,2)</f>
        <v>0</v>
      </c>
      <c r="I49" s="1" t="n">
        <f aca="false">MIN(H49,Rates!$B$6)</f>
        <v>0</v>
      </c>
    </row>
    <row r="50" customFormat="false" ht="15" hidden="false" customHeight="false" outlineLevel="0" collapsed="false">
      <c r="A50" s="1" t="s">
        <v>61</v>
      </c>
      <c r="B50" s="1" t="s">
        <v>14</v>
      </c>
      <c r="C50" s="1" t="n">
        <v>200000</v>
      </c>
      <c r="D50" s="1" t="n">
        <v>297741</v>
      </c>
      <c r="E50" s="1" t="n">
        <f aca="false">D50/C50</f>
        <v>1.488705</v>
      </c>
      <c r="F50" s="1" t="str">
        <f aca="false">IF(E50&gt;=1.2,"gold",IF(E50&gt;=1,"silver",IF(E50&gt;=0.7,"bronze","none")))</f>
        <v>gold</v>
      </c>
      <c r="G50" s="1" t="n">
        <f aca="false">IF(F50="gold",Rates!$B$2,IF(F50="silver",Rates!$B$3,IF(F50="bronze",Rates!$B$4,0)))</f>
        <v>0.1</v>
      </c>
      <c r="H50" s="1" t="n">
        <f aca="false">ROUND(D50*G50,2)</f>
        <v>29774.1</v>
      </c>
      <c r="I50" s="1" t="n">
        <f aca="false">MIN(H50,Rates!$B$6)</f>
        <v>29774.1</v>
      </c>
    </row>
    <row r="51" customFormat="false" ht="15" hidden="false" customHeight="false" outlineLevel="0" collapsed="false">
      <c r="A51" s="1" t="s">
        <v>62</v>
      </c>
      <c r="B51" s="1" t="s">
        <v>10</v>
      </c>
      <c r="C51" s="1" t="n">
        <v>300000</v>
      </c>
      <c r="D51" s="1" t="n">
        <v>386352</v>
      </c>
      <c r="E51" s="1" t="n">
        <f aca="false">D51/C51</f>
        <v>1.28784</v>
      </c>
      <c r="F51" s="1" t="str">
        <f aca="false">IF(E51&gt;=1.2,"gold",IF(E51&gt;=1,"silver",IF(E51&gt;=0.7,"bronze","none")))</f>
        <v>gold</v>
      </c>
      <c r="G51" s="1" t="n">
        <f aca="false">IF(F51="gold",Rates!$B$2,IF(F51="silver",Rates!$B$3,IF(F51="bronze",Rates!$B$4,0)))</f>
        <v>0.1</v>
      </c>
      <c r="H51" s="1" t="n">
        <f aca="false">ROUND(D51*G51,2)</f>
        <v>38635.2</v>
      </c>
      <c r="I51" s="1" t="n">
        <f aca="false">MIN(H51,Rates!$B$6)</f>
        <v>38635.2</v>
      </c>
    </row>
    <row r="52" customFormat="false" ht="15" hidden="false" customHeight="false" outlineLevel="0" collapsed="false">
      <c r="A52" s="1" t="s">
        <v>63</v>
      </c>
      <c r="B52" s="1" t="s">
        <v>44</v>
      </c>
      <c r="C52" s="1" t="n">
        <v>300000</v>
      </c>
      <c r="D52" s="1" t="n">
        <v>127354</v>
      </c>
      <c r="E52" s="1" t="n">
        <f aca="false">D52/C52</f>
        <v>0.424513333333333</v>
      </c>
      <c r="F52" s="1" t="str">
        <f aca="false">IF(E52&gt;=1.2,"gold",IF(E52&gt;=1,"silver",IF(E52&gt;=0.7,"bronze","none")))</f>
        <v>none</v>
      </c>
      <c r="G52" s="1" t="n">
        <f aca="false">IF(F52="gold",Rates!$B$2,IF(F52="silver",Rates!$B$3,IF(F52="bronze",Rates!$B$4,0)))</f>
        <v>0</v>
      </c>
      <c r="H52" s="1" t="n">
        <f aca="false">ROUND(D52*G52,2)</f>
        <v>0</v>
      </c>
      <c r="I52" s="1" t="n">
        <f aca="false">MIN(H52,Rates!$B$6)</f>
        <v>0</v>
      </c>
    </row>
    <row r="53" customFormat="false" ht="15" hidden="false" customHeight="false" outlineLevel="0" collapsed="false">
      <c r="A53" s="1" t="s">
        <v>64</v>
      </c>
      <c r="B53" s="1" t="s">
        <v>44</v>
      </c>
      <c r="C53" s="1" t="n">
        <v>200000</v>
      </c>
      <c r="D53" s="1" t="n">
        <v>578974</v>
      </c>
      <c r="E53" s="1" t="n">
        <f aca="false">D53/C53</f>
        <v>2.89487</v>
      </c>
      <c r="F53" s="1" t="str">
        <f aca="false">IF(E53&gt;=1.2,"gold",IF(E53&gt;=1,"silver",IF(E53&gt;=0.7,"bronze","none")))</f>
        <v>gold</v>
      </c>
      <c r="G53" s="1" t="n">
        <f aca="false">IF(F53="gold",Rates!$B$2,IF(F53="silver",Rates!$B$3,IF(F53="bronze",Rates!$B$4,0)))</f>
        <v>0.1</v>
      </c>
      <c r="H53" s="1" t="n">
        <f aca="false">ROUND(D53*G53,2)</f>
        <v>57897.4</v>
      </c>
      <c r="I53" s="1" t="n">
        <f aca="false">MIN(H53,Rates!$B$6)</f>
        <v>45000</v>
      </c>
    </row>
    <row r="54" customFormat="false" ht="15" hidden="false" customHeight="false" outlineLevel="0" collapsed="false">
      <c r="A54" s="1" t="s">
        <v>65</v>
      </c>
      <c r="B54" s="1" t="s">
        <v>44</v>
      </c>
      <c r="C54" s="1" t="n">
        <v>400000</v>
      </c>
      <c r="D54" s="1" t="n">
        <v>114862</v>
      </c>
      <c r="E54" s="1" t="n">
        <f aca="false">D54/C54</f>
        <v>0.287155</v>
      </c>
      <c r="F54" s="1" t="str">
        <f aca="false">IF(E54&gt;=1.2,"gold",IF(E54&gt;=1,"silver",IF(E54&gt;=0.7,"bronze","none")))</f>
        <v>none</v>
      </c>
      <c r="G54" s="1" t="n">
        <f aca="false">IF(F54="gold",Rates!$B$2,IF(F54="silver",Rates!$B$3,IF(F54="bronze",Rates!$B$4,0)))</f>
        <v>0</v>
      </c>
      <c r="H54" s="1" t="n">
        <f aca="false">ROUND(D54*G54,2)</f>
        <v>0</v>
      </c>
      <c r="I54" s="1" t="n">
        <f aca="false">MIN(H54,Rates!$B$6)</f>
        <v>0</v>
      </c>
    </row>
    <row r="55" customFormat="false" ht="15" hidden="false" customHeight="false" outlineLevel="0" collapsed="false">
      <c r="A55" s="1" t="s">
        <v>66</v>
      </c>
      <c r="B55" s="1" t="s">
        <v>10</v>
      </c>
      <c r="C55" s="1" t="n">
        <v>300000</v>
      </c>
      <c r="D55" s="1" t="n">
        <v>128386</v>
      </c>
      <c r="E55" s="1" t="n">
        <f aca="false">D55/C55</f>
        <v>0.427953333333333</v>
      </c>
      <c r="F55" s="1" t="str">
        <f aca="false">IF(E55&gt;=1.2,"gold",IF(E55&gt;=1,"silver",IF(E55&gt;=0.7,"bronze","none")))</f>
        <v>none</v>
      </c>
      <c r="G55" s="1" t="n">
        <f aca="false">IF(F55="gold",Rates!$B$2,IF(F55="silver",Rates!$B$3,IF(F55="bronze",Rates!$B$4,0)))</f>
        <v>0</v>
      </c>
      <c r="H55" s="1" t="n">
        <f aca="false">ROUND(D55*G55,2)</f>
        <v>0</v>
      </c>
      <c r="I55" s="1" t="n">
        <f aca="false">MIN(H55,Rates!$B$6)</f>
        <v>0</v>
      </c>
    </row>
    <row r="56" customFormat="false" ht="15" hidden="false" customHeight="false" outlineLevel="0" collapsed="false">
      <c r="A56" s="1" t="s">
        <v>67</v>
      </c>
      <c r="B56" s="1" t="s">
        <v>10</v>
      </c>
      <c r="C56" s="1" t="n">
        <v>400000</v>
      </c>
      <c r="D56" s="1" t="n">
        <v>537947</v>
      </c>
      <c r="E56" s="1" t="n">
        <f aca="false">D56/C56</f>
        <v>1.3448675</v>
      </c>
      <c r="F56" s="1" t="str">
        <f aca="false">IF(E56&gt;=1.2,"gold",IF(E56&gt;=1,"silver",IF(E56&gt;=0.7,"bronze","none")))</f>
        <v>gold</v>
      </c>
      <c r="G56" s="1" t="n">
        <f aca="false">IF(F56="gold",Rates!$B$2,IF(F56="silver",Rates!$B$3,IF(F56="bronze",Rates!$B$4,0)))</f>
        <v>0.1</v>
      </c>
      <c r="H56" s="1" t="n">
        <f aca="false">ROUND(D56*G56,2)</f>
        <v>53794.7</v>
      </c>
      <c r="I56" s="1" t="n">
        <f aca="false">MIN(H56,Rates!$B$6)</f>
        <v>45000</v>
      </c>
    </row>
    <row r="57" customFormat="false" ht="15" hidden="false" customHeight="false" outlineLevel="0" collapsed="false">
      <c r="A57" s="1" t="s">
        <v>68</v>
      </c>
      <c r="B57" s="1" t="s">
        <v>12</v>
      </c>
      <c r="C57" s="1" t="n">
        <v>400000</v>
      </c>
      <c r="D57" s="1" t="n">
        <v>443507</v>
      </c>
      <c r="E57" s="1" t="n">
        <f aca="false">D57/C57</f>
        <v>1.1087675</v>
      </c>
      <c r="F57" s="1" t="str">
        <f aca="false">IF(E57&gt;=1.2,"gold",IF(E57&gt;=1,"silver",IF(E57&gt;=0.7,"bronze","none")))</f>
        <v>silver</v>
      </c>
      <c r="G57" s="1" t="n">
        <f aca="false">IF(F57="gold",Rates!$B$2,IF(F57="silver",Rates!$B$3,IF(F57="bronze",Rates!$B$4,0)))</f>
        <v>0.08</v>
      </c>
      <c r="H57" s="1" t="n">
        <f aca="false">ROUND(D57*G57,2)</f>
        <v>35480.56</v>
      </c>
      <c r="I57" s="1" t="n">
        <f aca="false">MIN(H57,Rates!$B$6)</f>
        <v>35480.56</v>
      </c>
    </row>
    <row r="58" customFormat="false" ht="15" hidden="false" customHeight="false" outlineLevel="0" collapsed="false">
      <c r="A58" s="1" t="s">
        <v>69</v>
      </c>
      <c r="B58" s="1" t="s">
        <v>10</v>
      </c>
      <c r="C58" s="1" t="n">
        <v>300000</v>
      </c>
      <c r="D58" s="1" t="n">
        <v>104575</v>
      </c>
      <c r="E58" s="1" t="n">
        <f aca="false">D58/C58</f>
        <v>0.348583333333333</v>
      </c>
      <c r="F58" s="1" t="str">
        <f aca="false">IF(E58&gt;=1.2,"gold",IF(E58&gt;=1,"silver",IF(E58&gt;=0.7,"bronze","none")))</f>
        <v>none</v>
      </c>
      <c r="G58" s="1" t="n">
        <f aca="false">IF(F58="gold",Rates!$B$2,IF(F58="silver",Rates!$B$3,IF(F58="bronze",Rates!$B$4,0)))</f>
        <v>0</v>
      </c>
      <c r="H58" s="1" t="n">
        <f aca="false">ROUND(D58*G58,2)</f>
        <v>0</v>
      </c>
      <c r="I58" s="1" t="n">
        <f aca="false">MIN(H58,Rates!$B$6)</f>
        <v>0</v>
      </c>
    </row>
    <row r="59" customFormat="false" ht="15" hidden="false" customHeight="false" outlineLevel="0" collapsed="false">
      <c r="A59" s="1" t="s">
        <v>70</v>
      </c>
      <c r="B59" s="1" t="s">
        <v>14</v>
      </c>
      <c r="C59" s="1" t="n">
        <v>300000</v>
      </c>
      <c r="D59" s="1" t="n">
        <v>340861</v>
      </c>
      <c r="E59" s="1" t="n">
        <f aca="false">D59/C59</f>
        <v>1.13620333333333</v>
      </c>
      <c r="F59" s="1" t="str">
        <f aca="false">IF(E59&gt;=1.2,"gold",IF(E59&gt;=1,"silver",IF(E59&gt;=0.7,"bronze","none")))</f>
        <v>silver</v>
      </c>
      <c r="G59" s="1" t="n">
        <f aca="false">IF(F59="gold",Rates!$B$2,IF(F59="silver",Rates!$B$3,IF(F59="bronze",Rates!$B$4,0)))</f>
        <v>0.08</v>
      </c>
      <c r="H59" s="1" t="n">
        <f aca="false">ROUND(D59*G59,2)</f>
        <v>27268.88</v>
      </c>
      <c r="I59" s="1" t="n">
        <f aca="false">MIN(H59,Rates!$B$6)</f>
        <v>27268.88</v>
      </c>
    </row>
    <row r="60" customFormat="false" ht="15" hidden="false" customHeight="false" outlineLevel="0" collapsed="false">
      <c r="A60" s="1" t="s">
        <v>71</v>
      </c>
      <c r="B60" s="1" t="s">
        <v>12</v>
      </c>
      <c r="C60" s="1" t="n">
        <v>400000</v>
      </c>
      <c r="D60" s="1" t="n">
        <v>501209</v>
      </c>
      <c r="E60" s="1" t="n">
        <f aca="false">D60/C60</f>
        <v>1.2530225</v>
      </c>
      <c r="F60" s="1" t="str">
        <f aca="false">IF(E60&gt;=1.2,"gold",IF(E60&gt;=1,"silver",IF(E60&gt;=0.7,"bronze","none")))</f>
        <v>gold</v>
      </c>
      <c r="G60" s="1" t="n">
        <f aca="false">IF(F60="gold",Rates!$B$2,IF(F60="silver",Rates!$B$3,IF(F60="bronze",Rates!$B$4,0)))</f>
        <v>0.1</v>
      </c>
      <c r="H60" s="1" t="n">
        <f aca="false">ROUND(D60*G60,2)</f>
        <v>50120.9</v>
      </c>
      <c r="I60" s="1" t="n">
        <f aca="false">MIN(H60,Rates!$B$6)</f>
        <v>45000</v>
      </c>
    </row>
    <row r="61" customFormat="false" ht="15" hidden="false" customHeight="false" outlineLevel="0" collapsed="false">
      <c r="A61" s="1" t="s">
        <v>72</v>
      </c>
      <c r="B61" s="1" t="s">
        <v>12</v>
      </c>
      <c r="C61" s="1" t="n">
        <v>200000</v>
      </c>
      <c r="D61" s="1" t="n">
        <v>522510</v>
      </c>
      <c r="E61" s="1" t="n">
        <f aca="false">D61/C61</f>
        <v>2.61255</v>
      </c>
      <c r="F61" s="1" t="str">
        <f aca="false">IF(E61&gt;=1.2,"gold",IF(E61&gt;=1,"silver",IF(E61&gt;=0.7,"bronze","none")))</f>
        <v>gold</v>
      </c>
      <c r="G61" s="1" t="n">
        <f aca="false">IF(F61="gold",Rates!$B$2,IF(F61="silver",Rates!$B$3,IF(F61="bronze",Rates!$B$4,0)))</f>
        <v>0.1</v>
      </c>
      <c r="H61" s="1" t="n">
        <f aca="false">ROUND(D61*G61,2)</f>
        <v>52251</v>
      </c>
      <c r="I61" s="1" t="n">
        <f aca="false">MIN(H61,Rates!$B$6)</f>
        <v>45000</v>
      </c>
    </row>
    <row r="62" customFormat="false" ht="15" hidden="false" customHeight="false" outlineLevel="0" collapsed="false">
      <c r="A62" s="1" t="s">
        <v>73</v>
      </c>
      <c r="B62" s="1" t="s">
        <v>12</v>
      </c>
      <c r="C62" s="1" t="n">
        <v>200000</v>
      </c>
      <c r="D62" s="1" t="n">
        <v>310500</v>
      </c>
      <c r="E62" s="1" t="n">
        <f aca="false">D62/C62</f>
        <v>1.5525</v>
      </c>
      <c r="F62" s="1" t="str">
        <f aca="false">IF(E62&gt;=1.2,"gold",IF(E62&gt;=1,"silver",IF(E62&gt;=0.7,"bronze","none")))</f>
        <v>gold</v>
      </c>
      <c r="G62" s="1" t="n">
        <f aca="false">IF(F62="gold",Rates!$B$2,IF(F62="silver",Rates!$B$3,IF(F62="bronze",Rates!$B$4,0)))</f>
        <v>0.1</v>
      </c>
      <c r="H62" s="1" t="n">
        <f aca="false">ROUND(D62*G62,2)</f>
        <v>31050</v>
      </c>
      <c r="I62" s="1" t="n">
        <f aca="false">MIN(H62,Rates!$B$6)</f>
        <v>31050</v>
      </c>
    </row>
    <row r="63" customFormat="false" ht="15" hidden="false" customHeight="false" outlineLevel="0" collapsed="false">
      <c r="A63" s="1" t="s">
        <v>74</v>
      </c>
      <c r="B63" s="1" t="s">
        <v>10</v>
      </c>
      <c r="C63" s="1" t="n">
        <v>200000</v>
      </c>
      <c r="D63" s="1" t="n">
        <v>145177</v>
      </c>
      <c r="E63" s="1" t="n">
        <f aca="false">D63/C63</f>
        <v>0.725885</v>
      </c>
      <c r="F63" s="1" t="str">
        <f aca="false">IF(E63&gt;=1.2,"gold",IF(E63&gt;=1,"silver",IF(E63&gt;=0.7,"bronze","none")))</f>
        <v>bronze</v>
      </c>
      <c r="G63" s="1" t="n">
        <f aca="false">IF(F63="gold",Rates!$B$2,IF(F63="silver",Rates!$B$3,IF(F63="bronze",Rates!$B$4,0)))</f>
        <v>0.04</v>
      </c>
      <c r="H63" s="1" t="n">
        <f aca="false">ROUND(D63*G63,2)</f>
        <v>5807.08</v>
      </c>
      <c r="I63" s="1" t="n">
        <f aca="false">MIN(H63,Rates!$B$6)</f>
        <v>5807.08</v>
      </c>
    </row>
    <row r="64" customFormat="false" ht="15" hidden="false" customHeight="false" outlineLevel="0" collapsed="false">
      <c r="A64" s="1" t="s">
        <v>75</v>
      </c>
      <c r="B64" s="1" t="s">
        <v>10</v>
      </c>
      <c r="C64" s="1" t="n">
        <v>400000</v>
      </c>
      <c r="D64" s="1" t="n">
        <v>570540</v>
      </c>
      <c r="E64" s="1" t="n">
        <f aca="false">D64/C64</f>
        <v>1.42635</v>
      </c>
      <c r="F64" s="1" t="str">
        <f aca="false">IF(E64&gt;=1.2,"gold",IF(E64&gt;=1,"silver",IF(E64&gt;=0.7,"bronze","none")))</f>
        <v>gold</v>
      </c>
      <c r="G64" s="1" t="n">
        <f aca="false">IF(F64="gold",Rates!$B$2,IF(F64="silver",Rates!$B$3,IF(F64="bronze",Rates!$B$4,0)))</f>
        <v>0.1</v>
      </c>
      <c r="H64" s="1" t="n">
        <f aca="false">ROUND(D64*G64,2)</f>
        <v>57054</v>
      </c>
      <c r="I64" s="1" t="n">
        <f aca="false">MIN(H64,Rates!$B$6)</f>
        <v>45000</v>
      </c>
    </row>
    <row r="65" customFormat="false" ht="15" hidden="false" customHeight="false" outlineLevel="0" collapsed="false">
      <c r="A65" s="1" t="s">
        <v>76</v>
      </c>
      <c r="B65" s="1" t="s">
        <v>14</v>
      </c>
      <c r="C65" s="1" t="n">
        <v>400000</v>
      </c>
      <c r="D65" s="1" t="n">
        <v>65825</v>
      </c>
      <c r="E65" s="1" t="n">
        <f aca="false">D65/C65</f>
        <v>0.1645625</v>
      </c>
      <c r="F65" s="1" t="str">
        <f aca="false">IF(E65&gt;=1.2,"gold",IF(E65&gt;=1,"silver",IF(E65&gt;=0.7,"bronze","none")))</f>
        <v>none</v>
      </c>
      <c r="G65" s="1" t="n">
        <f aca="false">IF(F65="gold",Rates!$B$2,IF(F65="silver",Rates!$B$3,IF(F65="bronze",Rates!$B$4,0)))</f>
        <v>0</v>
      </c>
      <c r="H65" s="1" t="n">
        <f aca="false">ROUND(D65*G65,2)</f>
        <v>0</v>
      </c>
      <c r="I65" s="1" t="n">
        <f aca="false">MIN(H65,Rates!$B$6)</f>
        <v>0</v>
      </c>
    </row>
    <row r="66" customFormat="false" ht="15" hidden="false" customHeight="false" outlineLevel="0" collapsed="false">
      <c r="A66" s="1" t="s">
        <v>77</v>
      </c>
      <c r="B66" s="1" t="s">
        <v>10</v>
      </c>
      <c r="C66" s="1" t="n">
        <v>400000</v>
      </c>
      <c r="D66" s="1" t="n">
        <v>219819</v>
      </c>
      <c r="E66" s="1" t="n">
        <f aca="false">D66/C66</f>
        <v>0.5495475</v>
      </c>
      <c r="F66" s="1" t="str">
        <f aca="false">IF(E66&gt;=1.2,"gold",IF(E66&gt;=1,"silver",IF(E66&gt;=0.7,"bronze","none")))</f>
        <v>none</v>
      </c>
      <c r="G66" s="1" t="n">
        <f aca="false">IF(F66="gold",Rates!$B$2,IF(F66="silver",Rates!$B$3,IF(F66="bronze",Rates!$B$4,0)))</f>
        <v>0</v>
      </c>
      <c r="H66" s="1" t="n">
        <f aca="false">ROUND(D66*G66,2)</f>
        <v>0</v>
      </c>
      <c r="I66" s="1" t="n">
        <f aca="false">MIN(H66,Rates!$B$6)</f>
        <v>0</v>
      </c>
    </row>
    <row r="67" customFormat="false" ht="15" hidden="false" customHeight="false" outlineLevel="0" collapsed="false">
      <c r="A67" s="1" t="s">
        <v>78</v>
      </c>
      <c r="B67" s="1" t="s">
        <v>14</v>
      </c>
      <c r="C67" s="1" t="n">
        <v>400000</v>
      </c>
      <c r="D67" s="1" t="n">
        <v>365631</v>
      </c>
      <c r="E67" s="1" t="n">
        <f aca="false">D67/C67</f>
        <v>0.9140775</v>
      </c>
      <c r="F67" s="1" t="str">
        <f aca="false">IF(E67&gt;=1.2,"gold",IF(E67&gt;=1,"silver",IF(E67&gt;=0.7,"bronze","none")))</f>
        <v>bronze</v>
      </c>
      <c r="G67" s="1" t="n">
        <f aca="false">IF(F67="gold",Rates!$B$2,IF(F67="silver",Rates!$B$3,IF(F67="bronze",Rates!$B$4,0)))</f>
        <v>0.04</v>
      </c>
      <c r="H67" s="1" t="n">
        <f aca="false">ROUND(D67*G67,2)</f>
        <v>14625.24</v>
      </c>
      <c r="I67" s="1" t="n">
        <f aca="false">MIN(H67,Rates!$B$6)</f>
        <v>14625.24</v>
      </c>
    </row>
    <row r="68" customFormat="false" ht="15" hidden="false" customHeight="false" outlineLevel="0" collapsed="false">
      <c r="A68" s="1" t="s">
        <v>79</v>
      </c>
      <c r="B68" s="1" t="s">
        <v>44</v>
      </c>
      <c r="C68" s="1" t="n">
        <v>200000</v>
      </c>
      <c r="D68" s="1" t="n">
        <v>448710</v>
      </c>
      <c r="E68" s="1" t="n">
        <f aca="false">D68/C68</f>
        <v>2.24355</v>
      </c>
      <c r="F68" s="1" t="str">
        <f aca="false">IF(E68&gt;=1.2,"gold",IF(E68&gt;=1,"silver",IF(E68&gt;=0.7,"bronze","none")))</f>
        <v>gold</v>
      </c>
      <c r="G68" s="1" t="n">
        <f aca="false">IF(F68="gold",Rates!$B$2,IF(F68="silver",Rates!$B$3,IF(F68="bronze",Rates!$B$4,0)))</f>
        <v>0.1</v>
      </c>
      <c r="H68" s="1" t="n">
        <f aca="false">ROUND(D68*G68,2)</f>
        <v>44871</v>
      </c>
      <c r="I68" s="1" t="n">
        <f aca="false">MIN(H68,Rates!$B$6)</f>
        <v>44871</v>
      </c>
    </row>
    <row r="69" customFormat="false" ht="15" hidden="false" customHeight="false" outlineLevel="0" collapsed="false">
      <c r="A69" s="1" t="s">
        <v>80</v>
      </c>
      <c r="B69" s="1" t="s">
        <v>12</v>
      </c>
      <c r="C69" s="1" t="n">
        <v>200000</v>
      </c>
      <c r="D69" s="1" t="n">
        <v>104790</v>
      </c>
      <c r="E69" s="1" t="n">
        <f aca="false">D69/C69</f>
        <v>0.52395</v>
      </c>
      <c r="F69" s="1" t="str">
        <f aca="false">IF(E69&gt;=1.2,"gold",IF(E69&gt;=1,"silver",IF(E69&gt;=0.7,"bronze","none")))</f>
        <v>none</v>
      </c>
      <c r="G69" s="1" t="n">
        <f aca="false">IF(F69="gold",Rates!$B$2,IF(F69="silver",Rates!$B$3,IF(F69="bronze",Rates!$B$4,0)))</f>
        <v>0</v>
      </c>
      <c r="H69" s="1" t="n">
        <f aca="false">ROUND(D69*G69,2)</f>
        <v>0</v>
      </c>
      <c r="I69" s="1" t="n">
        <f aca="false">MIN(H69,Rates!$B$6)</f>
        <v>0</v>
      </c>
    </row>
    <row r="70" customFormat="false" ht="15" hidden="false" customHeight="false" outlineLevel="0" collapsed="false">
      <c r="A70" s="1" t="s">
        <v>81</v>
      </c>
      <c r="B70" s="1" t="s">
        <v>10</v>
      </c>
      <c r="C70" s="1" t="n">
        <v>300000</v>
      </c>
      <c r="D70" s="1" t="n">
        <v>83246</v>
      </c>
      <c r="E70" s="1" t="n">
        <f aca="false">D70/C70</f>
        <v>0.277486666666667</v>
      </c>
      <c r="F70" s="1" t="str">
        <f aca="false">IF(E70&gt;=1.2,"gold",IF(E70&gt;=1,"silver",IF(E70&gt;=0.7,"bronze","none")))</f>
        <v>none</v>
      </c>
      <c r="G70" s="1" t="n">
        <f aca="false">IF(F70="gold",Rates!$B$2,IF(F70="silver",Rates!$B$3,IF(F70="bronze",Rates!$B$4,0)))</f>
        <v>0</v>
      </c>
      <c r="H70" s="1" t="n">
        <f aca="false">ROUND(D70*G70,2)</f>
        <v>0</v>
      </c>
      <c r="I70" s="1" t="n">
        <f aca="false">MIN(H70,Rates!$B$6)</f>
        <v>0</v>
      </c>
    </row>
    <row r="71" customFormat="false" ht="15" hidden="false" customHeight="false" outlineLevel="0" collapsed="false">
      <c r="A71" s="1" t="s">
        <v>82</v>
      </c>
      <c r="B71" s="1" t="s">
        <v>14</v>
      </c>
      <c r="C71" s="1" t="n">
        <v>400000</v>
      </c>
      <c r="D71" s="1" t="n">
        <v>381605</v>
      </c>
      <c r="E71" s="1" t="n">
        <f aca="false">D71/C71</f>
        <v>0.9540125</v>
      </c>
      <c r="F71" s="1" t="str">
        <f aca="false">IF(E71&gt;=1.2,"gold",IF(E71&gt;=1,"silver",IF(E71&gt;=0.7,"bronze","none")))</f>
        <v>bronze</v>
      </c>
      <c r="G71" s="1" t="n">
        <f aca="false">IF(F71="gold",Rates!$B$2,IF(F71="silver",Rates!$B$3,IF(F71="bronze",Rates!$B$4,0)))</f>
        <v>0.04</v>
      </c>
      <c r="H71" s="1" t="n">
        <f aca="false">ROUND(D71*G71,2)</f>
        <v>15264.2</v>
      </c>
      <c r="I71" s="1" t="n">
        <f aca="false">MIN(H71,Rates!$B$6)</f>
        <v>15264.2</v>
      </c>
    </row>
    <row r="72" customFormat="false" ht="15" hidden="false" customHeight="false" outlineLevel="0" collapsed="false">
      <c r="A72" s="1" t="s">
        <v>83</v>
      </c>
      <c r="B72" s="1" t="s">
        <v>44</v>
      </c>
      <c r="C72" s="1" t="n">
        <v>200000</v>
      </c>
      <c r="D72" s="1" t="n">
        <v>533304</v>
      </c>
      <c r="E72" s="1" t="n">
        <f aca="false">D72/C72</f>
        <v>2.66652</v>
      </c>
      <c r="F72" s="1" t="str">
        <f aca="false">IF(E72&gt;=1.2,"gold",IF(E72&gt;=1,"silver",IF(E72&gt;=0.7,"bronze","none")))</f>
        <v>gold</v>
      </c>
      <c r="G72" s="1" t="n">
        <f aca="false">IF(F72="gold",Rates!$B$2,IF(F72="silver",Rates!$B$3,IF(F72="bronze",Rates!$B$4,0)))</f>
        <v>0.1</v>
      </c>
      <c r="H72" s="1" t="n">
        <f aca="false">ROUND(D72*G72,2)</f>
        <v>53330.4</v>
      </c>
      <c r="I72" s="1" t="n">
        <f aca="false">MIN(H72,Rates!$B$6)</f>
        <v>45000</v>
      </c>
    </row>
    <row r="73" customFormat="false" ht="15" hidden="false" customHeight="false" outlineLevel="0" collapsed="false">
      <c r="A73" s="1" t="s">
        <v>84</v>
      </c>
      <c r="B73" s="1" t="s">
        <v>12</v>
      </c>
      <c r="C73" s="1" t="n">
        <v>300000</v>
      </c>
      <c r="D73" s="1" t="n">
        <v>502717</v>
      </c>
      <c r="E73" s="1" t="n">
        <f aca="false">D73/C73</f>
        <v>1.67572333333333</v>
      </c>
      <c r="F73" s="1" t="str">
        <f aca="false">IF(E73&gt;=1.2,"gold",IF(E73&gt;=1,"silver",IF(E73&gt;=0.7,"bronze","none")))</f>
        <v>gold</v>
      </c>
      <c r="G73" s="1" t="n">
        <f aca="false">IF(F73="gold",Rates!$B$2,IF(F73="silver",Rates!$B$3,IF(F73="bronze",Rates!$B$4,0)))</f>
        <v>0.1</v>
      </c>
      <c r="H73" s="1" t="n">
        <f aca="false">ROUND(D73*G73,2)</f>
        <v>50271.7</v>
      </c>
      <c r="I73" s="1" t="n">
        <f aca="false">MIN(H73,Rates!$B$6)</f>
        <v>45000</v>
      </c>
    </row>
    <row r="74" customFormat="false" ht="15" hidden="false" customHeight="false" outlineLevel="0" collapsed="false">
      <c r="A74" s="1" t="s">
        <v>85</v>
      </c>
      <c r="B74" s="1" t="s">
        <v>10</v>
      </c>
      <c r="C74" s="1" t="n">
        <v>200000</v>
      </c>
      <c r="D74" s="1" t="n">
        <v>69799</v>
      </c>
      <c r="E74" s="1" t="n">
        <f aca="false">D74/C74</f>
        <v>0.348995</v>
      </c>
      <c r="F74" s="1" t="str">
        <f aca="false">IF(E74&gt;=1.2,"gold",IF(E74&gt;=1,"silver",IF(E74&gt;=0.7,"bronze","none")))</f>
        <v>none</v>
      </c>
      <c r="G74" s="1" t="n">
        <f aca="false">IF(F74="gold",Rates!$B$2,IF(F74="silver",Rates!$B$3,IF(F74="bronze",Rates!$B$4,0)))</f>
        <v>0</v>
      </c>
      <c r="H74" s="1" t="n">
        <f aca="false">ROUND(D74*G74,2)</f>
        <v>0</v>
      </c>
      <c r="I74" s="1" t="n">
        <f aca="false">MIN(H74,Rates!$B$6)</f>
        <v>0</v>
      </c>
    </row>
    <row r="75" customFormat="false" ht="15" hidden="false" customHeight="false" outlineLevel="0" collapsed="false">
      <c r="A75" s="1" t="s">
        <v>86</v>
      </c>
      <c r="B75" s="1" t="s">
        <v>14</v>
      </c>
      <c r="C75" s="1" t="n">
        <v>400000</v>
      </c>
      <c r="D75" s="1" t="n">
        <v>75801</v>
      </c>
      <c r="E75" s="1" t="n">
        <f aca="false">D75/C75</f>
        <v>0.1895025</v>
      </c>
      <c r="F75" s="1" t="str">
        <f aca="false">IF(E75&gt;=1.2,"gold",IF(E75&gt;=1,"silver",IF(E75&gt;=0.7,"bronze","none")))</f>
        <v>none</v>
      </c>
      <c r="G75" s="1" t="n">
        <f aca="false">IF(F75="gold",Rates!$B$2,IF(F75="silver",Rates!$B$3,IF(F75="bronze",Rates!$B$4,0)))</f>
        <v>0</v>
      </c>
      <c r="H75" s="1" t="n">
        <f aca="false">ROUND(D75*G75,2)</f>
        <v>0</v>
      </c>
      <c r="I75" s="1" t="n">
        <f aca="false">MIN(H75,Rates!$B$6)</f>
        <v>0</v>
      </c>
    </row>
    <row r="76" customFormat="false" ht="15" hidden="false" customHeight="false" outlineLevel="0" collapsed="false">
      <c r="A76" s="1" t="s">
        <v>87</v>
      </c>
      <c r="B76" s="1" t="s">
        <v>10</v>
      </c>
      <c r="C76" s="1" t="n">
        <v>300000</v>
      </c>
      <c r="D76" s="1" t="n">
        <v>373706</v>
      </c>
      <c r="E76" s="1" t="n">
        <f aca="false">D76/C76</f>
        <v>1.24568666666667</v>
      </c>
      <c r="F76" s="1" t="str">
        <f aca="false">IF(E76&gt;=1.2,"gold",IF(E76&gt;=1,"silver",IF(E76&gt;=0.7,"bronze","none")))</f>
        <v>gold</v>
      </c>
      <c r="G76" s="1" t="n">
        <f aca="false">IF(F76="gold",Rates!$B$2,IF(F76="silver",Rates!$B$3,IF(F76="bronze",Rates!$B$4,0)))</f>
        <v>0.1</v>
      </c>
      <c r="H76" s="1" t="n">
        <f aca="false">ROUND(D76*G76,2)</f>
        <v>37370.6</v>
      </c>
      <c r="I76" s="1" t="n">
        <f aca="false">MIN(H76,Rates!$B$6)</f>
        <v>37370.6</v>
      </c>
    </row>
    <row r="77" customFormat="false" ht="15" hidden="false" customHeight="false" outlineLevel="0" collapsed="false">
      <c r="A77" s="1" t="s">
        <v>88</v>
      </c>
      <c r="B77" s="1" t="s">
        <v>14</v>
      </c>
      <c r="C77" s="1" t="n">
        <v>200000</v>
      </c>
      <c r="D77" s="1" t="n">
        <v>68761</v>
      </c>
      <c r="E77" s="1" t="n">
        <f aca="false">D77/C77</f>
        <v>0.343805</v>
      </c>
      <c r="F77" s="1" t="str">
        <f aca="false">IF(E77&gt;=1.2,"gold",IF(E77&gt;=1,"silver",IF(E77&gt;=0.7,"bronze","none")))</f>
        <v>none</v>
      </c>
      <c r="G77" s="1" t="n">
        <f aca="false">IF(F77="gold",Rates!$B$2,IF(F77="silver",Rates!$B$3,IF(F77="bronze",Rates!$B$4,0)))</f>
        <v>0</v>
      </c>
      <c r="H77" s="1" t="n">
        <f aca="false">ROUND(D77*G77,2)</f>
        <v>0</v>
      </c>
      <c r="I77" s="1" t="n">
        <f aca="false">MIN(H77,Rates!$B$6)</f>
        <v>0</v>
      </c>
    </row>
    <row r="78" customFormat="false" ht="15" hidden="false" customHeight="false" outlineLevel="0" collapsed="false">
      <c r="A78" s="1" t="s">
        <v>89</v>
      </c>
      <c r="B78" s="1" t="s">
        <v>12</v>
      </c>
      <c r="C78" s="1" t="n">
        <v>200000</v>
      </c>
      <c r="D78" s="1" t="n">
        <v>85682</v>
      </c>
      <c r="E78" s="1" t="n">
        <f aca="false">D78/C78</f>
        <v>0.42841</v>
      </c>
      <c r="F78" s="1" t="str">
        <f aca="false">IF(E78&gt;=1.2,"gold",IF(E78&gt;=1,"silver",IF(E78&gt;=0.7,"bronze","none")))</f>
        <v>none</v>
      </c>
      <c r="G78" s="1" t="n">
        <f aca="false">IF(F78="gold",Rates!$B$2,IF(F78="silver",Rates!$B$3,IF(F78="bronze",Rates!$B$4,0)))</f>
        <v>0</v>
      </c>
      <c r="H78" s="1" t="n">
        <f aca="false">ROUND(D78*G78,2)</f>
        <v>0</v>
      </c>
      <c r="I78" s="1" t="n">
        <f aca="false">MIN(H78,Rates!$B$6)</f>
        <v>0</v>
      </c>
    </row>
    <row r="79" customFormat="false" ht="15" hidden="false" customHeight="false" outlineLevel="0" collapsed="false">
      <c r="A79" s="1" t="s">
        <v>90</v>
      </c>
      <c r="B79" s="1" t="s">
        <v>44</v>
      </c>
      <c r="C79" s="1" t="n">
        <v>400000</v>
      </c>
      <c r="D79" s="1" t="n">
        <v>308633</v>
      </c>
      <c r="E79" s="1" t="n">
        <f aca="false">D79/C79</f>
        <v>0.7715825</v>
      </c>
      <c r="F79" s="1" t="str">
        <f aca="false">IF(E79&gt;=1.2,"gold",IF(E79&gt;=1,"silver",IF(E79&gt;=0.7,"bronze","none")))</f>
        <v>bronze</v>
      </c>
      <c r="G79" s="1" t="n">
        <f aca="false">IF(F79="gold",Rates!$B$2,IF(F79="silver",Rates!$B$3,IF(F79="bronze",Rates!$B$4,0)))</f>
        <v>0.04</v>
      </c>
      <c r="H79" s="1" t="n">
        <f aca="false">ROUND(D79*G79,2)</f>
        <v>12345.32</v>
      </c>
      <c r="I79" s="1" t="n">
        <f aca="false">MIN(H79,Rates!$B$6)</f>
        <v>12345.32</v>
      </c>
    </row>
    <row r="80" customFormat="false" ht="15" hidden="false" customHeight="false" outlineLevel="0" collapsed="false">
      <c r="A80" s="1" t="s">
        <v>91</v>
      </c>
      <c r="B80" s="1" t="s">
        <v>10</v>
      </c>
      <c r="C80" s="1" t="n">
        <v>200000</v>
      </c>
      <c r="D80" s="1" t="n">
        <v>436949</v>
      </c>
      <c r="E80" s="1" t="n">
        <f aca="false">D80/C80</f>
        <v>2.184745</v>
      </c>
      <c r="F80" s="1" t="str">
        <f aca="false">IF(E80&gt;=1.2,"gold",IF(E80&gt;=1,"silver",IF(E80&gt;=0.7,"bronze","none")))</f>
        <v>gold</v>
      </c>
      <c r="G80" s="1" t="n">
        <f aca="false">IF(F80="gold",Rates!$B$2,IF(F80="silver",Rates!$B$3,IF(F80="bronze",Rates!$B$4,0)))</f>
        <v>0.1</v>
      </c>
      <c r="H80" s="1" t="n">
        <f aca="false">ROUND(D80*G80,2)</f>
        <v>43694.9</v>
      </c>
      <c r="I80" s="1" t="n">
        <f aca="false">MIN(H80,Rates!$B$6)</f>
        <v>43694.9</v>
      </c>
    </row>
    <row r="81" customFormat="false" ht="15" hidden="false" customHeight="false" outlineLevel="0" collapsed="false">
      <c r="A81" s="1" t="s">
        <v>92</v>
      </c>
      <c r="B81" s="1" t="s">
        <v>14</v>
      </c>
      <c r="C81" s="1" t="n">
        <v>300000</v>
      </c>
      <c r="D81" s="1" t="n">
        <v>96530</v>
      </c>
      <c r="E81" s="1" t="n">
        <f aca="false">D81/C81</f>
        <v>0.321766666666667</v>
      </c>
      <c r="F81" s="1" t="str">
        <f aca="false">IF(E81&gt;=1.2,"gold",IF(E81&gt;=1,"silver",IF(E81&gt;=0.7,"bronze","none")))</f>
        <v>none</v>
      </c>
      <c r="G81" s="1" t="n">
        <f aca="false">IF(F81="gold",Rates!$B$2,IF(F81="silver",Rates!$B$3,IF(F81="bronze",Rates!$B$4,0)))</f>
        <v>0</v>
      </c>
      <c r="H81" s="1" t="n">
        <f aca="false">ROUND(D81*G81,2)</f>
        <v>0</v>
      </c>
      <c r="I81" s="1" t="n">
        <f aca="false">MIN(H81,Rates!$B$6)</f>
        <v>0</v>
      </c>
    </row>
    <row r="82" customFormat="false" ht="15" hidden="false" customHeight="false" outlineLevel="0" collapsed="false">
      <c r="A82" s="1" t="s">
        <v>93</v>
      </c>
      <c r="B82" s="1" t="s">
        <v>44</v>
      </c>
      <c r="C82" s="1" t="n">
        <v>200000</v>
      </c>
      <c r="D82" s="1" t="n">
        <v>305117</v>
      </c>
      <c r="E82" s="1" t="n">
        <f aca="false">D82/C82</f>
        <v>1.525585</v>
      </c>
      <c r="F82" s="1" t="str">
        <f aca="false">IF(E82&gt;=1.2,"gold",IF(E82&gt;=1,"silver",IF(E82&gt;=0.7,"bronze","none")))</f>
        <v>gold</v>
      </c>
      <c r="G82" s="1" t="n">
        <f aca="false">IF(F82="gold",Rates!$B$2,IF(F82="silver",Rates!$B$3,IF(F82="bronze",Rates!$B$4,0)))</f>
        <v>0.1</v>
      </c>
      <c r="H82" s="1" t="n">
        <f aca="false">ROUND(D82*G82,2)</f>
        <v>30511.7</v>
      </c>
      <c r="I82" s="1" t="n">
        <f aca="false">MIN(H82,Rates!$B$6)</f>
        <v>30511.7</v>
      </c>
    </row>
    <row r="83" customFormat="false" ht="15" hidden="false" customHeight="false" outlineLevel="0" collapsed="false">
      <c r="A83" s="1" t="s">
        <v>94</v>
      </c>
      <c r="B83" s="1" t="s">
        <v>10</v>
      </c>
      <c r="C83" s="1" t="n">
        <v>400000</v>
      </c>
      <c r="D83" s="1" t="n">
        <v>131719</v>
      </c>
      <c r="E83" s="1" t="n">
        <f aca="false">D83/C83</f>
        <v>0.3292975</v>
      </c>
      <c r="F83" s="1" t="str">
        <f aca="false">IF(E83&gt;=1.2,"gold",IF(E83&gt;=1,"silver",IF(E83&gt;=0.7,"bronze","none")))</f>
        <v>none</v>
      </c>
      <c r="G83" s="1" t="n">
        <f aca="false">IF(F83="gold",Rates!$B$2,IF(F83="silver",Rates!$B$3,IF(F83="bronze",Rates!$B$4,0)))</f>
        <v>0</v>
      </c>
      <c r="H83" s="1" t="n">
        <f aca="false">ROUND(D83*G83,2)</f>
        <v>0</v>
      </c>
      <c r="I83" s="1" t="n">
        <f aca="false">MIN(H83,Rates!$B$6)</f>
        <v>0</v>
      </c>
    </row>
    <row r="84" customFormat="false" ht="15" hidden="false" customHeight="false" outlineLevel="0" collapsed="false">
      <c r="A84" s="1" t="s">
        <v>95</v>
      </c>
      <c r="B84" s="1" t="s">
        <v>10</v>
      </c>
      <c r="C84" s="1" t="n">
        <v>300000</v>
      </c>
      <c r="D84" s="1" t="n">
        <v>508031</v>
      </c>
      <c r="E84" s="1" t="n">
        <f aca="false">D84/C84</f>
        <v>1.69343666666667</v>
      </c>
      <c r="F84" s="1" t="str">
        <f aca="false">IF(E84&gt;=1.2,"gold",IF(E84&gt;=1,"silver",IF(E84&gt;=0.7,"bronze","none")))</f>
        <v>gold</v>
      </c>
      <c r="G84" s="1" t="n">
        <f aca="false">IF(F84="gold",Rates!$B$2,IF(F84="silver",Rates!$B$3,IF(F84="bronze",Rates!$B$4,0)))</f>
        <v>0.1</v>
      </c>
      <c r="H84" s="1" t="n">
        <f aca="false">ROUND(D84*G84,2)</f>
        <v>50803.1</v>
      </c>
      <c r="I84" s="1" t="n">
        <f aca="false">MIN(H84,Rates!$B$6)</f>
        <v>45000</v>
      </c>
    </row>
    <row r="85" customFormat="false" ht="15" hidden="false" customHeight="false" outlineLevel="0" collapsed="false">
      <c r="A85" s="1" t="s">
        <v>96</v>
      </c>
      <c r="B85" s="1" t="s">
        <v>14</v>
      </c>
      <c r="C85" s="1" t="n">
        <v>300000</v>
      </c>
      <c r="D85" s="1" t="n">
        <v>419180</v>
      </c>
      <c r="E85" s="1" t="n">
        <f aca="false">D85/C85</f>
        <v>1.39726666666667</v>
      </c>
      <c r="F85" s="1" t="str">
        <f aca="false">IF(E85&gt;=1.2,"gold",IF(E85&gt;=1,"silver",IF(E85&gt;=0.7,"bronze","none")))</f>
        <v>gold</v>
      </c>
      <c r="G85" s="1" t="n">
        <f aca="false">IF(F85="gold",Rates!$B$2,IF(F85="silver",Rates!$B$3,IF(F85="bronze",Rates!$B$4,0)))</f>
        <v>0.1</v>
      </c>
      <c r="H85" s="1" t="n">
        <f aca="false">ROUND(D85*G85,2)</f>
        <v>41918</v>
      </c>
      <c r="I85" s="1" t="n">
        <f aca="false">MIN(H85,Rates!$B$6)</f>
        <v>41918</v>
      </c>
    </row>
    <row r="86" customFormat="false" ht="15" hidden="false" customHeight="false" outlineLevel="0" collapsed="false">
      <c r="A86" s="1" t="s">
        <v>97</v>
      </c>
      <c r="B86" s="1" t="s">
        <v>10</v>
      </c>
      <c r="C86" s="1" t="n">
        <v>200000</v>
      </c>
      <c r="D86" s="1" t="n">
        <v>155690</v>
      </c>
      <c r="E86" s="1" t="n">
        <f aca="false">D86/C86</f>
        <v>0.77845</v>
      </c>
      <c r="F86" s="1" t="str">
        <f aca="false">IF(E86&gt;=1.2,"gold",IF(E86&gt;=1,"silver",IF(E86&gt;=0.7,"bronze","none")))</f>
        <v>bronze</v>
      </c>
      <c r="G86" s="1" t="n">
        <f aca="false">IF(F86="gold",Rates!$B$2,IF(F86="silver",Rates!$B$3,IF(F86="bronze",Rates!$B$4,0)))</f>
        <v>0.04</v>
      </c>
      <c r="H86" s="1" t="n">
        <f aca="false">ROUND(D86*G86,2)</f>
        <v>6227.6</v>
      </c>
      <c r="I86" s="1" t="n">
        <f aca="false">MIN(H86,Rates!$B$6)</f>
        <v>6227.6</v>
      </c>
    </row>
    <row r="87" customFormat="false" ht="15" hidden="false" customHeight="false" outlineLevel="0" collapsed="false">
      <c r="A87" s="1" t="s">
        <v>98</v>
      </c>
      <c r="B87" s="1" t="s">
        <v>12</v>
      </c>
      <c r="C87" s="1" t="n">
        <v>200000</v>
      </c>
      <c r="D87" s="1" t="n">
        <v>110833</v>
      </c>
      <c r="E87" s="1" t="n">
        <f aca="false">D87/C87</f>
        <v>0.554165</v>
      </c>
      <c r="F87" s="1" t="str">
        <f aca="false">IF(E87&gt;=1.2,"gold",IF(E87&gt;=1,"silver",IF(E87&gt;=0.7,"bronze","none")))</f>
        <v>none</v>
      </c>
      <c r="G87" s="1" t="n">
        <f aca="false">IF(F87="gold",Rates!$B$2,IF(F87="silver",Rates!$B$3,IF(F87="bronze",Rates!$B$4,0)))</f>
        <v>0</v>
      </c>
      <c r="H87" s="1" t="n">
        <f aca="false">ROUND(D87*G87,2)</f>
        <v>0</v>
      </c>
      <c r="I87" s="1" t="n">
        <f aca="false">MIN(H87,Rates!$B$6)</f>
        <v>0</v>
      </c>
    </row>
    <row r="88" customFormat="false" ht="15" hidden="false" customHeight="false" outlineLevel="0" collapsed="false">
      <c r="A88" s="1" t="s">
        <v>99</v>
      </c>
      <c r="B88" s="1" t="s">
        <v>14</v>
      </c>
      <c r="C88" s="1" t="n">
        <v>200000</v>
      </c>
      <c r="D88" s="1" t="n">
        <v>565972</v>
      </c>
      <c r="E88" s="1" t="n">
        <f aca="false">D88/C88</f>
        <v>2.82986</v>
      </c>
      <c r="F88" s="1" t="str">
        <f aca="false">IF(E88&gt;=1.2,"gold",IF(E88&gt;=1,"silver",IF(E88&gt;=0.7,"bronze","none")))</f>
        <v>gold</v>
      </c>
      <c r="G88" s="1" t="n">
        <f aca="false">IF(F88="gold",Rates!$B$2,IF(F88="silver",Rates!$B$3,IF(F88="bronze",Rates!$B$4,0)))</f>
        <v>0.1</v>
      </c>
      <c r="H88" s="1" t="n">
        <f aca="false">ROUND(D88*G88,2)</f>
        <v>56597.2</v>
      </c>
      <c r="I88" s="1" t="n">
        <f aca="false">MIN(H88,Rates!$B$6)</f>
        <v>45000</v>
      </c>
    </row>
    <row r="89" customFormat="false" ht="15" hidden="false" customHeight="false" outlineLevel="0" collapsed="false">
      <c r="A89" s="1" t="s">
        <v>100</v>
      </c>
      <c r="B89" s="1" t="s">
        <v>14</v>
      </c>
      <c r="C89" s="1" t="n">
        <v>300000</v>
      </c>
      <c r="D89" s="1" t="n">
        <v>106991</v>
      </c>
      <c r="E89" s="1" t="n">
        <f aca="false">D89/C89</f>
        <v>0.356636666666667</v>
      </c>
      <c r="F89" s="1" t="str">
        <f aca="false">IF(E89&gt;=1.2,"gold",IF(E89&gt;=1,"silver",IF(E89&gt;=0.7,"bronze","none")))</f>
        <v>none</v>
      </c>
      <c r="G89" s="1" t="n">
        <f aca="false">IF(F89="gold",Rates!$B$2,IF(F89="silver",Rates!$B$3,IF(F89="bronze",Rates!$B$4,0)))</f>
        <v>0</v>
      </c>
      <c r="H89" s="1" t="n">
        <f aca="false">ROUND(D89*G89,2)</f>
        <v>0</v>
      </c>
      <c r="I89" s="1" t="n">
        <f aca="false">MIN(H89,Rates!$B$6)</f>
        <v>0</v>
      </c>
    </row>
    <row r="90" customFormat="false" ht="15" hidden="false" customHeight="false" outlineLevel="0" collapsed="false">
      <c r="A90" s="1" t="s">
        <v>101</v>
      </c>
      <c r="B90" s="1" t="s">
        <v>14</v>
      </c>
      <c r="C90" s="1" t="n">
        <v>300000</v>
      </c>
      <c r="D90" s="1" t="n">
        <v>394605</v>
      </c>
      <c r="E90" s="1" t="n">
        <f aca="false">D90/C90</f>
        <v>1.31535</v>
      </c>
      <c r="F90" s="1" t="str">
        <f aca="false">IF(E90&gt;=1.2,"gold",IF(E90&gt;=1,"silver",IF(E90&gt;=0.7,"bronze","none")))</f>
        <v>gold</v>
      </c>
      <c r="G90" s="1" t="n">
        <f aca="false">IF(F90="gold",Rates!$B$2,IF(F90="silver",Rates!$B$3,IF(F90="bronze",Rates!$B$4,0)))</f>
        <v>0.1</v>
      </c>
      <c r="H90" s="1" t="n">
        <f aca="false">ROUND(D90*G90,2)</f>
        <v>39460.5</v>
      </c>
      <c r="I90" s="1" t="n">
        <f aca="false">MIN(H90,Rates!$B$6)</f>
        <v>39460.5</v>
      </c>
    </row>
    <row r="91" customFormat="false" ht="15" hidden="false" customHeight="false" outlineLevel="0" collapsed="false">
      <c r="A91" s="1" t="s">
        <v>102</v>
      </c>
      <c r="B91" s="1" t="s">
        <v>12</v>
      </c>
      <c r="C91" s="1" t="n">
        <v>300000</v>
      </c>
      <c r="D91" s="1" t="n">
        <v>530880</v>
      </c>
      <c r="E91" s="1" t="n">
        <f aca="false">D91/C91</f>
        <v>1.7696</v>
      </c>
      <c r="F91" s="1" t="str">
        <f aca="false">IF(E91&gt;=1.2,"gold",IF(E91&gt;=1,"silver",IF(E91&gt;=0.7,"bronze","none")))</f>
        <v>gold</v>
      </c>
      <c r="G91" s="1" t="n">
        <f aca="false">IF(F91="gold",Rates!$B$2,IF(F91="silver",Rates!$B$3,IF(F91="bronze",Rates!$B$4,0)))</f>
        <v>0.1</v>
      </c>
      <c r="H91" s="1" t="n">
        <f aca="false">ROUND(D91*G91,2)</f>
        <v>53088</v>
      </c>
      <c r="I91" s="1" t="n">
        <f aca="false">MIN(H91,Rates!$B$6)</f>
        <v>45000</v>
      </c>
    </row>
    <row r="92" customFormat="false" ht="15" hidden="false" customHeight="false" outlineLevel="0" collapsed="false">
      <c r="A92" s="1" t="s">
        <v>103</v>
      </c>
      <c r="B92" s="1" t="s">
        <v>14</v>
      </c>
      <c r="C92" s="1" t="n">
        <v>200000</v>
      </c>
      <c r="D92" s="1" t="n">
        <v>53009</v>
      </c>
      <c r="E92" s="1" t="n">
        <f aca="false">D92/C92</f>
        <v>0.265045</v>
      </c>
      <c r="F92" s="1" t="str">
        <f aca="false">IF(E92&gt;=1.2,"gold",IF(E92&gt;=1,"silver",IF(E92&gt;=0.7,"bronze","none")))</f>
        <v>none</v>
      </c>
      <c r="G92" s="1" t="n">
        <f aca="false">IF(F92="gold",Rates!$B$2,IF(F92="silver",Rates!$B$3,IF(F92="bronze",Rates!$B$4,0)))</f>
        <v>0</v>
      </c>
      <c r="H92" s="1" t="n">
        <f aca="false">ROUND(D92*G92,2)</f>
        <v>0</v>
      </c>
      <c r="I92" s="1" t="n">
        <f aca="false">MIN(H92,Rates!$B$6)</f>
        <v>0</v>
      </c>
    </row>
    <row r="93" customFormat="false" ht="15" hidden="false" customHeight="false" outlineLevel="0" collapsed="false">
      <c r="A93" s="1" t="s">
        <v>104</v>
      </c>
      <c r="B93" s="1" t="s">
        <v>12</v>
      </c>
      <c r="C93" s="1" t="n">
        <v>200000</v>
      </c>
      <c r="D93" s="1" t="n">
        <v>291591</v>
      </c>
      <c r="E93" s="1" t="n">
        <f aca="false">D93/C93</f>
        <v>1.457955</v>
      </c>
      <c r="F93" s="1" t="str">
        <f aca="false">IF(E93&gt;=1.2,"gold",IF(E93&gt;=1,"silver",IF(E93&gt;=0.7,"bronze","none")))</f>
        <v>gold</v>
      </c>
      <c r="G93" s="1" t="n">
        <f aca="false">IF(F93="gold",Rates!$B$2,IF(F93="silver",Rates!$B$3,IF(F93="bronze",Rates!$B$4,0)))</f>
        <v>0.1</v>
      </c>
      <c r="H93" s="1" t="n">
        <f aca="false">ROUND(D93*G93,2)</f>
        <v>29159.1</v>
      </c>
      <c r="I93" s="1" t="n">
        <f aca="false">MIN(H93,Rates!$B$6)</f>
        <v>29159.1</v>
      </c>
    </row>
    <row r="94" customFormat="false" ht="15" hidden="false" customHeight="false" outlineLevel="0" collapsed="false">
      <c r="A94" s="1" t="s">
        <v>105</v>
      </c>
      <c r="B94" s="1" t="s">
        <v>14</v>
      </c>
      <c r="C94" s="1" t="n">
        <v>200000</v>
      </c>
      <c r="D94" s="1" t="n">
        <v>335695</v>
      </c>
      <c r="E94" s="1" t="n">
        <f aca="false">D94/C94</f>
        <v>1.678475</v>
      </c>
      <c r="F94" s="1" t="str">
        <f aca="false">IF(E94&gt;=1.2,"gold",IF(E94&gt;=1,"silver",IF(E94&gt;=0.7,"bronze","none")))</f>
        <v>gold</v>
      </c>
      <c r="G94" s="1" t="n">
        <f aca="false">IF(F94="gold",Rates!$B$2,IF(F94="silver",Rates!$B$3,IF(F94="bronze",Rates!$B$4,0)))</f>
        <v>0.1</v>
      </c>
      <c r="H94" s="1" t="n">
        <f aca="false">ROUND(D94*G94,2)</f>
        <v>33569.5</v>
      </c>
      <c r="I94" s="1" t="n">
        <f aca="false">MIN(H94,Rates!$B$6)</f>
        <v>33569.5</v>
      </c>
    </row>
    <row r="95" customFormat="false" ht="15" hidden="false" customHeight="false" outlineLevel="0" collapsed="false">
      <c r="A95" s="1" t="s">
        <v>106</v>
      </c>
      <c r="B95" s="1" t="s">
        <v>10</v>
      </c>
      <c r="C95" s="1" t="n">
        <v>200000</v>
      </c>
      <c r="D95" s="1" t="n">
        <v>544398</v>
      </c>
      <c r="E95" s="1" t="n">
        <f aca="false">D95/C95</f>
        <v>2.72199</v>
      </c>
      <c r="F95" s="1" t="str">
        <f aca="false">IF(E95&gt;=1.2,"gold",IF(E95&gt;=1,"silver",IF(E95&gt;=0.7,"bronze","none")))</f>
        <v>gold</v>
      </c>
      <c r="G95" s="1" t="n">
        <f aca="false">IF(F95="gold",Rates!$B$2,IF(F95="silver",Rates!$B$3,IF(F95="bronze",Rates!$B$4,0)))</f>
        <v>0.1</v>
      </c>
      <c r="H95" s="1" t="n">
        <f aca="false">ROUND(D95*G95,2)</f>
        <v>54439.8</v>
      </c>
      <c r="I95" s="1" t="n">
        <f aca="false">MIN(H95,Rates!$B$6)</f>
        <v>45000</v>
      </c>
    </row>
    <row r="96" customFormat="false" ht="15" hidden="false" customHeight="false" outlineLevel="0" collapsed="false">
      <c r="A96" s="1" t="s">
        <v>107</v>
      </c>
      <c r="B96" s="1" t="s">
        <v>10</v>
      </c>
      <c r="C96" s="1" t="n">
        <v>300000</v>
      </c>
      <c r="D96" s="1" t="n">
        <v>382889</v>
      </c>
      <c r="E96" s="1" t="n">
        <f aca="false">D96/C96</f>
        <v>1.27629666666667</v>
      </c>
      <c r="F96" s="1" t="str">
        <f aca="false">IF(E96&gt;=1.2,"gold",IF(E96&gt;=1,"silver",IF(E96&gt;=0.7,"bronze","none")))</f>
        <v>gold</v>
      </c>
      <c r="G96" s="1" t="n">
        <f aca="false">IF(F96="gold",Rates!$B$2,IF(F96="silver",Rates!$B$3,IF(F96="bronze",Rates!$B$4,0)))</f>
        <v>0.1</v>
      </c>
      <c r="H96" s="1" t="n">
        <f aca="false">ROUND(D96*G96,2)</f>
        <v>38288.9</v>
      </c>
      <c r="I96" s="1" t="n">
        <f aca="false">MIN(H96,Rates!$B$6)</f>
        <v>38288.9</v>
      </c>
    </row>
    <row r="97" customFormat="false" ht="15" hidden="false" customHeight="false" outlineLevel="0" collapsed="false">
      <c r="A97" s="1" t="s">
        <v>108</v>
      </c>
      <c r="B97" s="1" t="s">
        <v>12</v>
      </c>
      <c r="C97" s="1" t="n">
        <v>400000</v>
      </c>
      <c r="D97" s="1" t="n">
        <v>82235</v>
      </c>
      <c r="E97" s="1" t="n">
        <f aca="false">D97/C97</f>
        <v>0.2055875</v>
      </c>
      <c r="F97" s="1" t="str">
        <f aca="false">IF(E97&gt;=1.2,"gold",IF(E97&gt;=1,"silver",IF(E97&gt;=0.7,"bronze","none")))</f>
        <v>none</v>
      </c>
      <c r="G97" s="1" t="n">
        <f aca="false">IF(F97="gold",Rates!$B$2,IF(F97="silver",Rates!$B$3,IF(F97="bronze",Rates!$B$4,0)))</f>
        <v>0</v>
      </c>
      <c r="H97" s="1" t="n">
        <f aca="false">ROUND(D97*G97,2)</f>
        <v>0</v>
      </c>
      <c r="I97" s="1" t="n">
        <f aca="false">MIN(H97,Rates!$B$6)</f>
        <v>0</v>
      </c>
    </row>
    <row r="98" customFormat="false" ht="15" hidden="false" customHeight="false" outlineLevel="0" collapsed="false">
      <c r="A98" s="1" t="s">
        <v>109</v>
      </c>
      <c r="B98" s="1" t="s">
        <v>44</v>
      </c>
      <c r="C98" s="1" t="n">
        <v>200000</v>
      </c>
      <c r="D98" s="1" t="n">
        <v>215082</v>
      </c>
      <c r="E98" s="1" t="n">
        <f aca="false">D98/C98</f>
        <v>1.07541</v>
      </c>
      <c r="F98" s="1" t="str">
        <f aca="false">IF(E98&gt;=1.2,"gold",IF(E98&gt;=1,"silver",IF(E98&gt;=0.7,"bronze","none")))</f>
        <v>silver</v>
      </c>
      <c r="G98" s="1" t="n">
        <f aca="false">IF(F98="gold",Rates!$B$2,IF(F98="silver",Rates!$B$3,IF(F98="bronze",Rates!$B$4,0)))</f>
        <v>0.08</v>
      </c>
      <c r="H98" s="1" t="n">
        <f aca="false">ROUND(D98*G98,2)</f>
        <v>17206.56</v>
      </c>
      <c r="I98" s="1" t="n">
        <f aca="false">MIN(H98,Rates!$B$6)</f>
        <v>17206.56</v>
      </c>
    </row>
    <row r="99" customFormat="false" ht="15" hidden="false" customHeight="false" outlineLevel="0" collapsed="false">
      <c r="A99" s="1" t="s">
        <v>110</v>
      </c>
      <c r="B99" s="1" t="s">
        <v>12</v>
      </c>
      <c r="C99" s="1" t="n">
        <v>300000</v>
      </c>
      <c r="D99" s="1" t="n">
        <v>482459</v>
      </c>
      <c r="E99" s="1" t="n">
        <f aca="false">D99/C99</f>
        <v>1.60819666666667</v>
      </c>
      <c r="F99" s="1" t="str">
        <f aca="false">IF(E99&gt;=1.2,"gold",IF(E99&gt;=1,"silver",IF(E99&gt;=0.7,"bronze","none")))</f>
        <v>gold</v>
      </c>
      <c r="G99" s="1" t="n">
        <f aca="false">IF(F99="gold",Rates!$B$2,IF(F99="silver",Rates!$B$3,IF(F99="bronze",Rates!$B$4,0)))</f>
        <v>0.1</v>
      </c>
      <c r="H99" s="1" t="n">
        <f aca="false">ROUND(D99*G99,2)</f>
        <v>48245.9</v>
      </c>
      <c r="I99" s="1" t="n">
        <f aca="false">MIN(H99,Rates!$B$6)</f>
        <v>45000</v>
      </c>
    </row>
    <row r="100" customFormat="false" ht="15" hidden="false" customHeight="false" outlineLevel="0" collapsed="false">
      <c r="A100" s="1" t="s">
        <v>111</v>
      </c>
      <c r="B100" s="1" t="s">
        <v>10</v>
      </c>
      <c r="C100" s="1" t="n">
        <v>200000</v>
      </c>
      <c r="D100" s="1" t="n">
        <v>532117</v>
      </c>
      <c r="E100" s="1" t="n">
        <f aca="false">D100/C100</f>
        <v>2.660585</v>
      </c>
      <c r="F100" s="1" t="str">
        <f aca="false">IF(E100&gt;=1.2,"gold",IF(E100&gt;=1,"silver",IF(E100&gt;=0.7,"bronze","none")))</f>
        <v>gold</v>
      </c>
      <c r="G100" s="1" t="n">
        <f aca="false">IF(F100="gold",Rates!$B$2,IF(F100="silver",Rates!$B$3,IF(F100="bronze",Rates!$B$4,0)))</f>
        <v>0.1</v>
      </c>
      <c r="H100" s="1" t="n">
        <f aca="false">ROUND(D100*G100,2)</f>
        <v>53211.7</v>
      </c>
      <c r="I100" s="1" t="n">
        <f aca="false">MIN(H100,Rates!$B$6)</f>
        <v>45000</v>
      </c>
    </row>
    <row r="101" customFormat="false" ht="15" hidden="false" customHeight="false" outlineLevel="0" collapsed="false">
      <c r="A101" s="1" t="s">
        <v>112</v>
      </c>
      <c r="B101" s="1" t="s">
        <v>44</v>
      </c>
      <c r="C101" s="1" t="n">
        <v>200000</v>
      </c>
      <c r="D101" s="1" t="n">
        <v>66207</v>
      </c>
      <c r="E101" s="1" t="n">
        <f aca="false">D101/C101</f>
        <v>0.331035</v>
      </c>
      <c r="F101" s="1" t="str">
        <f aca="false">IF(E101&gt;=1.2,"gold",IF(E101&gt;=1,"silver",IF(E101&gt;=0.7,"bronze","none")))</f>
        <v>none</v>
      </c>
      <c r="G101" s="1" t="n">
        <f aca="false">IF(F101="gold",Rates!$B$2,IF(F101="silver",Rates!$B$3,IF(F101="bronze",Rates!$B$4,0)))</f>
        <v>0</v>
      </c>
      <c r="H101" s="1" t="n">
        <f aca="false">ROUND(D101*G101,2)</f>
        <v>0</v>
      </c>
      <c r="I101" s="1" t="n">
        <f aca="false">MIN(H101,Rates!$B$6)</f>
        <v>0</v>
      </c>
    </row>
    <row r="102" customFormat="false" ht="15" hidden="false" customHeight="false" outlineLevel="0" collapsed="false">
      <c r="A102" s="1" t="s">
        <v>113</v>
      </c>
      <c r="B102" s="1" t="s">
        <v>10</v>
      </c>
      <c r="C102" s="1" t="n">
        <v>200000</v>
      </c>
      <c r="D102" s="1" t="n">
        <v>279118</v>
      </c>
      <c r="E102" s="1" t="n">
        <f aca="false">D102/C102</f>
        <v>1.39559</v>
      </c>
      <c r="F102" s="1" t="str">
        <f aca="false">IF(E102&gt;=1.2,"gold",IF(E102&gt;=1,"silver",IF(E102&gt;=0.7,"bronze","none")))</f>
        <v>gold</v>
      </c>
      <c r="G102" s="1" t="n">
        <f aca="false">IF(F102="gold",Rates!$B$2,IF(F102="silver",Rates!$B$3,IF(F102="bronze",Rates!$B$4,0)))</f>
        <v>0.1</v>
      </c>
      <c r="H102" s="1" t="n">
        <f aca="false">ROUND(D102*G102,2)</f>
        <v>27911.8</v>
      </c>
      <c r="I102" s="1" t="n">
        <f aca="false">MIN(H102,Rates!$B$6)</f>
        <v>27911.8</v>
      </c>
    </row>
    <row r="103" customFormat="false" ht="15" hidden="false" customHeight="false" outlineLevel="0" collapsed="false">
      <c r="A103" s="1" t="s">
        <v>114</v>
      </c>
      <c r="B103" s="1" t="s">
        <v>44</v>
      </c>
      <c r="C103" s="1" t="n">
        <v>300000</v>
      </c>
      <c r="D103" s="1" t="n">
        <v>359865</v>
      </c>
      <c r="E103" s="1" t="n">
        <f aca="false">D103/C103</f>
        <v>1.19955</v>
      </c>
      <c r="F103" s="1" t="str">
        <f aca="false">IF(E103&gt;=1.2,"gold",IF(E103&gt;=1,"silver",IF(E103&gt;=0.7,"bronze","none")))</f>
        <v>silver</v>
      </c>
      <c r="G103" s="1" t="n">
        <f aca="false">IF(F103="gold",Rates!$B$2,IF(F103="silver",Rates!$B$3,IF(F103="bronze",Rates!$B$4,0)))</f>
        <v>0.08</v>
      </c>
      <c r="H103" s="1" t="n">
        <f aca="false">ROUND(D103*G103,2)</f>
        <v>28789.2</v>
      </c>
      <c r="I103" s="1" t="n">
        <f aca="false">MIN(H103,Rates!$B$6)</f>
        <v>28789.2</v>
      </c>
    </row>
    <row r="104" customFormat="false" ht="15" hidden="false" customHeight="false" outlineLevel="0" collapsed="false">
      <c r="A104" s="1" t="s">
        <v>115</v>
      </c>
      <c r="B104" s="1" t="s">
        <v>10</v>
      </c>
      <c r="C104" s="1" t="n">
        <v>300000</v>
      </c>
      <c r="D104" s="1" t="n">
        <v>164913</v>
      </c>
      <c r="E104" s="1" t="n">
        <f aca="false">D104/C104</f>
        <v>0.54971</v>
      </c>
      <c r="F104" s="1" t="str">
        <f aca="false">IF(E104&gt;=1.2,"gold",IF(E104&gt;=1,"silver",IF(E104&gt;=0.7,"bronze","none")))</f>
        <v>none</v>
      </c>
      <c r="G104" s="1" t="n">
        <f aca="false">IF(F104="gold",Rates!$B$2,IF(F104="silver",Rates!$B$3,IF(F104="bronze",Rates!$B$4,0)))</f>
        <v>0</v>
      </c>
      <c r="H104" s="1" t="n">
        <f aca="false">ROUND(D104*G104,2)</f>
        <v>0</v>
      </c>
      <c r="I104" s="1" t="n">
        <f aca="false">MIN(H104,Rates!$B$6)</f>
        <v>0</v>
      </c>
    </row>
    <row r="105" customFormat="false" ht="15" hidden="false" customHeight="false" outlineLevel="0" collapsed="false">
      <c r="A105" s="1" t="s">
        <v>116</v>
      </c>
      <c r="B105" s="1" t="s">
        <v>44</v>
      </c>
      <c r="C105" s="1" t="n">
        <v>300000</v>
      </c>
      <c r="D105" s="1" t="n">
        <v>303962</v>
      </c>
      <c r="E105" s="1" t="n">
        <f aca="false">D105/C105</f>
        <v>1.01320666666667</v>
      </c>
      <c r="F105" s="1" t="str">
        <f aca="false">IF(E105&gt;=1.2,"gold",IF(E105&gt;=1,"silver",IF(E105&gt;=0.7,"bronze","none")))</f>
        <v>silver</v>
      </c>
      <c r="G105" s="1" t="n">
        <f aca="false">IF(F105="gold",Rates!$B$2,IF(F105="silver",Rates!$B$3,IF(F105="bronze",Rates!$B$4,0)))</f>
        <v>0.08</v>
      </c>
      <c r="H105" s="1" t="n">
        <f aca="false">ROUND(D105*G105,2)</f>
        <v>24316.96</v>
      </c>
      <c r="I105" s="1" t="n">
        <f aca="false">MIN(H105,Rates!$B$6)</f>
        <v>24316.96</v>
      </c>
    </row>
    <row r="106" customFormat="false" ht="15" hidden="false" customHeight="false" outlineLevel="0" collapsed="false">
      <c r="A106" s="1" t="s">
        <v>117</v>
      </c>
      <c r="B106" s="1" t="s">
        <v>10</v>
      </c>
      <c r="C106" s="1" t="n">
        <v>300000</v>
      </c>
      <c r="D106" s="1" t="n">
        <v>261763</v>
      </c>
      <c r="E106" s="1" t="n">
        <f aca="false">D106/C106</f>
        <v>0.872543333333333</v>
      </c>
      <c r="F106" s="1" t="str">
        <f aca="false">IF(E106&gt;=1.2,"gold",IF(E106&gt;=1,"silver",IF(E106&gt;=0.7,"bronze","none")))</f>
        <v>bronze</v>
      </c>
      <c r="G106" s="1" t="n">
        <f aca="false">IF(F106="gold",Rates!$B$2,IF(F106="silver",Rates!$B$3,IF(F106="bronze",Rates!$B$4,0)))</f>
        <v>0.04</v>
      </c>
      <c r="H106" s="1" t="n">
        <f aca="false">ROUND(D106*G106,2)</f>
        <v>10470.52</v>
      </c>
      <c r="I106" s="1" t="n">
        <f aca="false">MIN(H106,Rates!$B$6)</f>
        <v>10470.52</v>
      </c>
    </row>
    <row r="107" customFormat="false" ht="15" hidden="false" customHeight="false" outlineLevel="0" collapsed="false">
      <c r="A107" s="1" t="s">
        <v>118</v>
      </c>
      <c r="B107" s="1" t="s">
        <v>44</v>
      </c>
      <c r="C107" s="1" t="n">
        <v>300000</v>
      </c>
      <c r="D107" s="1" t="n">
        <v>82383</v>
      </c>
      <c r="E107" s="1" t="n">
        <f aca="false">D107/C107</f>
        <v>0.27461</v>
      </c>
      <c r="F107" s="1" t="str">
        <f aca="false">IF(E107&gt;=1.2,"gold",IF(E107&gt;=1,"silver",IF(E107&gt;=0.7,"bronze","none")))</f>
        <v>none</v>
      </c>
      <c r="G107" s="1" t="n">
        <f aca="false">IF(F107="gold",Rates!$B$2,IF(F107="silver",Rates!$B$3,IF(F107="bronze",Rates!$B$4,0)))</f>
        <v>0</v>
      </c>
      <c r="H107" s="1" t="n">
        <f aca="false">ROUND(D107*G107,2)</f>
        <v>0</v>
      </c>
      <c r="I107" s="1" t="n">
        <f aca="false">MIN(H107,Rates!$B$6)</f>
        <v>0</v>
      </c>
    </row>
    <row r="108" customFormat="false" ht="15" hidden="false" customHeight="false" outlineLevel="0" collapsed="false">
      <c r="A108" s="1" t="s">
        <v>119</v>
      </c>
      <c r="B108" s="1" t="s">
        <v>14</v>
      </c>
      <c r="C108" s="1" t="n">
        <v>200000</v>
      </c>
      <c r="D108" s="1" t="n">
        <v>224633</v>
      </c>
      <c r="E108" s="1" t="n">
        <f aca="false">D108/C108</f>
        <v>1.123165</v>
      </c>
      <c r="F108" s="1" t="str">
        <f aca="false">IF(E108&gt;=1.2,"gold",IF(E108&gt;=1,"silver",IF(E108&gt;=0.7,"bronze","none")))</f>
        <v>silver</v>
      </c>
      <c r="G108" s="1" t="n">
        <f aca="false">IF(F108="gold",Rates!$B$2,IF(F108="silver",Rates!$B$3,IF(F108="bronze",Rates!$B$4,0)))</f>
        <v>0.08</v>
      </c>
      <c r="H108" s="1" t="n">
        <f aca="false">ROUND(D108*G108,2)</f>
        <v>17970.64</v>
      </c>
      <c r="I108" s="1" t="n">
        <f aca="false">MIN(H108,Rates!$B$6)</f>
        <v>17970.64</v>
      </c>
    </row>
    <row r="109" customFormat="false" ht="15" hidden="false" customHeight="false" outlineLevel="0" collapsed="false">
      <c r="A109" s="1" t="s">
        <v>120</v>
      </c>
      <c r="B109" s="1" t="s">
        <v>14</v>
      </c>
      <c r="C109" s="1" t="n">
        <v>200000</v>
      </c>
      <c r="D109" s="1" t="n">
        <v>166103</v>
      </c>
      <c r="E109" s="1" t="n">
        <f aca="false">D109/C109</f>
        <v>0.830515</v>
      </c>
      <c r="F109" s="1" t="str">
        <f aca="false">IF(E109&gt;=1.2,"gold",IF(E109&gt;=1,"silver",IF(E109&gt;=0.7,"bronze","none")))</f>
        <v>bronze</v>
      </c>
      <c r="G109" s="1" t="n">
        <f aca="false">IF(F109="gold",Rates!$B$2,IF(F109="silver",Rates!$B$3,IF(F109="bronze",Rates!$B$4,0)))</f>
        <v>0.04</v>
      </c>
      <c r="H109" s="1" t="n">
        <f aca="false">ROUND(D109*G109,2)</f>
        <v>6644.12</v>
      </c>
      <c r="I109" s="1" t="n">
        <f aca="false">MIN(H109,Rates!$B$6)</f>
        <v>6644.12</v>
      </c>
    </row>
    <row r="110" customFormat="false" ht="15" hidden="false" customHeight="false" outlineLevel="0" collapsed="false">
      <c r="A110" s="1" t="s">
        <v>121</v>
      </c>
      <c r="B110" s="1" t="s">
        <v>44</v>
      </c>
      <c r="C110" s="1" t="n">
        <v>400000</v>
      </c>
      <c r="D110" s="1" t="n">
        <v>543152</v>
      </c>
      <c r="E110" s="1" t="n">
        <f aca="false">D110/C110</f>
        <v>1.35788</v>
      </c>
      <c r="F110" s="1" t="str">
        <f aca="false">IF(E110&gt;=1.2,"gold",IF(E110&gt;=1,"silver",IF(E110&gt;=0.7,"bronze","none")))</f>
        <v>gold</v>
      </c>
      <c r="G110" s="1" t="n">
        <f aca="false">IF(F110="gold",Rates!$B$2,IF(F110="silver",Rates!$B$3,IF(F110="bronze",Rates!$B$4,0)))</f>
        <v>0.1</v>
      </c>
      <c r="H110" s="1" t="n">
        <f aca="false">ROUND(D110*G110,2)</f>
        <v>54315.2</v>
      </c>
      <c r="I110" s="1" t="n">
        <f aca="false">MIN(H110,Rates!$B$6)</f>
        <v>45000</v>
      </c>
    </row>
    <row r="111" customFormat="false" ht="15" hidden="false" customHeight="false" outlineLevel="0" collapsed="false">
      <c r="A111" s="1" t="s">
        <v>122</v>
      </c>
      <c r="B111" s="1" t="s">
        <v>14</v>
      </c>
      <c r="C111" s="1" t="n">
        <v>300000</v>
      </c>
      <c r="D111" s="1" t="n">
        <v>586201</v>
      </c>
      <c r="E111" s="1" t="n">
        <f aca="false">D111/C111</f>
        <v>1.95400333333333</v>
      </c>
      <c r="F111" s="1" t="str">
        <f aca="false">IF(E111&gt;=1.2,"gold",IF(E111&gt;=1,"silver",IF(E111&gt;=0.7,"bronze","none")))</f>
        <v>gold</v>
      </c>
      <c r="G111" s="1" t="n">
        <f aca="false">IF(F111="gold",Rates!$B$2,IF(F111="silver",Rates!$B$3,IF(F111="bronze",Rates!$B$4,0)))</f>
        <v>0.1</v>
      </c>
      <c r="H111" s="1" t="n">
        <f aca="false">ROUND(D111*G111,2)</f>
        <v>58620.1</v>
      </c>
      <c r="I111" s="1" t="n">
        <f aca="false">MIN(H111,Rates!$B$6)</f>
        <v>45000</v>
      </c>
    </row>
    <row r="112" customFormat="false" ht="15" hidden="false" customHeight="false" outlineLevel="0" collapsed="false">
      <c r="A112" s="1" t="s">
        <v>123</v>
      </c>
      <c r="B112" s="1" t="s">
        <v>10</v>
      </c>
      <c r="C112" s="1" t="n">
        <v>200000</v>
      </c>
      <c r="D112" s="1" t="n">
        <v>433354</v>
      </c>
      <c r="E112" s="1" t="n">
        <f aca="false">D112/C112</f>
        <v>2.16677</v>
      </c>
      <c r="F112" s="1" t="str">
        <f aca="false">IF(E112&gt;=1.2,"gold",IF(E112&gt;=1,"silver",IF(E112&gt;=0.7,"bronze","none")))</f>
        <v>gold</v>
      </c>
      <c r="G112" s="1" t="n">
        <f aca="false">IF(F112="gold",Rates!$B$2,IF(F112="silver",Rates!$B$3,IF(F112="bronze",Rates!$B$4,0)))</f>
        <v>0.1</v>
      </c>
      <c r="H112" s="1" t="n">
        <f aca="false">ROUND(D112*G112,2)</f>
        <v>43335.4</v>
      </c>
      <c r="I112" s="1" t="n">
        <f aca="false">MIN(H112,Rates!$B$6)</f>
        <v>43335.4</v>
      </c>
    </row>
    <row r="113" customFormat="false" ht="15" hidden="false" customHeight="false" outlineLevel="0" collapsed="false">
      <c r="A113" s="1" t="s">
        <v>124</v>
      </c>
      <c r="B113" s="1" t="s">
        <v>44</v>
      </c>
      <c r="C113" s="1" t="n">
        <v>200000</v>
      </c>
      <c r="D113" s="1" t="n">
        <v>60517</v>
      </c>
      <c r="E113" s="1" t="n">
        <f aca="false">D113/C113</f>
        <v>0.302585</v>
      </c>
      <c r="F113" s="1" t="str">
        <f aca="false">IF(E113&gt;=1.2,"gold",IF(E113&gt;=1,"silver",IF(E113&gt;=0.7,"bronze","none")))</f>
        <v>none</v>
      </c>
      <c r="G113" s="1" t="n">
        <f aca="false">IF(F113="gold",Rates!$B$2,IF(F113="silver",Rates!$B$3,IF(F113="bronze",Rates!$B$4,0)))</f>
        <v>0</v>
      </c>
      <c r="H113" s="1" t="n">
        <f aca="false">ROUND(D113*G113,2)</f>
        <v>0</v>
      </c>
      <c r="I113" s="1" t="n">
        <f aca="false">MIN(H113,Rates!$B$6)</f>
        <v>0</v>
      </c>
    </row>
    <row r="114" customFormat="false" ht="15" hidden="false" customHeight="false" outlineLevel="0" collapsed="false">
      <c r="A114" s="1" t="s">
        <v>125</v>
      </c>
      <c r="B114" s="1" t="s">
        <v>10</v>
      </c>
      <c r="C114" s="1" t="n">
        <v>300000</v>
      </c>
      <c r="D114" s="1" t="n">
        <v>175042</v>
      </c>
      <c r="E114" s="1" t="n">
        <f aca="false">D114/C114</f>
        <v>0.583473333333333</v>
      </c>
      <c r="F114" s="1" t="str">
        <f aca="false">IF(E114&gt;=1.2,"gold",IF(E114&gt;=1,"silver",IF(E114&gt;=0.7,"bronze","none")))</f>
        <v>none</v>
      </c>
      <c r="G114" s="1" t="n">
        <f aca="false">IF(F114="gold",Rates!$B$2,IF(F114="silver",Rates!$B$3,IF(F114="bronze",Rates!$B$4,0)))</f>
        <v>0</v>
      </c>
      <c r="H114" s="1" t="n">
        <f aca="false">ROUND(D114*G114,2)</f>
        <v>0</v>
      </c>
      <c r="I114" s="1" t="n">
        <f aca="false">MIN(H114,Rates!$B$6)</f>
        <v>0</v>
      </c>
    </row>
    <row r="115" customFormat="false" ht="15" hidden="false" customHeight="false" outlineLevel="0" collapsed="false">
      <c r="A115" s="1" t="s">
        <v>126</v>
      </c>
      <c r="B115" s="1" t="s">
        <v>44</v>
      </c>
      <c r="C115" s="1" t="n">
        <v>400000</v>
      </c>
      <c r="D115" s="1" t="n">
        <v>326292</v>
      </c>
      <c r="E115" s="1" t="n">
        <f aca="false">D115/C115</f>
        <v>0.81573</v>
      </c>
      <c r="F115" s="1" t="str">
        <f aca="false">IF(E115&gt;=1.2,"gold",IF(E115&gt;=1,"silver",IF(E115&gt;=0.7,"bronze","none")))</f>
        <v>bronze</v>
      </c>
      <c r="G115" s="1" t="n">
        <f aca="false">IF(F115="gold",Rates!$B$2,IF(F115="silver",Rates!$B$3,IF(F115="bronze",Rates!$B$4,0)))</f>
        <v>0.04</v>
      </c>
      <c r="H115" s="1" t="n">
        <f aca="false">ROUND(D115*G115,2)</f>
        <v>13051.68</v>
      </c>
      <c r="I115" s="1" t="n">
        <f aca="false">MIN(H115,Rates!$B$6)</f>
        <v>13051.68</v>
      </c>
    </row>
    <row r="116" customFormat="false" ht="15" hidden="false" customHeight="false" outlineLevel="0" collapsed="false">
      <c r="A116" s="1" t="s">
        <v>127</v>
      </c>
      <c r="B116" s="1" t="s">
        <v>10</v>
      </c>
      <c r="C116" s="1" t="n">
        <v>400000</v>
      </c>
      <c r="D116" s="1" t="n">
        <v>51758</v>
      </c>
      <c r="E116" s="1" t="n">
        <f aca="false">D116/C116</f>
        <v>0.129395</v>
      </c>
      <c r="F116" s="1" t="str">
        <f aca="false">IF(E116&gt;=1.2,"gold",IF(E116&gt;=1,"silver",IF(E116&gt;=0.7,"bronze","none")))</f>
        <v>none</v>
      </c>
      <c r="G116" s="1" t="n">
        <f aca="false">IF(F116="gold",Rates!$B$2,IF(F116="silver",Rates!$B$3,IF(F116="bronze",Rates!$B$4,0)))</f>
        <v>0</v>
      </c>
      <c r="H116" s="1" t="n">
        <f aca="false">ROUND(D116*G116,2)</f>
        <v>0</v>
      </c>
      <c r="I116" s="1" t="n">
        <f aca="false">MIN(H116,Rates!$B$6)</f>
        <v>0</v>
      </c>
    </row>
    <row r="117" customFormat="false" ht="15" hidden="false" customHeight="false" outlineLevel="0" collapsed="false">
      <c r="A117" s="1" t="s">
        <v>128</v>
      </c>
      <c r="B117" s="1" t="s">
        <v>12</v>
      </c>
      <c r="C117" s="1" t="n">
        <v>200000</v>
      </c>
      <c r="D117" s="1" t="n">
        <v>173057</v>
      </c>
      <c r="E117" s="1" t="n">
        <f aca="false">D117/C117</f>
        <v>0.865285</v>
      </c>
      <c r="F117" s="1" t="str">
        <f aca="false">IF(E117&gt;=1.2,"gold",IF(E117&gt;=1,"silver",IF(E117&gt;=0.7,"bronze","none")))</f>
        <v>bronze</v>
      </c>
      <c r="G117" s="1" t="n">
        <f aca="false">IF(F117="gold",Rates!$B$2,IF(F117="silver",Rates!$B$3,IF(F117="bronze",Rates!$B$4,0)))</f>
        <v>0.04</v>
      </c>
      <c r="H117" s="1" t="n">
        <f aca="false">ROUND(D117*G117,2)</f>
        <v>6922.28</v>
      </c>
      <c r="I117" s="1" t="n">
        <f aca="false">MIN(H117,Rates!$B$6)</f>
        <v>6922.28</v>
      </c>
    </row>
    <row r="118" customFormat="false" ht="15" hidden="false" customHeight="false" outlineLevel="0" collapsed="false">
      <c r="A118" s="1" t="s">
        <v>129</v>
      </c>
      <c r="B118" s="1" t="s">
        <v>44</v>
      </c>
      <c r="C118" s="1" t="n">
        <v>200000</v>
      </c>
      <c r="D118" s="1" t="n">
        <v>100320</v>
      </c>
      <c r="E118" s="1" t="n">
        <f aca="false">D118/C118</f>
        <v>0.5016</v>
      </c>
      <c r="F118" s="1" t="str">
        <f aca="false">IF(E118&gt;=1.2,"gold",IF(E118&gt;=1,"silver",IF(E118&gt;=0.7,"bronze","none")))</f>
        <v>none</v>
      </c>
      <c r="G118" s="1" t="n">
        <f aca="false">IF(F118="gold",Rates!$B$2,IF(F118="silver",Rates!$B$3,IF(F118="bronze",Rates!$B$4,0)))</f>
        <v>0</v>
      </c>
      <c r="H118" s="1" t="n">
        <f aca="false">ROUND(D118*G118,2)</f>
        <v>0</v>
      </c>
      <c r="I118" s="1" t="n">
        <f aca="false">MIN(H118,Rates!$B$6)</f>
        <v>0</v>
      </c>
    </row>
    <row r="119" customFormat="false" ht="15" hidden="false" customHeight="false" outlineLevel="0" collapsed="false">
      <c r="A119" s="1" t="s">
        <v>130</v>
      </c>
      <c r="B119" s="1" t="s">
        <v>44</v>
      </c>
      <c r="C119" s="1" t="n">
        <v>200000</v>
      </c>
      <c r="D119" s="1" t="n">
        <v>431490</v>
      </c>
      <c r="E119" s="1" t="n">
        <f aca="false">D119/C119</f>
        <v>2.15745</v>
      </c>
      <c r="F119" s="1" t="str">
        <f aca="false">IF(E119&gt;=1.2,"gold",IF(E119&gt;=1,"silver",IF(E119&gt;=0.7,"bronze","none")))</f>
        <v>gold</v>
      </c>
      <c r="G119" s="1" t="n">
        <f aca="false">IF(F119="gold",Rates!$B$2,IF(F119="silver",Rates!$B$3,IF(F119="bronze",Rates!$B$4,0)))</f>
        <v>0.1</v>
      </c>
      <c r="H119" s="1" t="n">
        <f aca="false">ROUND(D119*G119,2)</f>
        <v>43149</v>
      </c>
      <c r="I119" s="1" t="n">
        <f aca="false">MIN(H119,Rates!$B$6)</f>
        <v>43149</v>
      </c>
    </row>
    <row r="120" customFormat="false" ht="15" hidden="false" customHeight="false" outlineLevel="0" collapsed="false">
      <c r="A120" s="1" t="s">
        <v>131</v>
      </c>
      <c r="B120" s="1" t="s">
        <v>10</v>
      </c>
      <c r="C120" s="1" t="n">
        <v>400000</v>
      </c>
      <c r="D120" s="1" t="n">
        <v>511865</v>
      </c>
      <c r="E120" s="1" t="n">
        <f aca="false">D120/C120</f>
        <v>1.2796625</v>
      </c>
      <c r="F120" s="1" t="str">
        <f aca="false">IF(E120&gt;=1.2,"gold",IF(E120&gt;=1,"silver",IF(E120&gt;=0.7,"bronze","none")))</f>
        <v>gold</v>
      </c>
      <c r="G120" s="1" t="n">
        <f aca="false">IF(F120="gold",Rates!$B$2,IF(F120="silver",Rates!$B$3,IF(F120="bronze",Rates!$B$4,0)))</f>
        <v>0.1</v>
      </c>
      <c r="H120" s="1" t="n">
        <f aca="false">ROUND(D120*G120,2)</f>
        <v>51186.5</v>
      </c>
      <c r="I120" s="1" t="n">
        <f aca="false">MIN(H120,Rates!$B$6)</f>
        <v>45000</v>
      </c>
    </row>
    <row r="121" customFormat="false" ht="15" hidden="false" customHeight="false" outlineLevel="0" collapsed="false">
      <c r="A121" s="1" t="s">
        <v>132</v>
      </c>
      <c r="B121" s="1" t="s">
        <v>10</v>
      </c>
      <c r="C121" s="1" t="n">
        <v>400000</v>
      </c>
      <c r="D121" s="1" t="n">
        <v>328414</v>
      </c>
      <c r="E121" s="1" t="n">
        <f aca="false">D121/C121</f>
        <v>0.821035</v>
      </c>
      <c r="F121" s="1" t="str">
        <f aca="false">IF(E121&gt;=1.2,"gold",IF(E121&gt;=1,"silver",IF(E121&gt;=0.7,"bronze","none")))</f>
        <v>bronze</v>
      </c>
      <c r="G121" s="1" t="n">
        <f aca="false">IF(F121="gold",Rates!$B$2,IF(F121="silver",Rates!$B$3,IF(F121="bronze",Rates!$B$4,0)))</f>
        <v>0.04</v>
      </c>
      <c r="H121" s="1" t="n">
        <f aca="false">ROUND(D121*G121,2)</f>
        <v>13136.56</v>
      </c>
      <c r="I121" s="1" t="n">
        <f aca="false">MIN(H121,Rates!$B$6)</f>
        <v>13136.56</v>
      </c>
    </row>
    <row r="122" customFormat="false" ht="15" hidden="false" customHeight="false" outlineLevel="0" collapsed="false">
      <c r="A122" s="1" t="s">
        <v>133</v>
      </c>
      <c r="B122" s="1" t="s">
        <v>12</v>
      </c>
      <c r="C122" s="1" t="n">
        <v>400000</v>
      </c>
      <c r="D122" s="1" t="n">
        <v>429617</v>
      </c>
      <c r="E122" s="1" t="n">
        <f aca="false">D122/C122</f>
        <v>1.0740425</v>
      </c>
      <c r="F122" s="1" t="str">
        <f aca="false">IF(E122&gt;=1.2,"gold",IF(E122&gt;=1,"silver",IF(E122&gt;=0.7,"bronze","none")))</f>
        <v>silver</v>
      </c>
      <c r="G122" s="1" t="n">
        <f aca="false">IF(F122="gold",Rates!$B$2,IF(F122="silver",Rates!$B$3,IF(F122="bronze",Rates!$B$4,0)))</f>
        <v>0.08</v>
      </c>
      <c r="H122" s="1" t="n">
        <f aca="false">ROUND(D122*G122,2)</f>
        <v>34369.36</v>
      </c>
      <c r="I122" s="1" t="n">
        <f aca="false">MIN(H122,Rates!$B$6)</f>
        <v>34369.36</v>
      </c>
    </row>
    <row r="123" customFormat="false" ht="15" hidden="false" customHeight="false" outlineLevel="0" collapsed="false">
      <c r="A123" s="1" t="s">
        <v>134</v>
      </c>
      <c r="B123" s="1" t="s">
        <v>44</v>
      </c>
      <c r="C123" s="1" t="n">
        <v>300000</v>
      </c>
      <c r="D123" s="1" t="n">
        <v>161093</v>
      </c>
      <c r="E123" s="1" t="n">
        <f aca="false">D123/C123</f>
        <v>0.536976666666667</v>
      </c>
      <c r="F123" s="1" t="str">
        <f aca="false">IF(E123&gt;=1.2,"gold",IF(E123&gt;=1,"silver",IF(E123&gt;=0.7,"bronze","none")))</f>
        <v>none</v>
      </c>
      <c r="G123" s="1" t="n">
        <f aca="false">IF(F123="gold",Rates!$B$2,IF(F123="silver",Rates!$B$3,IF(F123="bronze",Rates!$B$4,0)))</f>
        <v>0</v>
      </c>
      <c r="H123" s="1" t="n">
        <f aca="false">ROUND(D123*G123,2)</f>
        <v>0</v>
      </c>
      <c r="I123" s="1" t="n">
        <f aca="false">MIN(H123,Rates!$B$6)</f>
        <v>0</v>
      </c>
    </row>
    <row r="124" customFormat="false" ht="15" hidden="false" customHeight="false" outlineLevel="0" collapsed="false">
      <c r="A124" s="1" t="s">
        <v>135</v>
      </c>
      <c r="B124" s="1" t="s">
        <v>10</v>
      </c>
      <c r="C124" s="1" t="n">
        <v>400000</v>
      </c>
      <c r="D124" s="1" t="n">
        <v>150337</v>
      </c>
      <c r="E124" s="1" t="n">
        <f aca="false">D124/C124</f>
        <v>0.3758425</v>
      </c>
      <c r="F124" s="1" t="str">
        <f aca="false">IF(E124&gt;=1.2,"gold",IF(E124&gt;=1,"silver",IF(E124&gt;=0.7,"bronze","none")))</f>
        <v>none</v>
      </c>
      <c r="G124" s="1" t="n">
        <f aca="false">IF(F124="gold",Rates!$B$2,IF(F124="silver",Rates!$B$3,IF(F124="bronze",Rates!$B$4,0)))</f>
        <v>0</v>
      </c>
      <c r="H124" s="1" t="n">
        <f aca="false">ROUND(D124*G124,2)</f>
        <v>0</v>
      </c>
      <c r="I124" s="1" t="n">
        <f aca="false">MIN(H124,Rates!$B$6)</f>
        <v>0</v>
      </c>
    </row>
    <row r="125" customFormat="false" ht="15" hidden="false" customHeight="false" outlineLevel="0" collapsed="false">
      <c r="A125" s="1" t="s">
        <v>136</v>
      </c>
      <c r="B125" s="1" t="s">
        <v>12</v>
      </c>
      <c r="C125" s="1" t="n">
        <v>400000</v>
      </c>
      <c r="D125" s="1" t="n">
        <v>144349</v>
      </c>
      <c r="E125" s="1" t="n">
        <f aca="false">D125/C125</f>
        <v>0.3608725</v>
      </c>
      <c r="F125" s="1" t="str">
        <f aca="false">IF(E125&gt;=1.2,"gold",IF(E125&gt;=1,"silver",IF(E125&gt;=0.7,"bronze","none")))</f>
        <v>none</v>
      </c>
      <c r="G125" s="1" t="n">
        <f aca="false">IF(F125="gold",Rates!$B$2,IF(F125="silver",Rates!$B$3,IF(F125="bronze",Rates!$B$4,0)))</f>
        <v>0</v>
      </c>
      <c r="H125" s="1" t="n">
        <f aca="false">ROUND(D125*G125,2)</f>
        <v>0</v>
      </c>
      <c r="I125" s="1" t="n">
        <f aca="false">MIN(H125,Rates!$B$6)</f>
        <v>0</v>
      </c>
    </row>
    <row r="126" customFormat="false" ht="15" hidden="false" customHeight="false" outlineLevel="0" collapsed="false">
      <c r="A126" s="1" t="s">
        <v>137</v>
      </c>
      <c r="B126" s="1" t="s">
        <v>44</v>
      </c>
      <c r="C126" s="1" t="n">
        <v>400000</v>
      </c>
      <c r="D126" s="1" t="n">
        <v>538144</v>
      </c>
      <c r="E126" s="1" t="n">
        <f aca="false">D126/C126</f>
        <v>1.34536</v>
      </c>
      <c r="F126" s="1" t="str">
        <f aca="false">IF(E126&gt;=1.2,"gold",IF(E126&gt;=1,"silver",IF(E126&gt;=0.7,"bronze","none")))</f>
        <v>gold</v>
      </c>
      <c r="G126" s="1" t="n">
        <f aca="false">IF(F126="gold",Rates!$B$2,IF(F126="silver",Rates!$B$3,IF(F126="bronze",Rates!$B$4,0)))</f>
        <v>0.1</v>
      </c>
      <c r="H126" s="1" t="n">
        <f aca="false">ROUND(D126*G126,2)</f>
        <v>53814.4</v>
      </c>
      <c r="I126" s="1" t="n">
        <f aca="false">MIN(H126,Rates!$B$6)</f>
        <v>45000</v>
      </c>
    </row>
    <row r="127" customFormat="false" ht="15" hidden="false" customHeight="false" outlineLevel="0" collapsed="false">
      <c r="A127" s="1" t="s">
        <v>138</v>
      </c>
      <c r="B127" s="1" t="s">
        <v>44</v>
      </c>
      <c r="C127" s="1" t="n">
        <v>300000</v>
      </c>
      <c r="D127" s="1" t="n">
        <v>337399</v>
      </c>
      <c r="E127" s="1" t="n">
        <f aca="false">D127/C127</f>
        <v>1.12466333333333</v>
      </c>
      <c r="F127" s="1" t="str">
        <f aca="false">IF(E127&gt;=1.2,"gold",IF(E127&gt;=1,"silver",IF(E127&gt;=0.7,"bronze","none")))</f>
        <v>silver</v>
      </c>
      <c r="G127" s="1" t="n">
        <f aca="false">IF(F127="gold",Rates!$B$2,IF(F127="silver",Rates!$B$3,IF(F127="bronze",Rates!$B$4,0)))</f>
        <v>0.08</v>
      </c>
      <c r="H127" s="1" t="n">
        <f aca="false">ROUND(D127*G127,2)</f>
        <v>26991.92</v>
      </c>
      <c r="I127" s="1" t="n">
        <f aca="false">MIN(H127,Rates!$B$6)</f>
        <v>26991.92</v>
      </c>
    </row>
    <row r="128" customFormat="false" ht="15" hidden="false" customHeight="false" outlineLevel="0" collapsed="false">
      <c r="A128" s="1" t="s">
        <v>139</v>
      </c>
      <c r="B128" s="1" t="s">
        <v>10</v>
      </c>
      <c r="C128" s="1" t="n">
        <v>200000</v>
      </c>
      <c r="D128" s="1" t="n">
        <v>200044</v>
      </c>
      <c r="E128" s="1" t="n">
        <f aca="false">D128/C128</f>
        <v>1.00022</v>
      </c>
      <c r="F128" s="1" t="str">
        <f aca="false">IF(E128&gt;=1.2,"gold",IF(E128&gt;=1,"silver",IF(E128&gt;=0.7,"bronze","none")))</f>
        <v>silver</v>
      </c>
      <c r="G128" s="1" t="n">
        <f aca="false">IF(F128="gold",Rates!$B$2,IF(F128="silver",Rates!$B$3,IF(F128="bronze",Rates!$B$4,0)))</f>
        <v>0.08</v>
      </c>
      <c r="H128" s="1" t="n">
        <f aca="false">ROUND(D128*G128,2)</f>
        <v>16003.52</v>
      </c>
      <c r="I128" s="1" t="n">
        <f aca="false">MIN(H128,Rates!$B$6)</f>
        <v>16003.52</v>
      </c>
    </row>
    <row r="129" customFormat="false" ht="15" hidden="false" customHeight="false" outlineLevel="0" collapsed="false">
      <c r="A129" s="1" t="s">
        <v>140</v>
      </c>
      <c r="B129" s="1" t="s">
        <v>12</v>
      </c>
      <c r="C129" s="1" t="n">
        <v>400000</v>
      </c>
      <c r="D129" s="1" t="n">
        <v>298313</v>
      </c>
      <c r="E129" s="1" t="n">
        <f aca="false">D129/C129</f>
        <v>0.7457825</v>
      </c>
      <c r="F129" s="1" t="str">
        <f aca="false">IF(E129&gt;=1.2,"gold",IF(E129&gt;=1,"silver",IF(E129&gt;=0.7,"bronze","none")))</f>
        <v>bronze</v>
      </c>
      <c r="G129" s="1" t="n">
        <f aca="false">IF(F129="gold",Rates!$B$2,IF(F129="silver",Rates!$B$3,IF(F129="bronze",Rates!$B$4,0)))</f>
        <v>0.04</v>
      </c>
      <c r="H129" s="1" t="n">
        <f aca="false">ROUND(D129*G129,2)</f>
        <v>11932.52</v>
      </c>
      <c r="I129" s="1" t="n">
        <f aca="false">MIN(H129,Rates!$B$6)</f>
        <v>11932.52</v>
      </c>
    </row>
    <row r="130" customFormat="false" ht="15" hidden="false" customHeight="false" outlineLevel="0" collapsed="false">
      <c r="A130" s="1" t="s">
        <v>141</v>
      </c>
      <c r="B130" s="1" t="s">
        <v>12</v>
      </c>
      <c r="C130" s="1" t="n">
        <v>200000</v>
      </c>
      <c r="D130" s="1" t="n">
        <v>232077</v>
      </c>
      <c r="E130" s="1" t="n">
        <f aca="false">D130/C130</f>
        <v>1.160385</v>
      </c>
      <c r="F130" s="1" t="str">
        <f aca="false">IF(E130&gt;=1.2,"gold",IF(E130&gt;=1,"silver",IF(E130&gt;=0.7,"bronze","none")))</f>
        <v>silver</v>
      </c>
      <c r="G130" s="1" t="n">
        <f aca="false">IF(F130="gold",Rates!$B$2,IF(F130="silver",Rates!$B$3,IF(F130="bronze",Rates!$B$4,0)))</f>
        <v>0.08</v>
      </c>
      <c r="H130" s="1" t="n">
        <f aca="false">ROUND(D130*G130,2)</f>
        <v>18566.16</v>
      </c>
      <c r="I130" s="1" t="n">
        <f aca="false">MIN(H130,Rates!$B$6)</f>
        <v>18566.16</v>
      </c>
    </row>
    <row r="131" customFormat="false" ht="15" hidden="false" customHeight="false" outlineLevel="0" collapsed="false">
      <c r="A131" s="1" t="s">
        <v>142</v>
      </c>
      <c r="B131" s="1" t="s">
        <v>44</v>
      </c>
      <c r="C131" s="1" t="n">
        <v>400000</v>
      </c>
      <c r="D131" s="1" t="n">
        <v>380492</v>
      </c>
      <c r="E131" s="1" t="n">
        <f aca="false">D131/C131</f>
        <v>0.95123</v>
      </c>
      <c r="F131" s="1" t="str">
        <f aca="false">IF(E131&gt;=1.2,"gold",IF(E131&gt;=1,"silver",IF(E131&gt;=0.7,"bronze","none")))</f>
        <v>bronze</v>
      </c>
      <c r="G131" s="1" t="n">
        <f aca="false">IF(F131="gold",Rates!$B$2,IF(F131="silver",Rates!$B$3,IF(F131="bronze",Rates!$B$4,0)))</f>
        <v>0.04</v>
      </c>
      <c r="H131" s="1" t="n">
        <f aca="false">ROUND(D131*G131,2)</f>
        <v>15219.68</v>
      </c>
      <c r="I131" s="1" t="n">
        <f aca="false">MIN(H131,Rates!$B$6)</f>
        <v>15219.68</v>
      </c>
    </row>
    <row r="132" customFormat="false" ht="15" hidden="false" customHeight="false" outlineLevel="0" collapsed="false">
      <c r="A132" s="1" t="s">
        <v>143</v>
      </c>
      <c r="B132" s="1" t="s">
        <v>44</v>
      </c>
      <c r="C132" s="1" t="n">
        <v>300000</v>
      </c>
      <c r="D132" s="1" t="n">
        <v>64425</v>
      </c>
      <c r="E132" s="1" t="n">
        <f aca="false">D132/C132</f>
        <v>0.21475</v>
      </c>
      <c r="F132" s="1" t="str">
        <f aca="false">IF(E132&gt;=1.2,"gold",IF(E132&gt;=1,"silver",IF(E132&gt;=0.7,"bronze","none")))</f>
        <v>none</v>
      </c>
      <c r="G132" s="1" t="n">
        <f aca="false">IF(F132="gold",Rates!$B$2,IF(F132="silver",Rates!$B$3,IF(F132="bronze",Rates!$B$4,0)))</f>
        <v>0</v>
      </c>
      <c r="H132" s="1" t="n">
        <f aca="false">ROUND(D132*G132,2)</f>
        <v>0</v>
      </c>
      <c r="I132" s="1" t="n">
        <f aca="false">MIN(H132,Rates!$B$6)</f>
        <v>0</v>
      </c>
    </row>
    <row r="133" customFormat="false" ht="15" hidden="false" customHeight="false" outlineLevel="0" collapsed="false">
      <c r="A133" s="1" t="s">
        <v>144</v>
      </c>
      <c r="B133" s="1" t="s">
        <v>12</v>
      </c>
      <c r="C133" s="1" t="n">
        <v>400000</v>
      </c>
      <c r="D133" s="1" t="n">
        <v>478198</v>
      </c>
      <c r="E133" s="1" t="n">
        <f aca="false">D133/C133</f>
        <v>1.195495</v>
      </c>
      <c r="F133" s="1" t="str">
        <f aca="false">IF(E133&gt;=1.2,"gold",IF(E133&gt;=1,"silver",IF(E133&gt;=0.7,"bronze","none")))</f>
        <v>silver</v>
      </c>
      <c r="G133" s="1" t="n">
        <f aca="false">IF(F133="gold",Rates!$B$2,IF(F133="silver",Rates!$B$3,IF(F133="bronze",Rates!$B$4,0)))</f>
        <v>0.08</v>
      </c>
      <c r="H133" s="1" t="n">
        <f aca="false">ROUND(D133*G133,2)</f>
        <v>38255.84</v>
      </c>
      <c r="I133" s="1" t="n">
        <f aca="false">MIN(H133,Rates!$B$6)</f>
        <v>38255.84</v>
      </c>
    </row>
    <row r="134" customFormat="false" ht="15" hidden="false" customHeight="false" outlineLevel="0" collapsed="false">
      <c r="A134" s="1" t="s">
        <v>145</v>
      </c>
      <c r="B134" s="1" t="s">
        <v>14</v>
      </c>
      <c r="C134" s="1" t="n">
        <v>300000</v>
      </c>
      <c r="D134" s="1" t="n">
        <v>124003</v>
      </c>
      <c r="E134" s="1" t="n">
        <f aca="false">D134/C134</f>
        <v>0.413343333333333</v>
      </c>
      <c r="F134" s="1" t="str">
        <f aca="false">IF(E134&gt;=1.2,"gold",IF(E134&gt;=1,"silver",IF(E134&gt;=0.7,"bronze","none")))</f>
        <v>none</v>
      </c>
      <c r="G134" s="1" t="n">
        <f aca="false">IF(F134="gold",Rates!$B$2,IF(F134="silver",Rates!$B$3,IF(F134="bronze",Rates!$B$4,0)))</f>
        <v>0</v>
      </c>
      <c r="H134" s="1" t="n">
        <f aca="false">ROUND(D134*G134,2)</f>
        <v>0</v>
      </c>
      <c r="I134" s="1" t="n">
        <f aca="false">MIN(H134,Rates!$B$6)</f>
        <v>0</v>
      </c>
    </row>
    <row r="135" customFormat="false" ht="15" hidden="false" customHeight="false" outlineLevel="0" collapsed="false">
      <c r="A135" s="1" t="s">
        <v>146</v>
      </c>
      <c r="B135" s="1" t="s">
        <v>12</v>
      </c>
      <c r="C135" s="1" t="n">
        <v>400000</v>
      </c>
      <c r="D135" s="1" t="n">
        <v>348724</v>
      </c>
      <c r="E135" s="1" t="n">
        <f aca="false">D135/C135</f>
        <v>0.87181</v>
      </c>
      <c r="F135" s="1" t="str">
        <f aca="false">IF(E135&gt;=1.2,"gold",IF(E135&gt;=1,"silver",IF(E135&gt;=0.7,"bronze","none")))</f>
        <v>bronze</v>
      </c>
      <c r="G135" s="1" t="n">
        <f aca="false">IF(F135="gold",Rates!$B$2,IF(F135="silver",Rates!$B$3,IF(F135="bronze",Rates!$B$4,0)))</f>
        <v>0.04</v>
      </c>
      <c r="H135" s="1" t="n">
        <f aca="false">ROUND(D135*G135,2)</f>
        <v>13948.96</v>
      </c>
      <c r="I135" s="1" t="n">
        <f aca="false">MIN(H135,Rates!$B$6)</f>
        <v>13948.96</v>
      </c>
    </row>
    <row r="136" customFormat="false" ht="15" hidden="false" customHeight="false" outlineLevel="0" collapsed="false">
      <c r="A136" s="1" t="s">
        <v>147</v>
      </c>
      <c r="B136" s="1" t="s">
        <v>10</v>
      </c>
      <c r="C136" s="1" t="n">
        <v>200000</v>
      </c>
      <c r="D136" s="1" t="n">
        <v>333449</v>
      </c>
      <c r="E136" s="1" t="n">
        <f aca="false">D136/C136</f>
        <v>1.667245</v>
      </c>
      <c r="F136" s="1" t="str">
        <f aca="false">IF(E136&gt;=1.2,"gold",IF(E136&gt;=1,"silver",IF(E136&gt;=0.7,"bronze","none")))</f>
        <v>gold</v>
      </c>
      <c r="G136" s="1" t="n">
        <f aca="false">IF(F136="gold",Rates!$B$2,IF(F136="silver",Rates!$B$3,IF(F136="bronze",Rates!$B$4,0)))</f>
        <v>0.1</v>
      </c>
      <c r="H136" s="1" t="n">
        <f aca="false">ROUND(D136*G136,2)</f>
        <v>33344.9</v>
      </c>
      <c r="I136" s="1" t="n">
        <f aca="false">MIN(H136,Rates!$B$6)</f>
        <v>33344.9</v>
      </c>
    </row>
    <row r="137" customFormat="false" ht="15" hidden="false" customHeight="false" outlineLevel="0" collapsed="false">
      <c r="A137" s="1" t="s">
        <v>148</v>
      </c>
      <c r="B137" s="1" t="s">
        <v>10</v>
      </c>
      <c r="C137" s="1" t="n">
        <v>200000</v>
      </c>
      <c r="D137" s="1" t="n">
        <v>515673</v>
      </c>
      <c r="E137" s="1" t="n">
        <f aca="false">D137/C137</f>
        <v>2.578365</v>
      </c>
      <c r="F137" s="1" t="str">
        <f aca="false">IF(E137&gt;=1.2,"gold",IF(E137&gt;=1,"silver",IF(E137&gt;=0.7,"bronze","none")))</f>
        <v>gold</v>
      </c>
      <c r="G137" s="1" t="n">
        <f aca="false">IF(F137="gold",Rates!$B$2,IF(F137="silver",Rates!$B$3,IF(F137="bronze",Rates!$B$4,0)))</f>
        <v>0.1</v>
      </c>
      <c r="H137" s="1" t="n">
        <f aca="false">ROUND(D137*G137,2)</f>
        <v>51567.3</v>
      </c>
      <c r="I137" s="1" t="n">
        <f aca="false">MIN(H137,Rates!$B$6)</f>
        <v>45000</v>
      </c>
    </row>
    <row r="138" customFormat="false" ht="15" hidden="false" customHeight="false" outlineLevel="0" collapsed="false">
      <c r="A138" s="1" t="s">
        <v>149</v>
      </c>
      <c r="B138" s="1" t="s">
        <v>14</v>
      </c>
      <c r="C138" s="1" t="n">
        <v>400000</v>
      </c>
      <c r="D138" s="1" t="n">
        <v>245165</v>
      </c>
      <c r="E138" s="1" t="n">
        <f aca="false">D138/C138</f>
        <v>0.6129125</v>
      </c>
      <c r="F138" s="1" t="str">
        <f aca="false">IF(E138&gt;=1.2,"gold",IF(E138&gt;=1,"silver",IF(E138&gt;=0.7,"bronze","none")))</f>
        <v>none</v>
      </c>
      <c r="G138" s="1" t="n">
        <f aca="false">IF(F138="gold",Rates!$B$2,IF(F138="silver",Rates!$B$3,IF(F138="bronze",Rates!$B$4,0)))</f>
        <v>0</v>
      </c>
      <c r="H138" s="1" t="n">
        <f aca="false">ROUND(D138*G138,2)</f>
        <v>0</v>
      </c>
      <c r="I138" s="1" t="n">
        <f aca="false">MIN(H138,Rates!$B$6)</f>
        <v>0</v>
      </c>
    </row>
    <row r="139" customFormat="false" ht="15" hidden="false" customHeight="false" outlineLevel="0" collapsed="false">
      <c r="A139" s="1" t="s">
        <v>150</v>
      </c>
      <c r="B139" s="1" t="s">
        <v>44</v>
      </c>
      <c r="C139" s="1" t="n">
        <v>200000</v>
      </c>
      <c r="D139" s="1" t="n">
        <v>254813</v>
      </c>
      <c r="E139" s="1" t="n">
        <f aca="false">D139/C139</f>
        <v>1.274065</v>
      </c>
      <c r="F139" s="1" t="str">
        <f aca="false">IF(E139&gt;=1.2,"gold",IF(E139&gt;=1,"silver",IF(E139&gt;=0.7,"bronze","none")))</f>
        <v>gold</v>
      </c>
      <c r="G139" s="1" t="n">
        <f aca="false">IF(F139="gold",Rates!$B$2,IF(F139="silver",Rates!$B$3,IF(F139="bronze",Rates!$B$4,0)))</f>
        <v>0.1</v>
      </c>
      <c r="H139" s="1" t="n">
        <f aca="false">ROUND(D139*G139,2)</f>
        <v>25481.3</v>
      </c>
      <c r="I139" s="1" t="n">
        <f aca="false">MIN(H139,Rates!$B$6)</f>
        <v>25481.3</v>
      </c>
    </row>
    <row r="140" customFormat="false" ht="15" hidden="false" customHeight="false" outlineLevel="0" collapsed="false">
      <c r="A140" s="1" t="s">
        <v>151</v>
      </c>
      <c r="B140" s="1" t="s">
        <v>10</v>
      </c>
      <c r="C140" s="1" t="n">
        <v>300000</v>
      </c>
      <c r="D140" s="1" t="n">
        <v>290559</v>
      </c>
      <c r="E140" s="1" t="n">
        <f aca="false">D140/C140</f>
        <v>0.96853</v>
      </c>
      <c r="F140" s="1" t="str">
        <f aca="false">IF(E140&gt;=1.2,"gold",IF(E140&gt;=1,"silver",IF(E140&gt;=0.7,"bronze","none")))</f>
        <v>bronze</v>
      </c>
      <c r="G140" s="1" t="n">
        <f aca="false">IF(F140="gold",Rates!$B$2,IF(F140="silver",Rates!$B$3,IF(F140="bronze",Rates!$B$4,0)))</f>
        <v>0.04</v>
      </c>
      <c r="H140" s="1" t="n">
        <f aca="false">ROUND(D140*G140,2)</f>
        <v>11622.36</v>
      </c>
      <c r="I140" s="1" t="n">
        <f aca="false">MIN(H140,Rates!$B$6)</f>
        <v>11622.36</v>
      </c>
    </row>
    <row r="141" customFormat="false" ht="15" hidden="false" customHeight="false" outlineLevel="0" collapsed="false">
      <c r="A141" s="1" t="s">
        <v>152</v>
      </c>
      <c r="B141" s="1" t="s">
        <v>12</v>
      </c>
      <c r="C141" s="1" t="n">
        <v>400000</v>
      </c>
      <c r="D141" s="1" t="n">
        <v>104313</v>
      </c>
      <c r="E141" s="1" t="n">
        <f aca="false">D141/C141</f>
        <v>0.2607825</v>
      </c>
      <c r="F141" s="1" t="str">
        <f aca="false">IF(E141&gt;=1.2,"gold",IF(E141&gt;=1,"silver",IF(E141&gt;=0.7,"bronze","none")))</f>
        <v>none</v>
      </c>
      <c r="G141" s="1" t="n">
        <f aca="false">IF(F141="gold",Rates!$B$2,IF(F141="silver",Rates!$B$3,IF(F141="bronze",Rates!$B$4,0)))</f>
        <v>0</v>
      </c>
      <c r="H141" s="1" t="n">
        <f aca="false">ROUND(D141*G141,2)</f>
        <v>0</v>
      </c>
      <c r="I141" s="1" t="n">
        <f aca="false">MIN(H141,Rates!$B$6)</f>
        <v>0</v>
      </c>
    </row>
    <row r="142" customFormat="false" ht="15" hidden="false" customHeight="false" outlineLevel="0" collapsed="false">
      <c r="A142" s="1" t="s">
        <v>153</v>
      </c>
      <c r="B142" s="1" t="s">
        <v>12</v>
      </c>
      <c r="C142" s="1" t="n">
        <v>400000</v>
      </c>
      <c r="D142" s="1" t="n">
        <v>96688</v>
      </c>
      <c r="E142" s="1" t="n">
        <f aca="false">D142/C142</f>
        <v>0.24172</v>
      </c>
      <c r="F142" s="1" t="str">
        <f aca="false">IF(E142&gt;=1.2,"gold",IF(E142&gt;=1,"silver",IF(E142&gt;=0.7,"bronze","none")))</f>
        <v>none</v>
      </c>
      <c r="G142" s="1" t="n">
        <f aca="false">IF(F142="gold",Rates!$B$2,IF(F142="silver",Rates!$B$3,IF(F142="bronze",Rates!$B$4,0)))</f>
        <v>0</v>
      </c>
      <c r="H142" s="1" t="n">
        <f aca="false">ROUND(D142*G142,2)</f>
        <v>0</v>
      </c>
      <c r="I142" s="1" t="n">
        <f aca="false">MIN(H142,Rates!$B$6)</f>
        <v>0</v>
      </c>
    </row>
    <row r="143" customFormat="false" ht="15" hidden="false" customHeight="false" outlineLevel="0" collapsed="false">
      <c r="A143" s="1" t="s">
        <v>154</v>
      </c>
      <c r="B143" s="1" t="s">
        <v>44</v>
      </c>
      <c r="C143" s="1" t="n">
        <v>300000</v>
      </c>
      <c r="D143" s="1" t="n">
        <v>538688</v>
      </c>
      <c r="E143" s="1" t="n">
        <f aca="false">D143/C143</f>
        <v>1.79562666666667</v>
      </c>
      <c r="F143" s="1" t="str">
        <f aca="false">IF(E143&gt;=1.2,"gold",IF(E143&gt;=1,"silver",IF(E143&gt;=0.7,"bronze","none")))</f>
        <v>gold</v>
      </c>
      <c r="G143" s="1" t="n">
        <f aca="false">IF(F143="gold",Rates!$B$2,IF(F143="silver",Rates!$B$3,IF(F143="bronze",Rates!$B$4,0)))</f>
        <v>0.1</v>
      </c>
      <c r="H143" s="1" t="n">
        <f aca="false">ROUND(D143*G143,2)</f>
        <v>53868.8</v>
      </c>
      <c r="I143" s="1" t="n">
        <f aca="false">MIN(H143,Rates!$B$6)</f>
        <v>45000</v>
      </c>
    </row>
    <row r="144" customFormat="false" ht="15" hidden="false" customHeight="false" outlineLevel="0" collapsed="false">
      <c r="A144" s="1" t="s">
        <v>155</v>
      </c>
      <c r="B144" s="1" t="s">
        <v>10</v>
      </c>
      <c r="C144" s="1" t="n">
        <v>400000</v>
      </c>
      <c r="D144" s="1" t="n">
        <v>152483</v>
      </c>
      <c r="E144" s="1" t="n">
        <f aca="false">D144/C144</f>
        <v>0.3812075</v>
      </c>
      <c r="F144" s="1" t="str">
        <f aca="false">IF(E144&gt;=1.2,"gold",IF(E144&gt;=1,"silver",IF(E144&gt;=0.7,"bronze","none")))</f>
        <v>none</v>
      </c>
      <c r="G144" s="1" t="n">
        <f aca="false">IF(F144="gold",Rates!$B$2,IF(F144="silver",Rates!$B$3,IF(F144="bronze",Rates!$B$4,0)))</f>
        <v>0</v>
      </c>
      <c r="H144" s="1" t="n">
        <f aca="false">ROUND(D144*G144,2)</f>
        <v>0</v>
      </c>
      <c r="I144" s="1" t="n">
        <f aca="false">MIN(H144,Rates!$B$6)</f>
        <v>0</v>
      </c>
    </row>
    <row r="145" customFormat="false" ht="15" hidden="false" customHeight="false" outlineLevel="0" collapsed="false">
      <c r="A145" s="1" t="s">
        <v>156</v>
      </c>
      <c r="B145" s="1" t="s">
        <v>14</v>
      </c>
      <c r="C145" s="1" t="n">
        <v>400000</v>
      </c>
      <c r="D145" s="1" t="n">
        <v>346902</v>
      </c>
      <c r="E145" s="1" t="n">
        <f aca="false">D145/C145</f>
        <v>0.867255</v>
      </c>
      <c r="F145" s="1" t="str">
        <f aca="false">IF(E145&gt;=1.2,"gold",IF(E145&gt;=1,"silver",IF(E145&gt;=0.7,"bronze","none")))</f>
        <v>bronze</v>
      </c>
      <c r="G145" s="1" t="n">
        <f aca="false">IF(F145="gold",Rates!$B$2,IF(F145="silver",Rates!$B$3,IF(F145="bronze",Rates!$B$4,0)))</f>
        <v>0.04</v>
      </c>
      <c r="H145" s="1" t="n">
        <f aca="false">ROUND(D145*G145,2)</f>
        <v>13876.08</v>
      </c>
      <c r="I145" s="1" t="n">
        <f aca="false">MIN(H145,Rates!$B$6)</f>
        <v>13876.08</v>
      </c>
    </row>
    <row r="146" customFormat="false" ht="15" hidden="false" customHeight="false" outlineLevel="0" collapsed="false">
      <c r="A146" s="1" t="s">
        <v>157</v>
      </c>
      <c r="B146" s="1" t="s">
        <v>12</v>
      </c>
      <c r="C146" s="1" t="n">
        <v>200000</v>
      </c>
      <c r="D146" s="1" t="n">
        <v>65455</v>
      </c>
      <c r="E146" s="1" t="n">
        <f aca="false">D146/C146</f>
        <v>0.327275</v>
      </c>
      <c r="F146" s="1" t="str">
        <f aca="false">IF(E146&gt;=1.2,"gold",IF(E146&gt;=1,"silver",IF(E146&gt;=0.7,"bronze","none")))</f>
        <v>none</v>
      </c>
      <c r="G146" s="1" t="n">
        <f aca="false">IF(F146="gold",Rates!$B$2,IF(F146="silver",Rates!$B$3,IF(F146="bronze",Rates!$B$4,0)))</f>
        <v>0</v>
      </c>
      <c r="H146" s="1" t="n">
        <f aca="false">ROUND(D146*G146,2)</f>
        <v>0</v>
      </c>
      <c r="I146" s="1" t="n">
        <f aca="false">MIN(H146,Rates!$B$6)</f>
        <v>0</v>
      </c>
    </row>
    <row r="147" customFormat="false" ht="15" hidden="false" customHeight="false" outlineLevel="0" collapsed="false">
      <c r="A147" s="1" t="s">
        <v>158</v>
      </c>
      <c r="B147" s="1" t="s">
        <v>12</v>
      </c>
      <c r="C147" s="1" t="n">
        <v>400000</v>
      </c>
      <c r="D147" s="1" t="n">
        <v>507771</v>
      </c>
      <c r="E147" s="1" t="n">
        <f aca="false">D147/C147</f>
        <v>1.2694275</v>
      </c>
      <c r="F147" s="1" t="str">
        <f aca="false">IF(E147&gt;=1.2,"gold",IF(E147&gt;=1,"silver",IF(E147&gt;=0.7,"bronze","none")))</f>
        <v>gold</v>
      </c>
      <c r="G147" s="1" t="n">
        <f aca="false">IF(F147="gold",Rates!$B$2,IF(F147="silver",Rates!$B$3,IF(F147="bronze",Rates!$B$4,0)))</f>
        <v>0.1</v>
      </c>
      <c r="H147" s="1" t="n">
        <f aca="false">ROUND(D147*G147,2)</f>
        <v>50777.1</v>
      </c>
      <c r="I147" s="1" t="n">
        <f aca="false">MIN(H147,Rates!$B$6)</f>
        <v>45000</v>
      </c>
    </row>
    <row r="148" customFormat="false" ht="15" hidden="false" customHeight="false" outlineLevel="0" collapsed="false">
      <c r="A148" s="1" t="s">
        <v>159</v>
      </c>
      <c r="B148" s="1" t="s">
        <v>44</v>
      </c>
      <c r="C148" s="1" t="n">
        <v>400000</v>
      </c>
      <c r="D148" s="1" t="n">
        <v>121372</v>
      </c>
      <c r="E148" s="1" t="n">
        <f aca="false">D148/C148</f>
        <v>0.30343</v>
      </c>
      <c r="F148" s="1" t="str">
        <f aca="false">IF(E148&gt;=1.2,"gold",IF(E148&gt;=1,"silver",IF(E148&gt;=0.7,"bronze","none")))</f>
        <v>none</v>
      </c>
      <c r="G148" s="1" t="n">
        <f aca="false">IF(F148="gold",Rates!$B$2,IF(F148="silver",Rates!$B$3,IF(F148="bronze",Rates!$B$4,0)))</f>
        <v>0</v>
      </c>
      <c r="H148" s="1" t="n">
        <f aca="false">ROUND(D148*G148,2)</f>
        <v>0</v>
      </c>
      <c r="I148" s="1" t="n">
        <f aca="false">MIN(H148,Rates!$B$6)</f>
        <v>0</v>
      </c>
    </row>
    <row r="149" customFormat="false" ht="15" hidden="false" customHeight="false" outlineLevel="0" collapsed="false">
      <c r="A149" s="1" t="s">
        <v>160</v>
      </c>
      <c r="B149" s="1" t="s">
        <v>44</v>
      </c>
      <c r="C149" s="1" t="n">
        <v>300000</v>
      </c>
      <c r="D149" s="1" t="n">
        <v>69834</v>
      </c>
      <c r="E149" s="1" t="n">
        <f aca="false">D149/C149</f>
        <v>0.23278</v>
      </c>
      <c r="F149" s="1" t="str">
        <f aca="false">IF(E149&gt;=1.2,"gold",IF(E149&gt;=1,"silver",IF(E149&gt;=0.7,"bronze","none")))</f>
        <v>none</v>
      </c>
      <c r="G149" s="1" t="n">
        <f aca="false">IF(F149="gold",Rates!$B$2,IF(F149="silver",Rates!$B$3,IF(F149="bronze",Rates!$B$4,0)))</f>
        <v>0</v>
      </c>
      <c r="H149" s="1" t="n">
        <f aca="false">ROUND(D149*G149,2)</f>
        <v>0</v>
      </c>
      <c r="I149" s="1" t="n">
        <f aca="false">MIN(H149,Rates!$B$6)</f>
        <v>0</v>
      </c>
    </row>
    <row r="150" customFormat="false" ht="15" hidden="false" customHeight="false" outlineLevel="0" collapsed="false">
      <c r="A150" s="1" t="s">
        <v>161</v>
      </c>
      <c r="B150" s="1" t="s">
        <v>10</v>
      </c>
      <c r="C150" s="1" t="n">
        <v>200000</v>
      </c>
      <c r="D150" s="1" t="n">
        <v>299717</v>
      </c>
      <c r="E150" s="1" t="n">
        <f aca="false">D150/C150</f>
        <v>1.498585</v>
      </c>
      <c r="F150" s="1" t="str">
        <f aca="false">IF(E150&gt;=1.2,"gold",IF(E150&gt;=1,"silver",IF(E150&gt;=0.7,"bronze","none")))</f>
        <v>gold</v>
      </c>
      <c r="G150" s="1" t="n">
        <f aca="false">IF(F150="gold",Rates!$B$2,IF(F150="silver",Rates!$B$3,IF(F150="bronze",Rates!$B$4,0)))</f>
        <v>0.1</v>
      </c>
      <c r="H150" s="1" t="n">
        <f aca="false">ROUND(D150*G150,2)</f>
        <v>29971.7</v>
      </c>
      <c r="I150" s="1" t="n">
        <f aca="false">MIN(H150,Rates!$B$6)</f>
        <v>29971.7</v>
      </c>
    </row>
    <row r="151" customFormat="false" ht="15" hidden="false" customHeight="false" outlineLevel="0" collapsed="false">
      <c r="A151" s="1" t="s">
        <v>162</v>
      </c>
      <c r="B151" s="1" t="s">
        <v>14</v>
      </c>
      <c r="C151" s="1" t="n">
        <v>300000</v>
      </c>
      <c r="D151" s="1" t="n">
        <v>145190</v>
      </c>
      <c r="E151" s="1" t="n">
        <f aca="false">D151/C151</f>
        <v>0.483966666666667</v>
      </c>
      <c r="F151" s="1" t="str">
        <f aca="false">IF(E151&gt;=1.2,"gold",IF(E151&gt;=1,"silver",IF(E151&gt;=0.7,"bronze","none")))</f>
        <v>none</v>
      </c>
      <c r="G151" s="1" t="n">
        <f aca="false">IF(F151="gold",Rates!$B$2,IF(F151="silver",Rates!$B$3,IF(F151="bronze",Rates!$B$4,0)))</f>
        <v>0</v>
      </c>
      <c r="H151" s="1" t="n">
        <f aca="false">ROUND(D151*G151,2)</f>
        <v>0</v>
      </c>
      <c r="I151" s="1" t="n">
        <f aca="false">MIN(H151,Rates!$B$6)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D1" s="1" t="s">
        <v>1</v>
      </c>
      <c r="E1" s="1" t="s">
        <v>163</v>
      </c>
    </row>
    <row r="2" customFormat="false" ht="15" hidden="false" customHeight="false" outlineLevel="0" collapsed="false">
      <c r="A2" s="1" t="s">
        <v>164</v>
      </c>
      <c r="B2" s="1" t="n">
        <v>0.1</v>
      </c>
      <c r="D2" s="1" t="s">
        <v>14</v>
      </c>
      <c r="E2" s="1" t="n">
        <f aca="false">SUMIF(Reps!$B$2:$B$151,D2,Reps!$I$2:$I$151)</f>
        <v>750871.46</v>
      </c>
    </row>
    <row r="3" customFormat="false" ht="15" hidden="false" customHeight="false" outlineLevel="0" collapsed="false">
      <c r="A3" s="1" t="s">
        <v>165</v>
      </c>
      <c r="B3" s="1" t="n">
        <v>0.08</v>
      </c>
      <c r="D3" s="1" t="s">
        <v>12</v>
      </c>
      <c r="E3" s="1" t="n">
        <f aca="false">SUMIF(Reps!$B$2:$B$151,D3,Reps!$I$2:$I$151)</f>
        <v>891776.52</v>
      </c>
    </row>
    <row r="4" customFormat="false" ht="15" hidden="false" customHeight="false" outlineLevel="0" collapsed="false">
      <c r="A4" s="1" t="s">
        <v>166</v>
      </c>
      <c r="B4" s="1" t="n">
        <v>0.04</v>
      </c>
      <c r="D4" s="1" t="s">
        <v>44</v>
      </c>
      <c r="E4" s="1" t="n">
        <f aca="false">SUMIF(Reps!$B$2:$B$151,D4,Reps!$I$2:$I$151)</f>
        <v>548647.12</v>
      </c>
    </row>
    <row r="5" customFormat="false" ht="15" hidden="false" customHeight="false" outlineLevel="0" collapsed="false">
      <c r="A5" s="1" t="s">
        <v>167</v>
      </c>
      <c r="B5" s="1" t="n">
        <v>0</v>
      </c>
      <c r="D5" s="1" t="s">
        <v>10</v>
      </c>
      <c r="E5" s="1" t="n">
        <f aca="false">SUMIF(Reps!$B$2:$B$151,D5,Reps!$I$2:$I$151)</f>
        <v>788984.6</v>
      </c>
    </row>
    <row r="6" customFormat="false" ht="15" hidden="false" customHeight="false" outlineLevel="0" collapsed="false">
      <c r="A6" s="1" t="s">
        <v>168</v>
      </c>
      <c r="B6" s="1" t="n">
        <v>45000</v>
      </c>
    </row>
    <row r="7" customFormat="false" ht="15" hidden="false" customHeight="false" outlineLevel="0" collapsed="false">
      <c r="D7" s="1" t="s">
        <v>169</v>
      </c>
      <c r="E7" s="1" t="n">
        <f aca="false">SUM(E2:E5)</f>
        <v>2980279.7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2026-10-23T18:21:29Z</dcterms:created>
  <dc:creator>openpyxl</dc:creator>
  <dc:description/>
  <dc:language>en-US</dc:language>
  <cp:lastModifiedBy/>
  <dcterms:modified xsi:type="dcterms:W3CDTF">2026-10-23T18:21:29Z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