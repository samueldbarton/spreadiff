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Transactions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<sst xmlns="http://schemas.openxmlformats.org/spreadsheetml/2006/main" count="1229" uniqueCount="29">
  <si>
    <t xml:space="preserve">id</t>
  </si>
  <si>
    <t xml:space="preserve">month</t>
  </si>
  <si>
    <t xml:space="preserve">category</t>
  </si>
  <si>
    <t xml:space="preserve">amount</t>
  </si>
  <si>
    <t xml:space="preserve">approved</t>
  </si>
  <si>
    <t xml:space="preserve">Office</t>
  </si>
  <si>
    <t xml:space="preserve">yes</t>
  </si>
  <si>
    <t xml:space="preserve">Marketing</t>
  </si>
  <si>
    <t xml:space="preserve">Travel</t>
  </si>
  <si>
    <t xml:space="preserve">no</t>
  </si>
  <si>
    <t xml:space="preserve">Legal</t>
  </si>
  <si>
    <t xml:space="preserve">Payroll</t>
  </si>
  <si>
    <t xml:space="preserve">Software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</si>
  <si>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</si>
  <si>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</si>
  <si>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</si>
  <si>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</si>
  <si>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</si>
  <si>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</si>
  <si>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</si>
  <si>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</si>
  <si>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</si>
  <si>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</si>
  <si>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</si>
  <si>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</si>
  <si>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Total</t>
  </si>
  <si>
    <t xml:space="preserve">Budget</t>
  </si>
  <si>
    <t xml:space="preserve">Variance</t>
  </si>
  <si>
    <t xml:space="preserve">Status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</si>
</sst>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5" hidden="false" customHeight="false" outlineLevel="0" collapsed="false">
      <c r="A2" s="0" t="n">
        <v>1000</v>
      </c>
      <c r="B2" s="0" t="n">
        <v>4</v>
      </c>
      <c r="C2" s="0" t="s">
        <v>5</v>
      </c>
      <c r="D2" s="0" t="n">
        <v>2730.26</v>
      </c>
      <c r="E2" s="0" t="s">
        <v>6</v>
      </c>
    </row>
    <row r="3" customFormat="false" ht="15" hidden="false" customHeight="false" outlineLevel="0" collapsed="false">
      <c r="A3" s="0" t="n">
        <v>1001</v>
      </c>
      <c r="B3" s="0" t="n">
        <v>10</v>
      </c>
      <c r="C3" s="0" t="s">
        <v>7</v>
      </c>
      <c r="D3" s="0" t="n">
        <v>3136.09</v>
      </c>
      <c r="E3" s="0" t="s">
        <v>6</v>
      </c>
    </row>
    <row r="4" customFormat="false" ht="15" hidden="false" customHeight="false" outlineLevel="0" collapsed="false">
      <c r="A4" s="0" t="n">
        <v>1002</v>
      </c>
      <c r="B4" s="0" t="n">
        <v>10</v>
      </c>
      <c r="C4" s="0" t="s">
        <v>8</v>
      </c>
      <c r="D4" s="0" t="n">
        <v>4545.92</v>
      </c>
      <c r="E4" s="0" t="s">
        <v>9</v>
      </c>
    </row>
    <row r="5" customFormat="false" ht="15" hidden="false" customHeight="false" outlineLevel="0" collapsed="false">
      <c r="A5" s="0" t="n">
        <v>1003</v>
      </c>
      <c r="B5" s="0" t="n">
        <v>5</v>
      </c>
      <c r="C5" s="0" t="s">
        <v>5</v>
      </c>
      <c r="D5" s="0" t="n">
        <v>1186.97</v>
      </c>
      <c r="E5" s="0" t="s">
        <v>9</v>
      </c>
    </row>
    <row r="6" customFormat="false" ht="15" hidden="false" customHeight="false" outlineLevel="0" collapsed="false">
      <c r="A6" s="0" t="n">
        <v>1004</v>
      </c>
      <c r="B6" s="0" t="n">
        <v>9</v>
      </c>
      <c r="C6" s="0" t="s">
        <v>5</v>
      </c>
      <c r="D6" s="0" t="n">
        <v>2392.24</v>
      </c>
      <c r="E6" s="0" t="s">
        <v>6</v>
      </c>
    </row>
    <row r="7" customFormat="false" ht="15" hidden="false" customHeight="false" outlineLevel="0" collapsed="false">
      <c r="A7" s="0" t="n">
        <v>1005</v>
      </c>
      <c r="B7" s="0" t="n">
        <v>4</v>
      </c>
      <c r="C7" s="0" t="s">
        <v>10</v>
      </c>
      <c r="D7" s="0" t="n">
        <v>775.08</v>
      </c>
      <c r="E7" s="0" t="s">
        <v>9</v>
      </c>
    </row>
    <row r="8" customFormat="false" ht="15" hidden="false" customHeight="false" outlineLevel="0" collapsed="false">
      <c r="A8" s="0" t="n">
        <v>1006</v>
      </c>
      <c r="B8" s="0" t="n">
        <v>12</v>
      </c>
      <c r="C8" s="0" t="s">
        <v>8</v>
      </c>
      <c r="D8" s="0" t="n">
        <v>3363.63</v>
      </c>
      <c r="E8" s="0" t="s">
        <v>6</v>
      </c>
    </row>
    <row r="9" customFormat="false" ht="15" hidden="false" customHeight="false" outlineLevel="0" collapsed="false">
      <c r="A9" s="0" t="n">
        <v>1007</v>
      </c>
      <c r="B9" s="0" t="n">
        <v>3</v>
      </c>
      <c r="C9" s="0" t="s">
        <v>5</v>
      </c>
      <c r="D9" s="0" t="n">
        <v>233.09</v>
      </c>
      <c r="E9" s="0" t="s">
        <v>6</v>
      </c>
    </row>
    <row r="10" customFormat="false" ht="15" hidden="false" customHeight="false" outlineLevel="0" collapsed="false">
      <c r="A10" s="0" t="n">
        <v>1008</v>
      </c>
      <c r="B10" s="0" t="n">
        <v>5</v>
      </c>
      <c r="C10" s="0" t="s">
        <v>7</v>
      </c>
      <c r="D10" s="0" t="n">
        <v>2981.85</v>
      </c>
      <c r="E10" s="0" t="s">
        <v>9</v>
      </c>
    </row>
    <row r="11" customFormat="false" ht="15" hidden="false" customHeight="false" outlineLevel="0" collapsed="false">
      <c r="A11" s="0" t="n">
        <v>1009</v>
      </c>
      <c r="B11" s="0" t="n">
        <v>12</v>
      </c>
      <c r="C11" s="0" t="s">
        <v>7</v>
      </c>
      <c r="D11" s="0" t="n">
        <v>1986.92</v>
      </c>
      <c r="E11" s="0" t="s">
        <v>9</v>
      </c>
    </row>
    <row r="12" customFormat="false" ht="15" hidden="false" customHeight="false" outlineLevel="0" collapsed="false">
      <c r="A12" s="0" t="n">
        <v>1010</v>
      </c>
      <c r="B12" s="0" t="n">
        <v>3</v>
      </c>
      <c r="C12" s="0" t="s">
        <v>11</v>
      </c>
      <c r="D12" s="0" t="n">
        <v>505.32</v>
      </c>
      <c r="E12" s="0" t="s">
        <v>6</v>
      </c>
    </row>
    <row r="13" customFormat="false" ht="15" hidden="false" customHeight="false" outlineLevel="0" collapsed="false">
      <c r="A13" s="0" t="n">
        <v>1011</v>
      </c>
      <c r="B13" s="0" t="n">
        <v>8</v>
      </c>
      <c r="C13" s="0" t="s">
        <v>12</v>
      </c>
      <c r="D13" s="0" t="n">
        <v>1304.75</v>
      </c>
      <c r="E13" s="0" t="s">
        <v>9</v>
      </c>
    </row>
    <row r="14" customFormat="false" ht="15" hidden="false" customHeight="false" outlineLevel="0" collapsed="false">
      <c r="A14" s="0" t="n">
        <v>1012</v>
      </c>
      <c r="B14" s="0" t="n">
        <v>11</v>
      </c>
      <c r="C14" s="0" t="s">
        <v>11</v>
      </c>
      <c r="D14" s="0" t="n">
        <v>2117.32</v>
      </c>
      <c r="E14" s="0" t="s">
        <v>9</v>
      </c>
    </row>
    <row r="15" customFormat="false" ht="15" hidden="false" customHeight="false" outlineLevel="0" collapsed="false">
      <c r="A15" s="0" t="n">
        <v>1013</v>
      </c>
      <c r="B15" s="0" t="n">
        <v>10</v>
      </c>
      <c r="C15" s="0" t="s">
        <v>11</v>
      </c>
      <c r="D15" s="0" t="n">
        <v>2679.83</v>
      </c>
      <c r="E15" s="0" t="s">
        <v>9</v>
      </c>
    </row>
    <row r="16" customFormat="false" ht="15" hidden="false" customHeight="false" outlineLevel="0" collapsed="false">
      <c r="A16" s="0" t="n">
        <v>1014</v>
      </c>
      <c r="B16" s="0" t="n">
        <v>10</v>
      </c>
      <c r="C16" s="0" t="s">
        <v>12</v>
      </c>
      <c r="D16" s="0" t="n">
        <v>4522.92</v>
      </c>
      <c r="E16" s="0" t="s">
        <v>6</v>
      </c>
    </row>
    <row r="17" customFormat="false" ht="15" hidden="false" customHeight="false" outlineLevel="0" collapsed="false">
      <c r="A17" s="0" t="n">
        <v>1015</v>
      </c>
      <c r="B17" s="0" t="n">
        <v>5</v>
      </c>
      <c r="C17" s="0" t="s">
        <v>5</v>
      </c>
      <c r="D17" s="0" t="n">
        <v>3362.94</v>
      </c>
      <c r="E17" s="0" t="s">
        <v>6</v>
      </c>
    </row>
    <row r="18" customFormat="false" ht="15" hidden="false" customHeight="false" outlineLevel="0" collapsed="false">
      <c r="A18" s="0" t="n">
        <v>1016</v>
      </c>
      <c r="B18" s="0" t="n">
        <v>12</v>
      </c>
      <c r="C18" s="0" t="s">
        <v>11</v>
      </c>
      <c r="D18" s="0" t="n">
        <v>4823.87</v>
      </c>
      <c r="E18" s="0" t="s">
        <v>6</v>
      </c>
    </row>
    <row r="19" customFormat="false" ht="15" hidden="false" customHeight="false" outlineLevel="0" collapsed="false">
      <c r="A19" s="0" t="n">
        <v>1017</v>
      </c>
      <c r="B19" s="0" t="n">
        <v>12</v>
      </c>
      <c r="C19" s="0" t="s">
        <v>10</v>
      </c>
      <c r="D19" s="0" t="n">
        <v>1071.4</v>
      </c>
      <c r="E19" s="0" t="s">
        <v>6</v>
      </c>
    </row>
    <row r="20" customFormat="false" ht="15" hidden="false" customHeight="false" outlineLevel="0" collapsed="false">
      <c r="A20" s="0" t="n">
        <v>1018</v>
      </c>
      <c r="B20" s="0" t="n">
        <v>5</v>
      </c>
      <c r="C20" s="0" t="s">
        <v>8</v>
      </c>
      <c r="D20" s="0" t="n">
        <v>336.03</v>
      </c>
      <c r="E20" s="0" t="s">
        <v>9</v>
      </c>
    </row>
    <row r="21" customFormat="false" ht="15" hidden="false" customHeight="false" outlineLevel="0" collapsed="false">
      <c r="A21" s="0" t="n">
        <v>1019</v>
      </c>
      <c r="B21" s="0" t="n">
        <v>2</v>
      </c>
      <c r="C21" s="0" t="s">
        <v>11</v>
      </c>
      <c r="D21" s="0" t="n">
        <v>4006.96</v>
      </c>
      <c r="E21" s="0" t="s">
        <v>9</v>
      </c>
    </row>
    <row r="22" customFormat="false" ht="15" hidden="false" customHeight="false" outlineLevel="0" collapsed="false">
      <c r="A22" s="0" t="n">
        <v>1020</v>
      </c>
      <c r="B22" s="0" t="n">
        <v>3</v>
      </c>
      <c r="C22" s="0" t="s">
        <v>8</v>
      </c>
      <c r="D22" s="0" t="n">
        <v>1483.58</v>
      </c>
      <c r="E22" s="0" t="s">
        <v>9</v>
      </c>
    </row>
    <row r="23" customFormat="false" ht="15" hidden="false" customHeight="false" outlineLevel="0" collapsed="false">
      <c r="A23" s="0" t="n">
        <v>1021</v>
      </c>
      <c r="B23" s="0" t="n">
        <v>2</v>
      </c>
      <c r="C23" s="0" t="s">
        <v>8</v>
      </c>
      <c r="D23" s="0" t="n">
        <v>3032.84</v>
      </c>
      <c r="E23" s="0" t="s">
        <v>6</v>
      </c>
    </row>
    <row r="24" customFormat="false" ht="15" hidden="false" customHeight="false" outlineLevel="0" collapsed="false">
      <c r="A24" s="0" t="n">
        <v>1022</v>
      </c>
      <c r="B24" s="0" t="n">
        <v>7</v>
      </c>
      <c r="C24" s="0" t="s">
        <v>10</v>
      </c>
      <c r="D24" s="0" t="n">
        <v>2940.15</v>
      </c>
      <c r="E24" s="0" t="s">
        <v>6</v>
      </c>
    </row>
    <row r="25" customFormat="false" ht="15" hidden="false" customHeight="false" outlineLevel="0" collapsed="false">
      <c r="A25" s="0" t="n">
        <v>1023</v>
      </c>
      <c r="B25" s="0" t="n">
        <v>9</v>
      </c>
      <c r="C25" s="0" t="s">
        <v>12</v>
      </c>
      <c r="D25" s="0" t="n">
        <v>4992.57</v>
      </c>
      <c r="E25" s="0" t="s">
        <v>6</v>
      </c>
    </row>
    <row r="26" customFormat="false" ht="15" hidden="false" customHeight="false" outlineLevel="0" collapsed="false">
      <c r="A26" s="0" t="n">
        <v>1024</v>
      </c>
      <c r="B26" s="0" t="n">
        <v>1</v>
      </c>
      <c r="C26" s="0" t="s">
        <v>8</v>
      </c>
      <c r="D26" s="0" t="n">
        <v>558.43</v>
      </c>
      <c r="E26" s="0" t="s">
        <v>6</v>
      </c>
    </row>
    <row r="27" customFormat="false" ht="15" hidden="false" customHeight="false" outlineLevel="0" collapsed="false">
      <c r="A27" s="0" t="n">
        <v>1025</v>
      </c>
      <c r="B27" s="0" t="n">
        <v>4</v>
      </c>
      <c r="C27" s="0" t="s">
        <v>7</v>
      </c>
      <c r="D27" s="0" t="n">
        <v>1472.23</v>
      </c>
      <c r="E27" s="0" t="s">
        <v>6</v>
      </c>
    </row>
    <row r="28" customFormat="false" ht="15" hidden="false" customHeight="false" outlineLevel="0" collapsed="false">
      <c r="A28" s="0" t="n">
        <v>1026</v>
      </c>
      <c r="B28" s="0" t="n">
        <v>3</v>
      </c>
      <c r="C28" s="0" t="s">
        <v>10</v>
      </c>
      <c r="D28" s="0" t="n">
        <v>231.33</v>
      </c>
      <c r="E28" s="0" t="s">
        <v>6</v>
      </c>
    </row>
    <row r="29" customFormat="false" ht="15" hidden="false" customHeight="false" outlineLevel="0" collapsed="false">
      <c r="A29" s="0" t="n">
        <v>1027</v>
      </c>
      <c r="B29" s="0" t="n">
        <v>6</v>
      </c>
      <c r="C29" s="0" t="s">
        <v>11</v>
      </c>
      <c r="D29" s="0" t="n">
        <v>4794.12</v>
      </c>
      <c r="E29" s="0" t="s">
        <v>9</v>
      </c>
    </row>
    <row r="30" customFormat="false" ht="15" hidden="false" customHeight="false" outlineLevel="0" collapsed="false">
      <c r="A30" s="0" t="n">
        <v>1028</v>
      </c>
      <c r="B30" s="0" t="n">
        <v>7</v>
      </c>
      <c r="C30" s="0" t="s">
        <v>7</v>
      </c>
      <c r="D30" s="0" t="n">
        <v>4352.06</v>
      </c>
      <c r="E30" s="0" t="s">
        <v>9</v>
      </c>
    </row>
    <row r="31" customFormat="false" ht="15" hidden="false" customHeight="false" outlineLevel="0" collapsed="false">
      <c r="A31" s="0" t="n">
        <v>1029</v>
      </c>
      <c r="B31" s="0" t="n">
        <v>11</v>
      </c>
      <c r="C31" s="0" t="s">
        <v>5</v>
      </c>
      <c r="D31" s="0" t="n">
        <v>3411.23</v>
      </c>
      <c r="E31" s="0" t="s">
        <v>6</v>
      </c>
    </row>
    <row r="32" customFormat="false" ht="15" hidden="false" customHeight="false" outlineLevel="0" collapsed="false">
      <c r="A32" s="0" t="n">
        <v>1030</v>
      </c>
      <c r="B32" s="0" t="n">
        <v>10</v>
      </c>
      <c r="C32" s="0" t="s">
        <v>5</v>
      </c>
      <c r="D32" s="0" t="n">
        <v>1371.08</v>
      </c>
      <c r="E32" s="0" t="s">
        <v>6</v>
      </c>
    </row>
    <row r="33" customFormat="false" ht="15" hidden="false" customHeight="false" outlineLevel="0" collapsed="false">
      <c r="A33" s="0" t="n">
        <v>1031</v>
      </c>
      <c r="B33" s="0" t="n">
        <v>5</v>
      </c>
      <c r="C33" s="0" t="s">
        <v>7</v>
      </c>
      <c r="D33" s="0" t="n">
        <v>4889.43</v>
      </c>
      <c r="E33" s="0" t="s">
        <v>6</v>
      </c>
    </row>
    <row r="34" customFormat="false" ht="15" hidden="false" customHeight="false" outlineLevel="0" collapsed="false">
      <c r="A34" s="0" t="n">
        <v>1032</v>
      </c>
      <c r="B34" s="0" t="n">
        <v>9</v>
      </c>
      <c r="C34" s="0" t="s">
        <v>11</v>
      </c>
      <c r="D34" s="0" t="n">
        <v>77.06</v>
      </c>
      <c r="E34" s="0" t="s">
        <v>9</v>
      </c>
    </row>
    <row r="35" customFormat="false" ht="15" hidden="false" customHeight="false" outlineLevel="0" collapsed="false">
      <c r="A35" s="0" t="n">
        <v>1033</v>
      </c>
      <c r="B35" s="0" t="n">
        <v>10</v>
      </c>
      <c r="C35" s="0" t="s">
        <v>11</v>
      </c>
      <c r="D35" s="0" t="n">
        <v>119.86</v>
      </c>
      <c r="E35" s="0" t="s">
        <v>6</v>
      </c>
    </row>
    <row r="36" customFormat="false" ht="15" hidden="false" customHeight="false" outlineLevel="0" collapsed="false">
      <c r="A36" s="0" t="n">
        <v>1034</v>
      </c>
      <c r="B36" s="0" t="n">
        <v>1</v>
      </c>
      <c r="C36" s="0" t="s">
        <v>10</v>
      </c>
      <c r="D36" s="0" t="n">
        <v>3144.16</v>
      </c>
      <c r="E36" s="0" t="s">
        <v>9</v>
      </c>
    </row>
    <row r="37" customFormat="false" ht="15" hidden="false" customHeight="false" outlineLevel="0" collapsed="false">
      <c r="A37" s="0" t="n">
        <v>1035</v>
      </c>
      <c r="B37" s="0" t="n">
        <v>6</v>
      </c>
      <c r="C37" s="0" t="s">
        <v>10</v>
      </c>
      <c r="D37" s="0" t="n">
        <v>4588.35</v>
      </c>
      <c r="E37" s="0" t="s">
        <v>6</v>
      </c>
    </row>
    <row r="38" customFormat="false" ht="15" hidden="false" customHeight="false" outlineLevel="0" collapsed="false">
      <c r="A38" s="0" t="n">
        <v>1036</v>
      </c>
      <c r="B38" s="0" t="n">
        <v>12</v>
      </c>
      <c r="C38" s="0" t="s">
        <v>7</v>
      </c>
      <c r="D38" s="0" t="n">
        <v>130.47</v>
      </c>
      <c r="E38" s="0" t="s">
        <v>6</v>
      </c>
    </row>
    <row r="39" customFormat="false" ht="15" hidden="false" customHeight="false" outlineLevel="0" collapsed="false">
      <c r="A39" s="0" t="n">
        <v>1037</v>
      </c>
      <c r="B39" s="0" t="n">
        <v>11</v>
      </c>
      <c r="C39" s="0" t="s">
        <v>8</v>
      </c>
      <c r="D39" s="0" t="n">
        <v>4817.26</v>
      </c>
      <c r="E39" s="0" t="s">
        <v>6</v>
      </c>
    </row>
    <row r="40" customFormat="false" ht="15" hidden="false" customHeight="false" outlineLevel="0" collapsed="false">
      <c r="A40" s="0" t="n">
        <v>1038</v>
      </c>
      <c r="B40" s="0" t="n">
        <v>11</v>
      </c>
      <c r="C40" s="0" t="s">
        <v>7</v>
      </c>
      <c r="D40" s="0" t="n">
        <v>1507.21</v>
      </c>
      <c r="E40" s="0" t="s">
        <v>6</v>
      </c>
    </row>
    <row r="41" customFormat="false" ht="15" hidden="false" customHeight="false" outlineLevel="0" collapsed="false">
      <c r="A41" s="0" t="n">
        <v>1039</v>
      </c>
      <c r="B41" s="0" t="n">
        <v>3</v>
      </c>
      <c r="C41" s="0" t="s">
        <v>11</v>
      </c>
      <c r="D41" s="0" t="n">
        <v>942.53</v>
      </c>
      <c r="E41" s="0" t="s">
        <v>6</v>
      </c>
    </row>
    <row r="42" customFormat="false" ht="15" hidden="false" customHeight="false" outlineLevel="0" collapsed="false">
      <c r="A42" s="0" t="n">
        <v>1040</v>
      </c>
      <c r="B42" s="0" t="n">
        <v>10</v>
      </c>
      <c r="C42" s="0" t="s">
        <v>11</v>
      </c>
      <c r="D42" s="0" t="n">
        <v>1516.01</v>
      </c>
      <c r="E42" s="0" t="s">
        <v>9</v>
      </c>
    </row>
    <row r="43" customFormat="false" ht="15" hidden="false" customHeight="false" outlineLevel="0" collapsed="false">
      <c r="A43" s="0" t="n">
        <v>1041</v>
      </c>
      <c r="B43" s="0" t="n">
        <v>2</v>
      </c>
      <c r="C43" s="0" t="s">
        <v>8</v>
      </c>
      <c r="D43" s="0" t="n">
        <v>4857.45</v>
      </c>
      <c r="E43" s="0" t="s">
        <v>6</v>
      </c>
    </row>
    <row r="44" customFormat="false" ht="15" hidden="false" customHeight="false" outlineLevel="0" collapsed="false">
      <c r="A44" s="0" t="n">
        <v>1042</v>
      </c>
      <c r="B44" s="0" t="n">
        <v>5</v>
      </c>
      <c r="C44" s="0" t="s">
        <v>5</v>
      </c>
      <c r="D44" s="0" t="n">
        <v>1128.24</v>
      </c>
      <c r="E44" s="0" t="s">
        <v>6</v>
      </c>
    </row>
    <row r="45" customFormat="false" ht="15" hidden="false" customHeight="false" outlineLevel="0" collapsed="false">
      <c r="A45" s="0" t="n">
        <v>1043</v>
      </c>
      <c r="B45" s="0" t="n">
        <v>4</v>
      </c>
      <c r="C45" s="0" t="s">
        <v>11</v>
      </c>
      <c r="D45" s="0" t="n">
        <v>953.22</v>
      </c>
      <c r="E45" s="0" t="s">
        <v>9</v>
      </c>
    </row>
    <row r="46" customFormat="false" ht="15" hidden="false" customHeight="false" outlineLevel="0" collapsed="false">
      <c r="A46" s="0" t="n">
        <v>1044</v>
      </c>
      <c r="B46" s="0" t="n">
        <v>11</v>
      </c>
      <c r="C46" s="0" t="s">
        <v>10</v>
      </c>
      <c r="D46" s="0" t="n">
        <v>503.17</v>
      </c>
      <c r="E46" s="0" t="s">
        <v>6</v>
      </c>
    </row>
    <row r="47" customFormat="false" ht="15" hidden="false" customHeight="false" outlineLevel="0" collapsed="false">
      <c r="A47" s="0" t="n">
        <v>1045</v>
      </c>
      <c r="B47" s="0" t="n">
        <v>6</v>
      </c>
      <c r="C47" s="0" t="s">
        <v>10</v>
      </c>
      <c r="D47" s="0" t="n">
        <v>4171.02</v>
      </c>
      <c r="E47" s="0" t="s">
        <v>9</v>
      </c>
    </row>
    <row r="48" customFormat="false" ht="15" hidden="false" customHeight="false" outlineLevel="0" collapsed="false">
      <c r="A48" s="0" t="n">
        <v>1046</v>
      </c>
      <c r="B48" s="0" t="n">
        <v>3</v>
      </c>
      <c r="C48" s="0" t="s">
        <v>8</v>
      </c>
      <c r="D48" s="0" t="n">
        <v>1696.82</v>
      </c>
      <c r="E48" s="0" t="s">
        <v>6</v>
      </c>
    </row>
    <row r="49" customFormat="false" ht="15" hidden="false" customHeight="false" outlineLevel="0" collapsed="false">
      <c r="A49" s="0" t="n">
        <v>1047</v>
      </c>
      <c r="B49" s="0" t="n">
        <v>10</v>
      </c>
      <c r="C49" s="0" t="s">
        <v>7</v>
      </c>
      <c r="D49" s="0" t="n">
        <v>1367.59</v>
      </c>
      <c r="E49" s="0" t="s">
        <v>6</v>
      </c>
    </row>
    <row r="50" customFormat="false" ht="15" hidden="false" customHeight="false" outlineLevel="0" collapsed="false">
      <c r="A50" s="0" t="n">
        <v>1048</v>
      </c>
      <c r="B50" s="0" t="n">
        <v>1</v>
      </c>
      <c r="C50" s="0" t="s">
        <v>5</v>
      </c>
      <c r="D50" s="0" t="n">
        <v>4788.75</v>
      </c>
      <c r="E50" s="0" t="s">
        <v>6</v>
      </c>
    </row>
    <row r="51" customFormat="false" ht="15" hidden="false" customHeight="false" outlineLevel="0" collapsed="false">
      <c r="A51" s="0" t="n">
        <v>1049</v>
      </c>
      <c r="B51" s="0" t="n">
        <v>10</v>
      </c>
      <c r="C51" s="0" t="s">
        <v>12</v>
      </c>
      <c r="D51" s="0" t="n">
        <v>4321.36</v>
      </c>
      <c r="E51" s="0" t="s">
        <v>6</v>
      </c>
    </row>
    <row r="52" customFormat="false" ht="15" hidden="false" customHeight="false" outlineLevel="0" collapsed="false">
      <c r="A52" s="0" t="n">
        <v>1050</v>
      </c>
      <c r="B52" s="0" t="n">
        <v>11</v>
      </c>
      <c r="C52" s="0" t="s">
        <v>8</v>
      </c>
      <c r="D52" s="0" t="n">
        <v>4035.16</v>
      </c>
      <c r="E52" s="0" t="s">
        <v>6</v>
      </c>
    </row>
    <row r="53" customFormat="false" ht="15" hidden="false" customHeight="false" outlineLevel="0" collapsed="false">
      <c r="A53" s="0" t="n">
        <v>1051</v>
      </c>
      <c r="B53" s="0" t="n">
        <v>10</v>
      </c>
      <c r="C53" s="0" t="s">
        <v>12</v>
      </c>
      <c r="D53" s="0" t="n">
        <v>2117.94</v>
      </c>
      <c r="E53" s="0" t="s">
        <v>6</v>
      </c>
    </row>
    <row r="54" customFormat="false" ht="15" hidden="false" customHeight="false" outlineLevel="0" collapsed="false">
      <c r="A54" s="0" t="n">
        <v>1052</v>
      </c>
      <c r="B54" s="0" t="n">
        <v>8</v>
      </c>
      <c r="C54" s="0" t="s">
        <v>11</v>
      </c>
      <c r="D54" s="0" t="n">
        <v>3178.21</v>
      </c>
      <c r="E54" s="0" t="s">
        <v>6</v>
      </c>
    </row>
    <row r="55" customFormat="false" ht="15" hidden="false" customHeight="false" outlineLevel="0" collapsed="false">
      <c r="A55" s="0" t="n">
        <v>1053</v>
      </c>
      <c r="B55" s="0" t="n">
        <v>7</v>
      </c>
      <c r="C55" s="0" t="s">
        <v>5</v>
      </c>
      <c r="D55" s="0" t="n">
        <v>2059.42</v>
      </c>
      <c r="E55" s="0" t="s">
        <v>9</v>
      </c>
    </row>
    <row r="56" customFormat="false" ht="15" hidden="false" customHeight="false" outlineLevel="0" collapsed="false">
      <c r="A56" s="0" t="n">
        <v>1054</v>
      </c>
      <c r="B56" s="0" t="n">
        <v>3</v>
      </c>
      <c r="C56" s="0" t="s">
        <v>12</v>
      </c>
      <c r="D56" s="0" t="n">
        <v>43.22</v>
      </c>
      <c r="E56" s="0" t="s">
        <v>9</v>
      </c>
    </row>
    <row r="57" customFormat="false" ht="15" hidden="false" customHeight="false" outlineLevel="0" collapsed="false">
      <c r="A57" s="0" t="n">
        <v>1055</v>
      </c>
      <c r="B57" s="0" t="n">
        <v>9</v>
      </c>
      <c r="C57" s="0" t="s">
        <v>10</v>
      </c>
      <c r="D57" s="0" t="n">
        <v>1126.01</v>
      </c>
      <c r="E57" s="0" t="s">
        <v>9</v>
      </c>
    </row>
    <row r="58" customFormat="false" ht="15" hidden="false" customHeight="false" outlineLevel="0" collapsed="false">
      <c r="A58" s="0" t="n">
        <v>1056</v>
      </c>
      <c r="B58" s="0" t="n">
        <v>11</v>
      </c>
      <c r="C58" s="0" t="s">
        <v>10</v>
      </c>
      <c r="D58" s="0" t="n">
        <v>2604.69</v>
      </c>
      <c r="E58" s="0" t="s">
        <v>6</v>
      </c>
    </row>
    <row r="59" customFormat="false" ht="15" hidden="false" customHeight="false" outlineLevel="0" collapsed="false">
      <c r="A59" s="0" t="n">
        <v>1057</v>
      </c>
      <c r="B59" s="0" t="n">
        <v>9</v>
      </c>
      <c r="C59" s="0" t="s">
        <v>11</v>
      </c>
      <c r="D59" s="0" t="n">
        <v>4450.73</v>
      </c>
      <c r="E59" s="0" t="s">
        <v>6</v>
      </c>
    </row>
    <row r="60" customFormat="false" ht="15" hidden="false" customHeight="false" outlineLevel="0" collapsed="false">
      <c r="A60" s="0" t="n">
        <v>1058</v>
      </c>
      <c r="B60" s="0" t="n">
        <v>10</v>
      </c>
      <c r="C60" s="0" t="s">
        <v>11</v>
      </c>
      <c r="D60" s="0" t="n">
        <v>617.58</v>
      </c>
      <c r="E60" s="0" t="s">
        <v>6</v>
      </c>
    </row>
    <row r="61" customFormat="false" ht="15" hidden="false" customHeight="false" outlineLevel="0" collapsed="false">
      <c r="A61" s="0" t="n">
        <v>1059</v>
      </c>
      <c r="B61" s="0" t="n">
        <v>1</v>
      </c>
      <c r="C61" s="0" t="s">
        <v>8</v>
      </c>
      <c r="D61" s="0" t="n">
        <v>4519.97</v>
      </c>
      <c r="E61" s="0" t="s">
        <v>6</v>
      </c>
    </row>
    <row r="62" customFormat="false" ht="15" hidden="false" customHeight="false" outlineLevel="0" collapsed="false">
      <c r="A62" s="0" t="n">
        <v>1060</v>
      </c>
      <c r="B62" s="0" t="n">
        <v>7</v>
      </c>
      <c r="C62" s="0" t="s">
        <v>5</v>
      </c>
      <c r="D62" s="0" t="n">
        <v>265.8</v>
      </c>
      <c r="E62" s="0" t="s">
        <v>9</v>
      </c>
    </row>
    <row r="63" customFormat="false" ht="15" hidden="false" customHeight="false" outlineLevel="0" collapsed="false">
      <c r="A63" s="0" t="n">
        <v>1061</v>
      </c>
      <c r="B63" s="0" t="n">
        <v>12</v>
      </c>
      <c r="C63" s="0" t="s">
        <v>8</v>
      </c>
      <c r="D63" s="0" t="n">
        <v>875.67</v>
      </c>
      <c r="E63" s="0" t="s">
        <v>6</v>
      </c>
    </row>
    <row r="64" customFormat="false" ht="15" hidden="false" customHeight="false" outlineLevel="0" collapsed="false">
      <c r="A64" s="0" t="n">
        <v>1062</v>
      </c>
      <c r="B64" s="0" t="n">
        <v>4</v>
      </c>
      <c r="C64" s="0" t="s">
        <v>10</v>
      </c>
      <c r="D64" s="0" t="n">
        <v>118.83</v>
      </c>
      <c r="E64" s="0" t="s">
        <v>9</v>
      </c>
    </row>
    <row r="65" customFormat="false" ht="15" hidden="false" customHeight="false" outlineLevel="0" collapsed="false">
      <c r="A65" s="0" t="n">
        <v>1063</v>
      </c>
      <c r="B65" s="0" t="n">
        <v>1</v>
      </c>
      <c r="C65" s="0" t="s">
        <v>5</v>
      </c>
      <c r="D65" s="0" t="n">
        <v>585.66</v>
      </c>
      <c r="E65" s="0" t="s">
        <v>6</v>
      </c>
    </row>
    <row r="66" customFormat="false" ht="15" hidden="false" customHeight="false" outlineLevel="0" collapsed="false">
      <c r="A66" s="0" t="n">
        <v>1064</v>
      </c>
      <c r="B66" s="0" t="n">
        <v>5</v>
      </c>
      <c r="C66" s="0" t="s">
        <v>5</v>
      </c>
      <c r="D66" s="0" t="n">
        <v>2396.44</v>
      </c>
      <c r="E66" s="0" t="s">
        <v>6</v>
      </c>
    </row>
    <row r="67" customFormat="false" ht="15" hidden="false" customHeight="false" outlineLevel="0" collapsed="false">
      <c r="A67" s="0" t="n">
        <v>1065</v>
      </c>
      <c r="B67" s="0" t="n">
        <v>6</v>
      </c>
      <c r="C67" s="0" t="s">
        <v>12</v>
      </c>
      <c r="D67" s="0" t="n">
        <v>1002.72</v>
      </c>
      <c r="E67" s="0" t="s">
        <v>6</v>
      </c>
    </row>
    <row r="68" customFormat="false" ht="15" hidden="false" customHeight="false" outlineLevel="0" collapsed="false">
      <c r="A68" s="0" t="n">
        <v>1066</v>
      </c>
      <c r="B68" s="0" t="n">
        <v>3</v>
      </c>
      <c r="C68" s="0" t="s">
        <v>12</v>
      </c>
      <c r="D68" s="0" t="n">
        <v>3962.53</v>
      </c>
      <c r="E68" s="0" t="s">
        <v>6</v>
      </c>
    </row>
    <row r="69" customFormat="false" ht="15" hidden="false" customHeight="false" outlineLevel="0" collapsed="false">
      <c r="A69" s="0" t="n">
        <v>1067</v>
      </c>
      <c r="B69" s="0" t="n">
        <v>1</v>
      </c>
      <c r="C69" s="0" t="s">
        <v>7</v>
      </c>
      <c r="D69" s="0" t="n">
        <v>3150.46</v>
      </c>
      <c r="E69" s="0" t="s">
        <v>9</v>
      </c>
    </row>
    <row r="70" customFormat="false" ht="15" hidden="false" customHeight="false" outlineLevel="0" collapsed="false">
      <c r="A70" s="0" t="n">
        <v>1068</v>
      </c>
      <c r="B70" s="0" t="n">
        <v>1</v>
      </c>
      <c r="C70" s="0" t="s">
        <v>11</v>
      </c>
      <c r="D70" s="0" t="n">
        <v>1256.33</v>
      </c>
      <c r="E70" s="0" t="s">
        <v>9</v>
      </c>
    </row>
    <row r="71" customFormat="false" ht="15" hidden="false" customHeight="false" outlineLevel="0" collapsed="false">
      <c r="A71" s="0" t="n">
        <v>1069</v>
      </c>
      <c r="B71" s="0" t="n">
        <v>1</v>
      </c>
      <c r="C71" s="0" t="s">
        <v>7</v>
      </c>
      <c r="D71" s="0" t="n">
        <v>1629.12</v>
      </c>
      <c r="E71" s="0" t="s">
        <v>6</v>
      </c>
    </row>
    <row r="72" customFormat="false" ht="15" hidden="false" customHeight="false" outlineLevel="0" collapsed="false">
      <c r="A72" s="0" t="n">
        <v>1070</v>
      </c>
      <c r="B72" s="0" t="n">
        <v>1</v>
      </c>
      <c r="C72" s="0" t="s">
        <v>12</v>
      </c>
      <c r="D72" s="0" t="n">
        <v>250</v>
      </c>
      <c r="E72" s="0" t="s">
        <v>6</v>
      </c>
    </row>
    <row r="73" customFormat="false" ht="15" hidden="false" customHeight="false" outlineLevel="0" collapsed="false">
      <c r="A73" s="0" t="n">
        <v>1071</v>
      </c>
      <c r="B73" s="0" t="n">
        <v>2</v>
      </c>
      <c r="C73" s="0" t="s">
        <v>7</v>
      </c>
      <c r="D73" s="0" t="n">
        <v>4873.97</v>
      </c>
      <c r="E73" s="0" t="s">
        <v>6</v>
      </c>
    </row>
    <row r="74" customFormat="false" ht="15" hidden="false" customHeight="false" outlineLevel="0" collapsed="false">
      <c r="A74" s="0" t="n">
        <v>1072</v>
      </c>
      <c r="B74" s="0" t="n">
        <v>9</v>
      </c>
      <c r="C74" s="0" t="s">
        <v>5</v>
      </c>
      <c r="D74" s="0" t="n">
        <v>2460.16</v>
      </c>
      <c r="E74" s="0" t="s">
        <v>6</v>
      </c>
    </row>
    <row r="75" customFormat="false" ht="15" hidden="false" customHeight="false" outlineLevel="0" collapsed="false">
      <c r="A75" s="0" t="n">
        <v>1073</v>
      </c>
      <c r="B75" s="0" t="n">
        <v>6</v>
      </c>
      <c r="C75" s="0" t="s">
        <v>8</v>
      </c>
      <c r="D75" s="0" t="n">
        <v>1769.42</v>
      </c>
      <c r="E75" s="0" t="s">
        <v>9</v>
      </c>
    </row>
    <row r="76" customFormat="false" ht="15" hidden="false" customHeight="false" outlineLevel="0" collapsed="false">
      <c r="A76" s="0" t="n">
        <v>1074</v>
      </c>
      <c r="B76" s="0" t="n">
        <v>10</v>
      </c>
      <c r="C76" s="0" t="s">
        <v>11</v>
      </c>
      <c r="D76" s="0" t="n">
        <v>1816.96</v>
      </c>
      <c r="E76" s="0" t="s">
        <v>6</v>
      </c>
    </row>
    <row r="77" customFormat="false" ht="15" hidden="false" customHeight="false" outlineLevel="0" collapsed="false">
      <c r="A77" s="0" t="n">
        <v>1075</v>
      </c>
      <c r="B77" s="0" t="n">
        <v>6</v>
      </c>
      <c r="C77" s="0" t="s">
        <v>7</v>
      </c>
      <c r="D77" s="0" t="n">
        <v>636.3</v>
      </c>
      <c r="E77" s="0" t="s">
        <v>6</v>
      </c>
    </row>
    <row r="78" customFormat="false" ht="15" hidden="false" customHeight="false" outlineLevel="0" collapsed="false">
      <c r="A78" s="0" t="n">
        <v>1076</v>
      </c>
      <c r="B78" s="0" t="n">
        <v>12</v>
      </c>
      <c r="C78" s="0" t="s">
        <v>10</v>
      </c>
      <c r="D78" s="0" t="n">
        <v>1913.59</v>
      </c>
      <c r="E78" s="0" t="s">
        <v>6</v>
      </c>
    </row>
    <row r="79" customFormat="false" ht="15" hidden="false" customHeight="false" outlineLevel="0" collapsed="false">
      <c r="A79" s="0" t="n">
        <v>1077</v>
      </c>
      <c r="B79" s="0" t="n">
        <v>10</v>
      </c>
      <c r="C79" s="0" t="s">
        <v>12</v>
      </c>
      <c r="D79" s="0" t="n">
        <v>233.95</v>
      </c>
      <c r="E79" s="0" t="s">
        <v>9</v>
      </c>
    </row>
    <row r="80" customFormat="false" ht="15" hidden="false" customHeight="false" outlineLevel="0" collapsed="false">
      <c r="A80" s="0" t="n">
        <v>1078</v>
      </c>
      <c r="B80" s="0" t="n">
        <v>10</v>
      </c>
      <c r="C80" s="0" t="s">
        <v>10</v>
      </c>
      <c r="D80" s="0" t="n">
        <v>3917.46</v>
      </c>
      <c r="E80" s="0" t="s">
        <v>9</v>
      </c>
    </row>
    <row r="81" customFormat="false" ht="15" hidden="false" customHeight="false" outlineLevel="0" collapsed="false">
      <c r="A81" s="0" t="n">
        <v>1079</v>
      </c>
      <c r="B81" s="0" t="n">
        <v>11</v>
      </c>
      <c r="C81" s="0" t="s">
        <v>8</v>
      </c>
      <c r="D81" s="0" t="n">
        <v>3122.17</v>
      </c>
      <c r="E81" s="0" t="s">
        <v>9</v>
      </c>
    </row>
    <row r="82" customFormat="false" ht="15" hidden="false" customHeight="false" outlineLevel="0" collapsed="false">
      <c r="A82" s="0" t="n">
        <v>1080</v>
      </c>
      <c r="B82" s="0" t="n">
        <v>1</v>
      </c>
      <c r="C82" s="0" t="s">
        <v>11</v>
      </c>
      <c r="D82" s="0" t="n">
        <v>3144.67</v>
      </c>
      <c r="E82" s="0" t="s">
        <v>6</v>
      </c>
    </row>
    <row r="83" customFormat="false" ht="15" hidden="false" customHeight="false" outlineLevel="0" collapsed="false">
      <c r="A83" s="0" t="n">
        <v>1081</v>
      </c>
      <c r="B83" s="0" t="n">
        <v>7</v>
      </c>
      <c r="C83" s="0" t="s">
        <v>10</v>
      </c>
      <c r="D83" s="0" t="n">
        <v>2103.1</v>
      </c>
      <c r="E83" s="0" t="s">
        <v>6</v>
      </c>
    </row>
    <row r="84" customFormat="false" ht="15" hidden="false" customHeight="false" outlineLevel="0" collapsed="false">
      <c r="A84" s="0" t="n">
        <v>1082</v>
      </c>
      <c r="B84" s="0" t="n">
        <v>4</v>
      </c>
      <c r="C84" s="0" t="s">
        <v>12</v>
      </c>
      <c r="D84" s="0" t="n">
        <v>2688.47</v>
      </c>
      <c r="E84" s="0" t="s">
        <v>6</v>
      </c>
    </row>
    <row r="85" customFormat="false" ht="15" hidden="false" customHeight="false" outlineLevel="0" collapsed="false">
      <c r="A85" s="0" t="n">
        <v>1083</v>
      </c>
      <c r="B85" s="0" t="n">
        <v>7</v>
      </c>
      <c r="C85" s="0" t="s">
        <v>12</v>
      </c>
      <c r="D85" s="0" t="n">
        <v>2140.76</v>
      </c>
      <c r="E85" s="0" t="s">
        <v>6</v>
      </c>
    </row>
    <row r="86" customFormat="false" ht="15" hidden="false" customHeight="false" outlineLevel="0" collapsed="false">
      <c r="A86" s="0" t="n">
        <v>1084</v>
      </c>
      <c r="B86" s="0" t="n">
        <v>6</v>
      </c>
      <c r="C86" s="0" t="s">
        <v>11</v>
      </c>
      <c r="D86" s="0" t="n">
        <v>4844.68</v>
      </c>
      <c r="E86" s="0" t="s">
        <v>6</v>
      </c>
    </row>
    <row r="87" customFormat="false" ht="15" hidden="false" customHeight="false" outlineLevel="0" collapsed="false">
      <c r="A87" s="0" t="n">
        <v>1085</v>
      </c>
      <c r="B87" s="0" t="n">
        <v>2</v>
      </c>
      <c r="C87" s="0" t="s">
        <v>7</v>
      </c>
      <c r="D87" s="0" t="n">
        <v>3458.97</v>
      </c>
      <c r="E87" s="0" t="s">
        <v>9</v>
      </c>
    </row>
    <row r="88" customFormat="false" ht="15" hidden="false" customHeight="false" outlineLevel="0" collapsed="false">
      <c r="A88" s="0" t="n">
        <v>1086</v>
      </c>
      <c r="B88" s="0" t="n">
        <v>11</v>
      </c>
      <c r="C88" s="0" t="s">
        <v>8</v>
      </c>
      <c r="D88" s="0" t="n">
        <v>3674</v>
      </c>
      <c r="E88" s="0" t="s">
        <v>6</v>
      </c>
    </row>
    <row r="89" customFormat="false" ht="15" hidden="false" customHeight="false" outlineLevel="0" collapsed="false">
      <c r="A89" s="0" t="n">
        <v>1087</v>
      </c>
      <c r="B89" s="0" t="n">
        <v>10</v>
      </c>
      <c r="C89" s="0" t="s">
        <v>10</v>
      </c>
      <c r="D89" s="0" t="n">
        <v>44.41</v>
      </c>
      <c r="E89" s="0" t="s">
        <v>6</v>
      </c>
    </row>
    <row r="90" customFormat="false" ht="15" hidden="false" customHeight="false" outlineLevel="0" collapsed="false">
      <c r="A90" s="0" t="n">
        <v>1088</v>
      </c>
      <c r="B90" s="0" t="n">
        <v>4</v>
      </c>
      <c r="C90" s="0" t="s">
        <v>7</v>
      </c>
      <c r="D90" s="0" t="n">
        <v>240.68</v>
      </c>
      <c r="E90" s="0" t="s">
        <v>6</v>
      </c>
    </row>
    <row r="91" customFormat="false" ht="15" hidden="false" customHeight="false" outlineLevel="0" collapsed="false">
      <c r="A91" s="0" t="n">
        <v>1089</v>
      </c>
      <c r="B91" s="0" t="n">
        <v>10</v>
      </c>
      <c r="C91" s="0" t="s">
        <v>8</v>
      </c>
      <c r="D91" s="0" t="n">
        <v>3302.85</v>
      </c>
      <c r="E91" s="0" t="s">
        <v>9</v>
      </c>
    </row>
    <row r="92" customFormat="false" ht="15" hidden="false" customHeight="false" outlineLevel="0" collapsed="false">
      <c r="A92" s="0" t="n">
        <v>1090</v>
      </c>
      <c r="B92" s="0" t="n">
        <v>3</v>
      </c>
      <c r="C92" s="0" t="s">
        <v>8</v>
      </c>
      <c r="D92" s="0" t="n">
        <v>1720.59</v>
      </c>
      <c r="E92" s="0" t="s">
        <v>6</v>
      </c>
    </row>
    <row r="93" customFormat="false" ht="15" hidden="false" customHeight="false" outlineLevel="0" collapsed="false">
      <c r="A93" s="0" t="n">
        <v>1091</v>
      </c>
      <c r="B93" s="0" t="n">
        <v>1</v>
      </c>
      <c r="C93" s="0" t="s">
        <v>8</v>
      </c>
      <c r="D93" s="0" t="n">
        <v>3374.2</v>
      </c>
      <c r="E93" s="0" t="s">
        <v>6</v>
      </c>
    </row>
    <row r="94" customFormat="false" ht="15" hidden="false" customHeight="false" outlineLevel="0" collapsed="false">
      <c r="A94" s="0" t="n">
        <v>1092</v>
      </c>
      <c r="B94" s="0" t="n">
        <v>10</v>
      </c>
      <c r="C94" s="0" t="s">
        <v>11</v>
      </c>
      <c r="D94" s="0" t="n">
        <v>3997.76</v>
      </c>
      <c r="E94" s="0" t="s">
        <v>6</v>
      </c>
    </row>
    <row r="95" customFormat="false" ht="15" hidden="false" customHeight="false" outlineLevel="0" collapsed="false">
      <c r="A95" s="0" t="n">
        <v>1093</v>
      </c>
      <c r="B95" s="0" t="n">
        <v>10</v>
      </c>
      <c r="C95" s="0" t="s">
        <v>5</v>
      </c>
      <c r="D95" s="0" t="n">
        <v>2654.45</v>
      </c>
      <c r="E95" s="0" t="s">
        <v>6</v>
      </c>
    </row>
    <row r="96" customFormat="false" ht="15" hidden="false" customHeight="false" outlineLevel="0" collapsed="false">
      <c r="A96" s="0" t="n">
        <v>1094</v>
      </c>
      <c r="B96" s="0" t="n">
        <v>2</v>
      </c>
      <c r="C96" s="0" t="s">
        <v>5</v>
      </c>
      <c r="D96" s="0" t="n">
        <v>3749.85</v>
      </c>
      <c r="E96" s="0" t="s">
        <v>6</v>
      </c>
    </row>
    <row r="97" customFormat="false" ht="15" hidden="false" customHeight="false" outlineLevel="0" collapsed="false">
      <c r="A97" s="0" t="n">
        <v>1095</v>
      </c>
      <c r="B97" s="0" t="n">
        <v>9</v>
      </c>
      <c r="C97" s="0" t="s">
        <v>11</v>
      </c>
      <c r="D97" s="0" t="n">
        <v>4349.72</v>
      </c>
      <c r="E97" s="0" t="s">
        <v>6</v>
      </c>
    </row>
    <row r="98" customFormat="false" ht="15" hidden="false" customHeight="false" outlineLevel="0" collapsed="false">
      <c r="A98" s="0" t="n">
        <v>1096</v>
      </c>
      <c r="B98" s="0" t="n">
        <v>2</v>
      </c>
      <c r="C98" s="0" t="s">
        <v>12</v>
      </c>
      <c r="D98" s="0" t="n">
        <v>4991.78</v>
      </c>
      <c r="E98" s="0" t="s">
        <v>6</v>
      </c>
    </row>
    <row r="99" customFormat="false" ht="15" hidden="false" customHeight="false" outlineLevel="0" collapsed="false">
      <c r="A99" s="0" t="n">
        <v>1097</v>
      </c>
      <c r="B99" s="0" t="n">
        <v>8</v>
      </c>
      <c r="C99" s="0" t="s">
        <v>5</v>
      </c>
      <c r="D99" s="0" t="n">
        <v>3506.56</v>
      </c>
      <c r="E99" s="0" t="s">
        <v>9</v>
      </c>
    </row>
    <row r="100" customFormat="false" ht="15" hidden="false" customHeight="false" outlineLevel="0" collapsed="false">
      <c r="A100" s="0" t="n">
        <v>1098</v>
      </c>
      <c r="B100" s="0" t="n">
        <v>5</v>
      </c>
      <c r="C100" s="0" t="s">
        <v>11</v>
      </c>
      <c r="D100" s="0" t="n">
        <v>3005.28</v>
      </c>
      <c r="E100" s="0" t="s">
        <v>6</v>
      </c>
    </row>
    <row r="101" customFormat="false" ht="15" hidden="false" customHeight="false" outlineLevel="0" collapsed="false">
      <c r="A101" s="0" t="n">
        <v>1099</v>
      </c>
      <c r="B101" s="0" t="n">
        <v>9</v>
      </c>
      <c r="C101" s="0" t="s">
        <v>7</v>
      </c>
      <c r="D101" s="0" t="n">
        <v>4832.25</v>
      </c>
      <c r="E101" s="0" t="s">
        <v>9</v>
      </c>
    </row>
    <row r="102" customFormat="false" ht="15" hidden="false" customHeight="false" outlineLevel="0" collapsed="false">
      <c r="A102" s="0" t="n">
        <v>1100</v>
      </c>
      <c r="B102" s="0" t="n">
        <v>9</v>
      </c>
      <c r="C102" s="0" t="s">
        <v>12</v>
      </c>
      <c r="D102" s="0" t="n">
        <v>4865.82</v>
      </c>
      <c r="E102" s="0" t="s">
        <v>9</v>
      </c>
    </row>
    <row r="103" customFormat="false" ht="15" hidden="false" customHeight="false" outlineLevel="0" collapsed="false">
      <c r="A103" s="0" t="n">
        <v>1101</v>
      </c>
      <c r="B103" s="0" t="n">
        <v>12</v>
      </c>
      <c r="C103" s="0" t="s">
        <v>12</v>
      </c>
      <c r="D103" s="0" t="n">
        <v>2088.05</v>
      </c>
      <c r="E103" s="0" t="s">
        <v>9</v>
      </c>
    </row>
    <row r="104" customFormat="false" ht="15" hidden="false" customHeight="false" outlineLevel="0" collapsed="false">
      <c r="A104" s="0" t="n">
        <v>1102</v>
      </c>
      <c r="B104" s="0" t="n">
        <v>3</v>
      </c>
      <c r="C104" s="0" t="s">
        <v>10</v>
      </c>
      <c r="D104" s="0" t="n">
        <v>2017.24</v>
      </c>
      <c r="E104" s="0" t="s">
        <v>6</v>
      </c>
    </row>
    <row r="105" customFormat="false" ht="15" hidden="false" customHeight="false" outlineLevel="0" collapsed="false">
      <c r="A105" s="0" t="n">
        <v>1103</v>
      </c>
      <c r="B105" s="0" t="n">
        <v>3</v>
      </c>
      <c r="C105" s="0" t="s">
        <v>8</v>
      </c>
      <c r="D105" s="0" t="n">
        <v>2499.83</v>
      </c>
      <c r="E105" s="0" t="s">
        <v>9</v>
      </c>
    </row>
    <row r="106" customFormat="false" ht="15" hidden="false" customHeight="false" outlineLevel="0" collapsed="false">
      <c r="A106" s="0" t="n">
        <v>1104</v>
      </c>
      <c r="B106" s="0" t="n">
        <v>12</v>
      </c>
      <c r="C106" s="0" t="s">
        <v>5</v>
      </c>
      <c r="D106" s="0" t="n">
        <v>4754.45</v>
      </c>
      <c r="E106" s="0" t="s">
        <v>6</v>
      </c>
    </row>
    <row r="107" customFormat="false" ht="15" hidden="false" customHeight="false" outlineLevel="0" collapsed="false">
      <c r="A107" s="0" t="n">
        <v>1105</v>
      </c>
      <c r="B107" s="0" t="n">
        <v>3</v>
      </c>
      <c r="C107" s="0" t="s">
        <v>11</v>
      </c>
      <c r="D107" s="0" t="n">
        <v>3765.22</v>
      </c>
      <c r="E107" s="0" t="s">
        <v>6</v>
      </c>
    </row>
    <row r="108" customFormat="false" ht="15" hidden="false" customHeight="false" outlineLevel="0" collapsed="false">
      <c r="A108" s="0" t="n">
        <v>1106</v>
      </c>
      <c r="B108" s="0" t="n">
        <v>10</v>
      </c>
      <c r="C108" s="0" t="s">
        <v>5</v>
      </c>
      <c r="D108" s="0" t="n">
        <v>1587.94</v>
      </c>
      <c r="E108" s="0" t="s">
        <v>6</v>
      </c>
    </row>
    <row r="109" customFormat="false" ht="15" hidden="false" customHeight="false" outlineLevel="0" collapsed="false">
      <c r="A109" s="0" t="n">
        <v>1107</v>
      </c>
      <c r="B109" s="0" t="n">
        <v>12</v>
      </c>
      <c r="C109" s="0" t="s">
        <v>5</v>
      </c>
      <c r="D109" s="0" t="n">
        <v>4768.06</v>
      </c>
      <c r="E109" s="0" t="s">
        <v>6</v>
      </c>
    </row>
    <row r="110" customFormat="false" ht="15" hidden="false" customHeight="false" outlineLevel="0" collapsed="false">
      <c r="A110" s="0" t="n">
        <v>1108</v>
      </c>
      <c r="B110" s="0" t="n">
        <v>11</v>
      </c>
      <c r="C110" s="0" t="s">
        <v>10</v>
      </c>
      <c r="D110" s="0" t="n">
        <v>4279.36</v>
      </c>
      <c r="E110" s="0" t="s">
        <v>6</v>
      </c>
    </row>
    <row r="111" customFormat="false" ht="15" hidden="false" customHeight="false" outlineLevel="0" collapsed="false">
      <c r="A111" s="0" t="n">
        <v>1109</v>
      </c>
      <c r="B111" s="0" t="n">
        <v>4</v>
      </c>
      <c r="C111" s="0" t="s">
        <v>11</v>
      </c>
      <c r="D111" s="0" t="n">
        <v>135.16</v>
      </c>
      <c r="E111" s="0" t="s">
        <v>9</v>
      </c>
    </row>
    <row r="112" customFormat="false" ht="15" hidden="false" customHeight="false" outlineLevel="0" collapsed="false">
      <c r="A112" s="0" t="n">
        <v>1110</v>
      </c>
      <c r="B112" s="0" t="n">
        <v>7</v>
      </c>
      <c r="C112" s="0" t="s">
        <v>12</v>
      </c>
      <c r="D112" s="0" t="n">
        <v>877.79</v>
      </c>
      <c r="E112" s="0" t="s">
        <v>6</v>
      </c>
    </row>
    <row r="113" customFormat="false" ht="15" hidden="false" customHeight="false" outlineLevel="0" collapsed="false">
      <c r="A113" s="0" t="n">
        <v>1111</v>
      </c>
      <c r="B113" s="0" t="n">
        <v>4</v>
      </c>
      <c r="C113" s="0" t="s">
        <v>11</v>
      </c>
      <c r="D113" s="0" t="n">
        <v>2423.33</v>
      </c>
      <c r="E113" s="0" t="s">
        <v>6</v>
      </c>
    </row>
    <row r="114" customFormat="false" ht="15" hidden="false" customHeight="false" outlineLevel="0" collapsed="false">
      <c r="A114" s="0" t="n">
        <v>1112</v>
      </c>
      <c r="B114" s="0" t="n">
        <v>7</v>
      </c>
      <c r="C114" s="0" t="s">
        <v>10</v>
      </c>
      <c r="D114" s="0" t="n">
        <v>2408.36</v>
      </c>
      <c r="E114" s="0" t="s">
        <v>6</v>
      </c>
    </row>
    <row r="115" customFormat="false" ht="15" hidden="false" customHeight="false" outlineLevel="0" collapsed="false">
      <c r="A115" s="0" t="n">
        <v>1113</v>
      </c>
      <c r="B115" s="0" t="n">
        <v>8</v>
      </c>
      <c r="C115" s="0" t="s">
        <v>5</v>
      </c>
      <c r="D115" s="0" t="n">
        <v>4176.37</v>
      </c>
      <c r="E115" s="0" t="s">
        <v>6</v>
      </c>
    </row>
    <row r="116" customFormat="false" ht="15" hidden="false" customHeight="false" outlineLevel="0" collapsed="false">
      <c r="A116" s="0" t="n">
        <v>1114</v>
      </c>
      <c r="B116" s="0" t="n">
        <v>8</v>
      </c>
      <c r="C116" s="0" t="s">
        <v>10</v>
      </c>
      <c r="D116" s="0" t="n">
        <v>380.43</v>
      </c>
      <c r="E116" s="0" t="s">
        <v>9</v>
      </c>
    </row>
    <row r="117" customFormat="false" ht="15" hidden="false" customHeight="false" outlineLevel="0" collapsed="false">
      <c r="A117" s="0" t="n">
        <v>1115</v>
      </c>
      <c r="B117" s="0" t="n">
        <v>12</v>
      </c>
      <c r="C117" s="0" t="s">
        <v>8</v>
      </c>
      <c r="D117" s="0" t="n">
        <v>2347.63</v>
      </c>
      <c r="E117" s="0" t="s">
        <v>6</v>
      </c>
    </row>
    <row r="118" customFormat="false" ht="15" hidden="false" customHeight="false" outlineLevel="0" collapsed="false">
      <c r="A118" s="0" t="n">
        <v>1116</v>
      </c>
      <c r="B118" s="0" t="n">
        <v>4</v>
      </c>
      <c r="C118" s="0" t="s">
        <v>10</v>
      </c>
      <c r="D118" s="0" t="n">
        <v>3594.09</v>
      </c>
      <c r="E118" s="0" t="s">
        <v>6</v>
      </c>
    </row>
    <row r="119" customFormat="false" ht="15" hidden="false" customHeight="false" outlineLevel="0" collapsed="false">
      <c r="A119" s="0" t="n">
        <v>1117</v>
      </c>
      <c r="B119" s="0" t="n">
        <v>4</v>
      </c>
      <c r="C119" s="0" t="s">
        <v>11</v>
      </c>
      <c r="D119" s="0" t="n">
        <v>1225.62</v>
      </c>
      <c r="E119" s="0" t="s">
        <v>6</v>
      </c>
    </row>
    <row r="120" customFormat="false" ht="15" hidden="false" customHeight="false" outlineLevel="0" collapsed="false">
      <c r="A120" s="0" t="n">
        <v>1118</v>
      </c>
      <c r="B120" s="0" t="n">
        <v>5</v>
      </c>
      <c r="C120" s="0" t="s">
        <v>12</v>
      </c>
      <c r="D120" s="0" t="n">
        <v>952.19</v>
      </c>
      <c r="E120" s="0" t="s">
        <v>6</v>
      </c>
    </row>
    <row r="121" customFormat="false" ht="15" hidden="false" customHeight="false" outlineLevel="0" collapsed="false">
      <c r="A121" s="0" t="n">
        <v>1119</v>
      </c>
      <c r="B121" s="0" t="n">
        <v>5</v>
      </c>
      <c r="C121" s="0" t="s">
        <v>12</v>
      </c>
      <c r="D121" s="0" t="n">
        <v>4328.19</v>
      </c>
      <c r="E121" s="0" t="s">
        <v>6</v>
      </c>
    </row>
    <row r="122" customFormat="false" ht="15" hidden="false" customHeight="false" outlineLevel="0" collapsed="false">
      <c r="A122" s="0" t="n">
        <v>1120</v>
      </c>
      <c r="B122" s="0" t="n">
        <v>3</v>
      </c>
      <c r="C122" s="0" t="s">
        <v>7</v>
      </c>
      <c r="D122" s="0" t="n">
        <v>472.97</v>
      </c>
      <c r="E122" s="0" t="s">
        <v>6</v>
      </c>
    </row>
    <row r="123" customFormat="false" ht="15" hidden="false" customHeight="false" outlineLevel="0" collapsed="false">
      <c r="A123" s="0" t="n">
        <v>1121</v>
      </c>
      <c r="B123" s="0" t="n">
        <v>2</v>
      </c>
      <c r="C123" s="0" t="s">
        <v>8</v>
      </c>
      <c r="D123" s="0" t="n">
        <v>1335.6</v>
      </c>
      <c r="E123" s="0" t="s">
        <v>6</v>
      </c>
    </row>
    <row r="124" customFormat="false" ht="15" hidden="false" customHeight="false" outlineLevel="0" collapsed="false">
      <c r="A124" s="0" t="n">
        <v>1122</v>
      </c>
      <c r="B124" s="0" t="n">
        <v>1</v>
      </c>
      <c r="C124" s="0" t="s">
        <v>11</v>
      </c>
      <c r="D124" s="0" t="n">
        <v>2272.74</v>
      </c>
      <c r="E124" s="0" t="s">
        <v>6</v>
      </c>
    </row>
    <row r="125" customFormat="false" ht="15" hidden="false" customHeight="false" outlineLevel="0" collapsed="false">
      <c r="A125" s="0" t="n">
        <v>1123</v>
      </c>
      <c r="B125" s="0" t="n">
        <v>1</v>
      </c>
      <c r="C125" s="0" t="s">
        <v>8</v>
      </c>
      <c r="D125" s="0" t="n">
        <v>1687.31</v>
      </c>
      <c r="E125" s="0" t="s">
        <v>9</v>
      </c>
    </row>
    <row r="126" customFormat="false" ht="15" hidden="false" customHeight="false" outlineLevel="0" collapsed="false">
      <c r="A126" s="0" t="n">
        <v>1124</v>
      </c>
      <c r="B126" s="0" t="n">
        <v>7</v>
      </c>
      <c r="C126" s="0" t="s">
        <v>7</v>
      </c>
      <c r="D126" s="0" t="n">
        <v>408.27</v>
      </c>
      <c r="E126" s="0" t="s">
        <v>9</v>
      </c>
    </row>
    <row r="127" customFormat="false" ht="15" hidden="false" customHeight="false" outlineLevel="0" collapsed="false">
      <c r="A127" s="0" t="n">
        <v>1125</v>
      </c>
      <c r="B127" s="0" t="n">
        <v>7</v>
      </c>
      <c r="C127" s="0" t="s">
        <v>12</v>
      </c>
      <c r="D127" s="0" t="n">
        <v>2730.9</v>
      </c>
      <c r="E127" s="0" t="s">
        <v>6</v>
      </c>
    </row>
    <row r="128" customFormat="false" ht="15" hidden="false" customHeight="false" outlineLevel="0" collapsed="false">
      <c r="A128" s="0" t="n">
        <v>1126</v>
      </c>
      <c r="B128" s="0" t="n">
        <v>5</v>
      </c>
      <c r="C128" s="0" t="s">
        <v>8</v>
      </c>
      <c r="D128" s="0" t="n">
        <v>3333.86</v>
      </c>
      <c r="E128" s="0" t="s">
        <v>6</v>
      </c>
    </row>
    <row r="129" customFormat="false" ht="15" hidden="false" customHeight="false" outlineLevel="0" collapsed="false">
      <c r="A129" s="0" t="n">
        <v>1127</v>
      </c>
      <c r="B129" s="0" t="n">
        <v>8</v>
      </c>
      <c r="C129" s="0" t="s">
        <v>5</v>
      </c>
      <c r="D129" s="0" t="n">
        <v>4545.63</v>
      </c>
      <c r="E129" s="0" t="s">
        <v>6</v>
      </c>
    </row>
    <row r="130" customFormat="false" ht="15" hidden="false" customHeight="false" outlineLevel="0" collapsed="false">
      <c r="A130" s="0" t="n">
        <v>1128</v>
      </c>
      <c r="B130" s="0" t="n">
        <v>9</v>
      </c>
      <c r="C130" s="0" t="s">
        <v>10</v>
      </c>
      <c r="D130" s="0" t="n">
        <v>1883.63</v>
      </c>
      <c r="E130" s="0" t="s">
        <v>6</v>
      </c>
    </row>
    <row r="131" customFormat="false" ht="15" hidden="false" customHeight="false" outlineLevel="0" collapsed="false">
      <c r="A131" s="0" t="n">
        <v>1129</v>
      </c>
      <c r="B131" s="0" t="n">
        <v>8</v>
      </c>
      <c r="C131" s="0" t="s">
        <v>11</v>
      </c>
      <c r="D131" s="0" t="n">
        <v>3321.25</v>
      </c>
      <c r="E131" s="0" t="s">
        <v>6</v>
      </c>
    </row>
    <row r="132" customFormat="false" ht="15" hidden="false" customHeight="false" outlineLevel="0" collapsed="false">
      <c r="A132" s="0" t="n">
        <v>1130</v>
      </c>
      <c r="B132" s="0" t="n">
        <v>2</v>
      </c>
      <c r="C132" s="0" t="s">
        <v>11</v>
      </c>
      <c r="D132" s="0" t="n">
        <v>3370.67</v>
      </c>
      <c r="E132" s="0" t="s">
        <v>6</v>
      </c>
    </row>
    <row r="133" customFormat="false" ht="15" hidden="false" customHeight="false" outlineLevel="0" collapsed="false">
      <c r="A133" s="0" t="n">
        <v>1131</v>
      </c>
      <c r="B133" s="0" t="n">
        <v>11</v>
      </c>
      <c r="C133" s="0" t="s">
        <v>7</v>
      </c>
      <c r="D133" s="0" t="n">
        <v>2553.24</v>
      </c>
      <c r="E133" s="0" t="s">
        <v>6</v>
      </c>
    </row>
    <row r="134" customFormat="false" ht="15" hidden="false" customHeight="false" outlineLevel="0" collapsed="false">
      <c r="A134" s="0" t="n">
        <v>1132</v>
      </c>
      <c r="B134" s="0" t="n">
        <v>12</v>
      </c>
      <c r="C134" s="0" t="s">
        <v>11</v>
      </c>
      <c r="D134" s="0" t="n">
        <v>3399.15</v>
      </c>
      <c r="E134" s="0" t="s">
        <v>6</v>
      </c>
    </row>
    <row r="135" customFormat="false" ht="15" hidden="false" customHeight="false" outlineLevel="0" collapsed="false">
      <c r="A135" s="0" t="n">
        <v>1133</v>
      </c>
      <c r="B135" s="0" t="n">
        <v>11</v>
      </c>
      <c r="C135" s="0" t="s">
        <v>10</v>
      </c>
      <c r="D135" s="0" t="n">
        <v>3656.39</v>
      </c>
      <c r="E135" s="0" t="s">
        <v>6</v>
      </c>
    </row>
    <row r="136" customFormat="false" ht="15" hidden="false" customHeight="false" outlineLevel="0" collapsed="false">
      <c r="A136" s="0" t="n">
        <v>1134</v>
      </c>
      <c r="B136" s="0" t="n">
        <v>3</v>
      </c>
      <c r="C136" s="0" t="s">
        <v>11</v>
      </c>
      <c r="D136" s="0" t="n">
        <v>4451.8</v>
      </c>
      <c r="E136" s="0" t="s">
        <v>9</v>
      </c>
    </row>
    <row r="137" customFormat="false" ht="15" hidden="false" customHeight="false" outlineLevel="0" collapsed="false">
      <c r="A137" s="0" t="n">
        <v>1135</v>
      </c>
      <c r="B137" s="0" t="n">
        <v>2</v>
      </c>
      <c r="C137" s="0" t="s">
        <v>8</v>
      </c>
      <c r="D137" s="0" t="n">
        <v>4660.58</v>
      </c>
      <c r="E137" s="0" t="s">
        <v>6</v>
      </c>
    </row>
    <row r="138" customFormat="false" ht="15" hidden="false" customHeight="false" outlineLevel="0" collapsed="false">
      <c r="A138" s="0" t="n">
        <v>1136</v>
      </c>
      <c r="B138" s="0" t="n">
        <v>6</v>
      </c>
      <c r="C138" s="0" t="s">
        <v>10</v>
      </c>
      <c r="D138" s="0" t="n">
        <v>3607.98</v>
      </c>
      <c r="E138" s="0" t="s">
        <v>9</v>
      </c>
    </row>
    <row r="139" customFormat="false" ht="15" hidden="false" customHeight="false" outlineLevel="0" collapsed="false">
      <c r="A139" s="0" t="n">
        <v>1137</v>
      </c>
      <c r="B139" s="0" t="n">
        <v>9</v>
      </c>
      <c r="C139" s="0" t="s">
        <v>11</v>
      </c>
      <c r="D139" s="0" t="n">
        <v>3244.48</v>
      </c>
      <c r="E139" s="0" t="s">
        <v>9</v>
      </c>
    </row>
    <row r="140" customFormat="false" ht="15" hidden="false" customHeight="false" outlineLevel="0" collapsed="false">
      <c r="A140" s="0" t="n">
        <v>1138</v>
      </c>
      <c r="B140" s="0" t="n">
        <v>8</v>
      </c>
      <c r="C140" s="0" t="s">
        <v>11</v>
      </c>
      <c r="D140" s="0" t="n">
        <v>3915.41</v>
      </c>
      <c r="E140" s="0" t="s">
        <v>6</v>
      </c>
    </row>
    <row r="141" customFormat="false" ht="15" hidden="false" customHeight="false" outlineLevel="0" collapsed="false">
      <c r="A141" s="0" t="n">
        <v>1139</v>
      </c>
      <c r="B141" s="0" t="n">
        <v>2</v>
      </c>
      <c r="C141" s="0" t="s">
        <v>10</v>
      </c>
      <c r="D141" s="0" t="n">
        <v>922.56</v>
      </c>
      <c r="E141" s="0" t="s">
        <v>9</v>
      </c>
    </row>
    <row r="142" customFormat="false" ht="15" hidden="false" customHeight="false" outlineLevel="0" collapsed="false">
      <c r="A142" s="0" t="n">
        <v>1140</v>
      </c>
      <c r="B142" s="0" t="n">
        <v>6</v>
      </c>
      <c r="C142" s="0" t="s">
        <v>8</v>
      </c>
      <c r="D142" s="0" t="n">
        <v>1343.91</v>
      </c>
      <c r="E142" s="0" t="s">
        <v>9</v>
      </c>
    </row>
    <row r="143" customFormat="false" ht="15" hidden="false" customHeight="false" outlineLevel="0" collapsed="false">
      <c r="A143" s="0" t="n">
        <v>1141</v>
      </c>
      <c r="B143" s="0" t="n">
        <v>1</v>
      </c>
      <c r="C143" s="0" t="s">
        <v>12</v>
      </c>
      <c r="D143" s="0" t="n">
        <v>229.71</v>
      </c>
      <c r="E143" s="0" t="s">
        <v>6</v>
      </c>
    </row>
    <row r="144" customFormat="false" ht="15" hidden="false" customHeight="false" outlineLevel="0" collapsed="false">
      <c r="A144" s="0" t="n">
        <v>1142</v>
      </c>
      <c r="B144" s="0" t="n">
        <v>4</v>
      </c>
      <c r="C144" s="0" t="s">
        <v>10</v>
      </c>
      <c r="D144" s="0" t="n">
        <v>3849.13</v>
      </c>
      <c r="E144" s="0" t="s">
        <v>6</v>
      </c>
    </row>
    <row r="145" customFormat="false" ht="15" hidden="false" customHeight="false" outlineLevel="0" collapsed="false">
      <c r="A145" s="0" t="n">
        <v>1143</v>
      </c>
      <c r="B145" s="0" t="n">
        <v>6</v>
      </c>
      <c r="C145" s="0" t="s">
        <v>7</v>
      </c>
      <c r="D145" s="0" t="n">
        <v>2252.2</v>
      </c>
      <c r="E145" s="0" t="s">
        <v>6</v>
      </c>
    </row>
    <row r="146" customFormat="false" ht="15" hidden="false" customHeight="false" outlineLevel="0" collapsed="false">
      <c r="A146" s="0" t="n">
        <v>1144</v>
      </c>
      <c r="B146" s="0" t="n">
        <v>6</v>
      </c>
      <c r="C146" s="0" t="s">
        <v>7</v>
      </c>
      <c r="D146" s="0" t="n">
        <v>4237.48</v>
      </c>
      <c r="E146" s="0" t="s">
        <v>6</v>
      </c>
    </row>
    <row r="147" customFormat="false" ht="15" hidden="false" customHeight="false" outlineLevel="0" collapsed="false">
      <c r="A147" s="0" t="n">
        <v>1145</v>
      </c>
      <c r="B147" s="0" t="n">
        <v>3</v>
      </c>
      <c r="C147" s="0" t="s">
        <v>11</v>
      </c>
      <c r="D147" s="0" t="n">
        <v>2958.79</v>
      </c>
      <c r="E147" s="0" t="s">
        <v>6</v>
      </c>
    </row>
    <row r="148" customFormat="false" ht="15" hidden="false" customHeight="false" outlineLevel="0" collapsed="false">
      <c r="A148" s="0" t="n">
        <v>1146</v>
      </c>
      <c r="B148" s="0" t="n">
        <v>10</v>
      </c>
      <c r="C148" s="0" t="s">
        <v>10</v>
      </c>
      <c r="D148" s="0" t="n">
        <v>578.22</v>
      </c>
      <c r="E148" s="0" t="s">
        <v>6</v>
      </c>
    </row>
    <row r="149" customFormat="false" ht="15" hidden="false" customHeight="false" outlineLevel="0" collapsed="false">
      <c r="A149" s="0" t="n">
        <v>1147</v>
      </c>
      <c r="B149" s="0" t="n">
        <v>10</v>
      </c>
      <c r="C149" s="0" t="s">
        <v>7</v>
      </c>
      <c r="D149" s="0" t="n">
        <v>3357.34</v>
      </c>
      <c r="E149" s="0" t="s">
        <v>9</v>
      </c>
    </row>
    <row r="150" customFormat="false" ht="15" hidden="false" customHeight="false" outlineLevel="0" collapsed="false">
      <c r="A150" s="0" t="n">
        <v>1148</v>
      </c>
      <c r="B150" s="0" t="n">
        <v>12</v>
      </c>
      <c r="C150" s="0" t="s">
        <v>12</v>
      </c>
      <c r="D150" s="0" t="n">
        <v>2967.74</v>
      </c>
      <c r="E150" s="0" t="s">
        <v>6</v>
      </c>
    </row>
    <row r="151" customFormat="false" ht="15" hidden="false" customHeight="false" outlineLevel="0" collapsed="false">
      <c r="A151" s="0" t="n">
        <v>1149</v>
      </c>
      <c r="B151" s="0" t="n">
        <v>7</v>
      </c>
      <c r="C151" s="0" t="s">
        <v>12</v>
      </c>
      <c r="D151" s="0" t="n">
        <v>2732.71</v>
      </c>
      <c r="E151" s="0" t="s">
        <v>6</v>
      </c>
    </row>
    <row r="152" customFormat="false" ht="15" hidden="false" customHeight="false" outlineLevel="0" collapsed="false">
      <c r="A152" s="0" t="n">
        <v>1150</v>
      </c>
      <c r="B152" s="0" t="n">
        <v>10</v>
      </c>
      <c r="C152" s="0" t="s">
        <v>12</v>
      </c>
      <c r="D152" s="0" t="n">
        <v>1026.34</v>
      </c>
      <c r="E152" s="0" t="s">
        <v>6</v>
      </c>
    </row>
    <row r="153" customFormat="false" ht="15" hidden="false" customHeight="false" outlineLevel="0" collapsed="false">
      <c r="A153" s="0" t="n">
        <v>1151</v>
      </c>
      <c r="B153" s="0" t="n">
        <v>6</v>
      </c>
      <c r="C153" s="0" t="s">
        <v>11</v>
      </c>
      <c r="D153" s="0" t="n">
        <v>169.84</v>
      </c>
      <c r="E153" s="0" t="s">
        <v>9</v>
      </c>
    </row>
    <row r="154" customFormat="false" ht="15" hidden="false" customHeight="false" outlineLevel="0" collapsed="false">
      <c r="A154" s="0" t="n">
        <v>1152</v>
      </c>
      <c r="B154" s="0" t="n">
        <v>7</v>
      </c>
      <c r="C154" s="0" t="s">
        <v>7</v>
      </c>
      <c r="D154" s="0" t="n">
        <v>1593.42</v>
      </c>
      <c r="E154" s="0" t="s">
        <v>6</v>
      </c>
    </row>
    <row r="155" customFormat="false" ht="15" hidden="false" customHeight="false" outlineLevel="0" collapsed="false">
      <c r="A155" s="0" t="n">
        <v>1153</v>
      </c>
      <c r="B155" s="0" t="n">
        <v>11</v>
      </c>
      <c r="C155" s="0" t="s">
        <v>7</v>
      </c>
      <c r="D155" s="0" t="n">
        <v>4885.34</v>
      </c>
      <c r="E155" s="0" t="s">
        <v>6</v>
      </c>
    </row>
    <row r="156" customFormat="false" ht="15" hidden="false" customHeight="false" outlineLevel="0" collapsed="false">
      <c r="A156" s="0" t="n">
        <v>1154</v>
      </c>
      <c r="B156" s="0" t="n">
        <v>11</v>
      </c>
      <c r="C156" s="0" t="s">
        <v>7</v>
      </c>
      <c r="D156" s="0" t="n">
        <v>170.27</v>
      </c>
      <c r="E156" s="0" t="s">
        <v>6</v>
      </c>
    </row>
    <row r="157" customFormat="false" ht="15" hidden="false" customHeight="false" outlineLevel="0" collapsed="false">
      <c r="A157" s="0" t="n">
        <v>1155</v>
      </c>
      <c r="B157" s="0" t="n">
        <v>12</v>
      </c>
      <c r="C157" s="0" t="s">
        <v>10</v>
      </c>
      <c r="D157" s="0" t="n">
        <v>31.82</v>
      </c>
      <c r="E157" s="0" t="s">
        <v>6</v>
      </c>
    </row>
    <row r="158" customFormat="false" ht="15" hidden="false" customHeight="false" outlineLevel="0" collapsed="false">
      <c r="A158" s="0" t="n">
        <v>1156</v>
      </c>
      <c r="B158" s="0" t="n">
        <v>8</v>
      </c>
      <c r="C158" s="0" t="s">
        <v>12</v>
      </c>
      <c r="D158" s="0" t="n">
        <v>2627.73</v>
      </c>
      <c r="E158" s="0" t="s">
        <v>9</v>
      </c>
    </row>
    <row r="159" customFormat="false" ht="15" hidden="false" customHeight="false" outlineLevel="0" collapsed="false">
      <c r="A159" s="0" t="n">
        <v>1157</v>
      </c>
      <c r="B159" s="0" t="n">
        <v>4</v>
      </c>
      <c r="C159" s="0" t="s">
        <v>12</v>
      </c>
      <c r="D159" s="0" t="n">
        <v>3915.12</v>
      </c>
      <c r="E159" s="0" t="s">
        <v>6</v>
      </c>
    </row>
    <row r="160" customFormat="false" ht="15" hidden="false" customHeight="false" outlineLevel="0" collapsed="false">
      <c r="A160" s="0" t="n">
        <v>1158</v>
      </c>
      <c r="B160" s="0" t="n">
        <v>1</v>
      </c>
      <c r="C160" s="0" t="s">
        <v>5</v>
      </c>
      <c r="D160" s="0" t="n">
        <v>4631.72</v>
      </c>
      <c r="E160" s="0" t="s">
        <v>9</v>
      </c>
    </row>
    <row r="161" customFormat="false" ht="15" hidden="false" customHeight="false" outlineLevel="0" collapsed="false">
      <c r="A161" s="0" t="n">
        <v>1159</v>
      </c>
      <c r="B161" s="0" t="n">
        <v>2</v>
      </c>
      <c r="C161" s="0" t="s">
        <v>5</v>
      </c>
      <c r="D161" s="0" t="n">
        <v>1430.6</v>
      </c>
      <c r="E161" s="0" t="s">
        <v>6</v>
      </c>
    </row>
    <row r="162" customFormat="false" ht="15" hidden="false" customHeight="false" outlineLevel="0" collapsed="false">
      <c r="A162" s="0" t="n">
        <v>1160</v>
      </c>
      <c r="B162" s="0" t="n">
        <v>3</v>
      </c>
      <c r="C162" s="0" t="s">
        <v>7</v>
      </c>
      <c r="D162" s="0" t="n">
        <v>3966.03</v>
      </c>
      <c r="E162" s="0" t="s">
        <v>6</v>
      </c>
    </row>
    <row r="163" customFormat="false" ht="15" hidden="false" customHeight="false" outlineLevel="0" collapsed="false">
      <c r="A163" s="0" t="n">
        <v>1161</v>
      </c>
      <c r="B163" s="0" t="n">
        <v>1</v>
      </c>
      <c r="C163" s="0" t="s">
        <v>11</v>
      </c>
      <c r="D163" s="0" t="n">
        <v>3099.35</v>
      </c>
      <c r="E163" s="0" t="s">
        <v>6</v>
      </c>
    </row>
    <row r="164" customFormat="false" ht="15" hidden="false" customHeight="false" outlineLevel="0" collapsed="false">
      <c r="A164" s="0" t="n">
        <v>1162</v>
      </c>
      <c r="B164" s="0" t="n">
        <v>8</v>
      </c>
      <c r="C164" s="0" t="s">
        <v>5</v>
      </c>
      <c r="D164" s="0" t="n">
        <v>114.12</v>
      </c>
      <c r="E164" s="0" t="s">
        <v>6</v>
      </c>
    </row>
    <row r="165" customFormat="false" ht="15" hidden="false" customHeight="false" outlineLevel="0" collapsed="false">
      <c r="A165" s="0" t="n">
        <v>1163</v>
      </c>
      <c r="B165" s="0" t="n">
        <v>6</v>
      </c>
      <c r="C165" s="0" t="s">
        <v>11</v>
      </c>
      <c r="D165" s="0" t="n">
        <v>4355.14</v>
      </c>
      <c r="E165" s="0" t="s">
        <v>6</v>
      </c>
    </row>
    <row r="166" customFormat="false" ht="15" hidden="false" customHeight="false" outlineLevel="0" collapsed="false">
      <c r="A166" s="0" t="n">
        <v>1164</v>
      </c>
      <c r="B166" s="0" t="n">
        <v>2</v>
      </c>
      <c r="C166" s="0" t="s">
        <v>5</v>
      </c>
      <c r="D166" s="0" t="n">
        <v>3881.23</v>
      </c>
      <c r="E166" s="0" t="s">
        <v>6</v>
      </c>
    </row>
    <row r="167" customFormat="false" ht="15" hidden="false" customHeight="false" outlineLevel="0" collapsed="false">
      <c r="A167" s="0" t="n">
        <v>1165</v>
      </c>
      <c r="B167" s="0" t="n">
        <v>12</v>
      </c>
      <c r="C167" s="0" t="s">
        <v>8</v>
      </c>
      <c r="D167" s="0" t="n">
        <v>3703.8</v>
      </c>
      <c r="E167" s="0" t="s">
        <v>6</v>
      </c>
    </row>
    <row r="168" customFormat="false" ht="15" hidden="false" customHeight="false" outlineLevel="0" collapsed="false">
      <c r="A168" s="0" t="n">
        <v>1166</v>
      </c>
      <c r="B168" s="0" t="n">
        <v>4</v>
      </c>
      <c r="C168" s="0" t="s">
        <v>8</v>
      </c>
      <c r="D168" s="0" t="n">
        <v>4310.07</v>
      </c>
      <c r="E168" s="0" t="s">
        <v>9</v>
      </c>
    </row>
    <row r="169" customFormat="false" ht="15" hidden="false" customHeight="false" outlineLevel="0" collapsed="false">
      <c r="A169" s="0" t="n">
        <v>1167</v>
      </c>
      <c r="B169" s="0" t="n">
        <v>12</v>
      </c>
      <c r="C169" s="0" t="s">
        <v>12</v>
      </c>
      <c r="D169" s="0" t="n">
        <v>2435.31</v>
      </c>
      <c r="E169" s="0" t="s">
        <v>6</v>
      </c>
    </row>
    <row r="170" customFormat="false" ht="15" hidden="false" customHeight="false" outlineLevel="0" collapsed="false">
      <c r="A170" s="0" t="n">
        <v>1168</v>
      </c>
      <c r="B170" s="0" t="n">
        <v>1</v>
      </c>
      <c r="C170" s="0" t="s">
        <v>7</v>
      </c>
      <c r="D170" s="0" t="n">
        <v>408.15</v>
      </c>
      <c r="E170" s="0" t="s">
        <v>6</v>
      </c>
    </row>
    <row r="171" customFormat="false" ht="15" hidden="false" customHeight="false" outlineLevel="0" collapsed="false">
      <c r="A171" s="0" t="n">
        <v>1169</v>
      </c>
      <c r="B171" s="0" t="n">
        <v>12</v>
      </c>
      <c r="C171" s="0" t="s">
        <v>12</v>
      </c>
      <c r="D171" s="0" t="n">
        <v>1969.64</v>
      </c>
      <c r="E171" s="0" t="s">
        <v>9</v>
      </c>
    </row>
    <row r="172" customFormat="false" ht="15" hidden="false" customHeight="false" outlineLevel="0" collapsed="false">
      <c r="A172" s="0" t="n">
        <v>1170</v>
      </c>
      <c r="B172" s="0" t="n">
        <v>12</v>
      </c>
      <c r="C172" s="0" t="s">
        <v>8</v>
      </c>
      <c r="D172" s="0" t="n">
        <v>2696.43</v>
      </c>
      <c r="E172" s="0" t="s">
        <v>9</v>
      </c>
    </row>
    <row r="173" customFormat="false" ht="15" hidden="false" customHeight="false" outlineLevel="0" collapsed="false">
      <c r="A173" s="0" t="n">
        <v>1171</v>
      </c>
      <c r="B173" s="0" t="n">
        <v>4</v>
      </c>
      <c r="C173" s="0" t="s">
        <v>10</v>
      </c>
      <c r="D173" s="0" t="n">
        <v>2455.31</v>
      </c>
      <c r="E173" s="0" t="s">
        <v>6</v>
      </c>
    </row>
    <row r="174" customFormat="false" ht="15" hidden="false" customHeight="false" outlineLevel="0" collapsed="false">
      <c r="A174" s="0" t="n">
        <v>1172</v>
      </c>
      <c r="B174" s="0" t="n">
        <v>8</v>
      </c>
      <c r="C174" s="0" t="s">
        <v>7</v>
      </c>
      <c r="D174" s="0" t="n">
        <v>3790.35</v>
      </c>
      <c r="E174" s="0" t="s">
        <v>9</v>
      </c>
    </row>
    <row r="175" customFormat="false" ht="15" hidden="false" customHeight="false" outlineLevel="0" collapsed="false">
      <c r="A175" s="0" t="n">
        <v>1173</v>
      </c>
      <c r="B175" s="0" t="n">
        <v>8</v>
      </c>
      <c r="C175" s="0" t="s">
        <v>12</v>
      </c>
      <c r="D175" s="0" t="n">
        <v>2287.77</v>
      </c>
      <c r="E175" s="0" t="s">
        <v>6</v>
      </c>
    </row>
    <row r="176" customFormat="false" ht="15" hidden="false" customHeight="false" outlineLevel="0" collapsed="false">
      <c r="A176" s="0" t="n">
        <v>1174</v>
      </c>
      <c r="B176" s="0" t="n">
        <v>12</v>
      </c>
      <c r="C176" s="0" t="s">
        <v>11</v>
      </c>
      <c r="D176" s="0" t="n">
        <v>1847.33</v>
      </c>
      <c r="E176" s="0" t="s">
        <v>6</v>
      </c>
    </row>
    <row r="177" customFormat="false" ht="15" hidden="false" customHeight="false" outlineLevel="0" collapsed="false">
      <c r="A177" s="0" t="n">
        <v>1175</v>
      </c>
      <c r="B177" s="0" t="n">
        <v>8</v>
      </c>
      <c r="C177" s="0" t="s">
        <v>5</v>
      </c>
      <c r="D177" s="0" t="n">
        <v>1820.41</v>
      </c>
      <c r="E177" s="0" t="s">
        <v>9</v>
      </c>
    </row>
    <row r="178" customFormat="false" ht="15" hidden="false" customHeight="false" outlineLevel="0" collapsed="false">
      <c r="A178" s="0" t="n">
        <v>1176</v>
      </c>
      <c r="B178" s="0" t="n">
        <v>4</v>
      </c>
      <c r="C178" s="0" t="s">
        <v>8</v>
      </c>
      <c r="D178" s="0" t="n">
        <v>4024.88</v>
      </c>
      <c r="E178" s="0" t="s">
        <v>6</v>
      </c>
    </row>
    <row r="179" customFormat="false" ht="15" hidden="false" customHeight="false" outlineLevel="0" collapsed="false">
      <c r="A179" s="0" t="n">
        <v>1177</v>
      </c>
      <c r="B179" s="0" t="n">
        <v>6</v>
      </c>
      <c r="C179" s="0" t="s">
        <v>12</v>
      </c>
      <c r="D179" s="0" t="n">
        <v>4279.91</v>
      </c>
      <c r="E179" s="0" t="s">
        <v>6</v>
      </c>
    </row>
    <row r="180" customFormat="false" ht="15" hidden="false" customHeight="false" outlineLevel="0" collapsed="false">
      <c r="A180" s="0" t="n">
        <v>1178</v>
      </c>
      <c r="B180" s="0" t="n">
        <v>3</v>
      </c>
      <c r="C180" s="0" t="s">
        <v>12</v>
      </c>
      <c r="D180" s="0" t="n">
        <v>130.69</v>
      </c>
      <c r="E180" s="0" t="s">
        <v>9</v>
      </c>
    </row>
    <row r="181" customFormat="false" ht="15" hidden="false" customHeight="false" outlineLevel="0" collapsed="false">
      <c r="A181" s="0" t="n">
        <v>1179</v>
      </c>
      <c r="B181" s="0" t="n">
        <v>9</v>
      </c>
      <c r="C181" s="0" t="s">
        <v>12</v>
      </c>
      <c r="D181" s="0" t="n">
        <v>3190.85</v>
      </c>
      <c r="E181" s="0" t="s">
        <v>6</v>
      </c>
    </row>
    <row r="182" customFormat="false" ht="15" hidden="false" customHeight="false" outlineLevel="0" collapsed="false">
      <c r="A182" s="0" t="n">
        <v>1180</v>
      </c>
      <c r="B182" s="0" t="n">
        <v>2</v>
      </c>
      <c r="C182" s="0" t="s">
        <v>5</v>
      </c>
      <c r="D182" s="0" t="n">
        <v>857.8</v>
      </c>
      <c r="E182" s="0" t="s">
        <v>9</v>
      </c>
    </row>
    <row r="183" customFormat="false" ht="15" hidden="false" customHeight="false" outlineLevel="0" collapsed="false">
      <c r="A183" s="0" t="n">
        <v>1181</v>
      </c>
      <c r="B183" s="0" t="n">
        <v>3</v>
      </c>
      <c r="C183" s="0" t="s">
        <v>8</v>
      </c>
      <c r="D183" s="0" t="n">
        <v>4211.11</v>
      </c>
      <c r="E183" s="0" t="s">
        <v>9</v>
      </c>
    </row>
    <row r="184" customFormat="false" ht="15" hidden="false" customHeight="false" outlineLevel="0" collapsed="false">
      <c r="A184" s="0" t="n">
        <v>1182</v>
      </c>
      <c r="B184" s="0" t="n">
        <v>8</v>
      </c>
      <c r="C184" s="0" t="s">
        <v>11</v>
      </c>
      <c r="D184" s="0" t="n">
        <v>2050.56</v>
      </c>
      <c r="E184" s="0" t="s">
        <v>6</v>
      </c>
    </row>
    <row r="185" customFormat="false" ht="15" hidden="false" customHeight="false" outlineLevel="0" collapsed="false">
      <c r="A185" s="0" t="n">
        <v>1183</v>
      </c>
      <c r="B185" s="0" t="n">
        <v>4</v>
      </c>
      <c r="C185" s="0" t="s">
        <v>7</v>
      </c>
      <c r="D185" s="0" t="n">
        <v>214.9</v>
      </c>
      <c r="E185" s="0" t="s">
        <v>9</v>
      </c>
    </row>
    <row r="186" customFormat="false" ht="15" hidden="false" customHeight="false" outlineLevel="0" collapsed="false">
      <c r="A186" s="0" t="n">
        <v>1184</v>
      </c>
      <c r="B186" s="0" t="n">
        <v>1</v>
      </c>
      <c r="C186" s="0" t="s">
        <v>12</v>
      </c>
      <c r="D186" s="0" t="n">
        <v>1222.98</v>
      </c>
      <c r="E186" s="0" t="s">
        <v>9</v>
      </c>
    </row>
    <row r="187" customFormat="false" ht="15" hidden="false" customHeight="false" outlineLevel="0" collapsed="false">
      <c r="A187" s="0" t="n">
        <v>1185</v>
      </c>
      <c r="B187" s="0" t="n">
        <v>8</v>
      </c>
      <c r="C187" s="0" t="s">
        <v>12</v>
      </c>
      <c r="D187" s="0" t="n">
        <v>840.5</v>
      </c>
      <c r="E187" s="0" t="s">
        <v>6</v>
      </c>
    </row>
    <row r="188" customFormat="false" ht="15" hidden="false" customHeight="false" outlineLevel="0" collapsed="false">
      <c r="A188" s="0" t="n">
        <v>1186</v>
      </c>
      <c r="B188" s="0" t="n">
        <v>6</v>
      </c>
      <c r="C188" s="0" t="s">
        <v>8</v>
      </c>
      <c r="D188" s="0" t="n">
        <v>2980.18</v>
      </c>
      <c r="E188" s="0" t="s">
        <v>6</v>
      </c>
    </row>
    <row r="189" customFormat="false" ht="15" hidden="false" customHeight="false" outlineLevel="0" collapsed="false">
      <c r="A189" s="0" t="n">
        <v>1187</v>
      </c>
      <c r="B189" s="0" t="n">
        <v>5</v>
      </c>
      <c r="C189" s="0" t="s">
        <v>7</v>
      </c>
      <c r="D189" s="0" t="n">
        <v>3950.54</v>
      </c>
      <c r="E189" s="0" t="s">
        <v>6</v>
      </c>
    </row>
    <row r="190" customFormat="false" ht="15" hidden="false" customHeight="false" outlineLevel="0" collapsed="false">
      <c r="A190" s="0" t="n">
        <v>1188</v>
      </c>
      <c r="B190" s="0" t="n">
        <v>8</v>
      </c>
      <c r="C190" s="0" t="s">
        <v>12</v>
      </c>
      <c r="D190" s="0" t="n">
        <v>2814.39</v>
      </c>
      <c r="E190" s="0" t="s">
        <v>6</v>
      </c>
    </row>
    <row r="191" customFormat="false" ht="15" hidden="false" customHeight="false" outlineLevel="0" collapsed="false">
      <c r="A191" s="0" t="n">
        <v>1189</v>
      </c>
      <c r="B191" s="0" t="n">
        <v>6</v>
      </c>
      <c r="C191" s="0" t="s">
        <v>10</v>
      </c>
      <c r="D191" s="0" t="n">
        <v>4964.14</v>
      </c>
      <c r="E191" s="0" t="s">
        <v>6</v>
      </c>
    </row>
    <row r="192" customFormat="false" ht="15" hidden="false" customHeight="false" outlineLevel="0" collapsed="false">
      <c r="A192" s="0" t="n">
        <v>1190</v>
      </c>
      <c r="B192" s="0" t="n">
        <v>2</v>
      </c>
      <c r="C192" s="0" t="s">
        <v>8</v>
      </c>
      <c r="D192" s="0" t="n">
        <v>3418.35</v>
      </c>
      <c r="E192" s="0" t="s">
        <v>6</v>
      </c>
    </row>
    <row r="193" customFormat="false" ht="15" hidden="false" customHeight="false" outlineLevel="0" collapsed="false">
      <c r="A193" s="0" t="n">
        <v>1191</v>
      </c>
      <c r="B193" s="0" t="n">
        <v>10</v>
      </c>
      <c r="C193" s="0" t="s">
        <v>5</v>
      </c>
      <c r="D193" s="0" t="n">
        <v>38.21</v>
      </c>
      <c r="E193" s="0" t="s">
        <v>6</v>
      </c>
    </row>
    <row r="194" customFormat="false" ht="15" hidden="false" customHeight="false" outlineLevel="0" collapsed="false">
      <c r="A194" s="0" t="n">
        <v>1192</v>
      </c>
      <c r="B194" s="0" t="n">
        <v>11</v>
      </c>
      <c r="C194" s="0" t="s">
        <v>8</v>
      </c>
      <c r="D194" s="0" t="n">
        <v>114.99</v>
      </c>
      <c r="E194" s="0" t="s">
        <v>6</v>
      </c>
    </row>
    <row r="195" customFormat="false" ht="15" hidden="false" customHeight="false" outlineLevel="0" collapsed="false">
      <c r="A195" s="0" t="n">
        <v>1193</v>
      </c>
      <c r="B195" s="0" t="n">
        <v>8</v>
      </c>
      <c r="C195" s="0" t="s">
        <v>8</v>
      </c>
      <c r="D195" s="0" t="n">
        <v>961.74</v>
      </c>
      <c r="E195" s="0" t="s">
        <v>6</v>
      </c>
    </row>
    <row r="196" customFormat="false" ht="15" hidden="false" customHeight="false" outlineLevel="0" collapsed="false">
      <c r="A196" s="0" t="n">
        <v>1194</v>
      </c>
      <c r="B196" s="0" t="n">
        <v>4</v>
      </c>
      <c r="C196" s="0" t="s">
        <v>7</v>
      </c>
      <c r="D196" s="0" t="n">
        <v>1713.12</v>
      </c>
      <c r="E196" s="0" t="s">
        <v>9</v>
      </c>
    </row>
    <row r="197" customFormat="false" ht="15" hidden="false" customHeight="false" outlineLevel="0" collapsed="false">
      <c r="A197" s="0" t="n">
        <v>1195</v>
      </c>
      <c r="B197" s="0" t="n">
        <v>6</v>
      </c>
      <c r="C197" s="0" t="s">
        <v>10</v>
      </c>
      <c r="D197" s="0" t="n">
        <v>190.37</v>
      </c>
      <c r="E197" s="0" t="s">
        <v>6</v>
      </c>
    </row>
    <row r="198" customFormat="false" ht="15" hidden="false" customHeight="false" outlineLevel="0" collapsed="false">
      <c r="A198" s="0" t="n">
        <v>1196</v>
      </c>
      <c r="B198" s="0" t="n">
        <v>10</v>
      </c>
      <c r="C198" s="0" t="s">
        <v>10</v>
      </c>
      <c r="D198" s="0" t="n">
        <v>4733.77</v>
      </c>
      <c r="E198" s="0" t="s">
        <v>6</v>
      </c>
    </row>
    <row r="199" customFormat="false" ht="15" hidden="false" customHeight="false" outlineLevel="0" collapsed="false">
      <c r="A199" s="0" t="n">
        <v>1197</v>
      </c>
      <c r="B199" s="0" t="n">
        <v>5</v>
      </c>
      <c r="C199" s="0" t="s">
        <v>12</v>
      </c>
      <c r="D199" s="0" t="n">
        <v>4252.53</v>
      </c>
      <c r="E199" s="0" t="s">
        <v>6</v>
      </c>
    </row>
    <row r="200" customFormat="false" ht="15" hidden="false" customHeight="false" outlineLevel="0" collapsed="false">
      <c r="A200" s="0" t="n">
        <v>1198</v>
      </c>
      <c r="B200" s="0" t="n">
        <v>9</v>
      </c>
      <c r="C200" s="0" t="s">
        <v>7</v>
      </c>
      <c r="D200" s="0" t="n">
        <v>2745.37</v>
      </c>
      <c r="E200" s="0" t="s">
        <v>9</v>
      </c>
    </row>
    <row r="201" customFormat="false" ht="15" hidden="false" customHeight="false" outlineLevel="0" collapsed="false">
      <c r="A201" s="0" t="n">
        <v>1199</v>
      </c>
      <c r="B201" s="0" t="n">
        <v>3</v>
      </c>
      <c r="C201" s="0" t="s">
        <v>10</v>
      </c>
      <c r="D201" s="0" t="n">
        <v>4325.23</v>
      </c>
      <c r="E201" s="0" t="s">
        <v>9</v>
      </c>
    </row>
    <row r="202" customFormat="false" ht="15" hidden="false" customHeight="false" outlineLevel="0" collapsed="false">
      <c r="A202" s="0" t="n">
        <v>1200</v>
      </c>
      <c r="B202" s="0" t="n">
        <v>9</v>
      </c>
      <c r="C202" s="0" t="s">
        <v>11</v>
      </c>
      <c r="D202" s="0" t="n">
        <v>4619.05</v>
      </c>
      <c r="E202" s="0" t="s">
        <v>6</v>
      </c>
    </row>
    <row r="203" customFormat="false" ht="15" hidden="false" customHeight="false" outlineLevel="0" collapsed="false">
      <c r="A203" s="0" t="n">
        <v>1201</v>
      </c>
      <c r="B203" s="0" t="n">
        <v>7</v>
      </c>
      <c r="C203" s="0" t="s">
        <v>7</v>
      </c>
      <c r="D203" s="0" t="n">
        <v>1162.44</v>
      </c>
      <c r="E203" s="0" t="s">
        <v>9</v>
      </c>
    </row>
    <row r="204" customFormat="false" ht="15" hidden="false" customHeight="false" outlineLevel="0" collapsed="false">
      <c r="A204" s="0" t="n">
        <v>1202</v>
      </c>
      <c r="B204" s="0" t="n">
        <v>6</v>
      </c>
      <c r="C204" s="0" t="s">
        <v>11</v>
      </c>
      <c r="D204" s="0" t="n">
        <v>4108.24</v>
      </c>
      <c r="E204" s="0" t="s">
        <v>9</v>
      </c>
    </row>
    <row r="205" customFormat="false" ht="15" hidden="false" customHeight="false" outlineLevel="0" collapsed="false">
      <c r="A205" s="0" t="n">
        <v>1203</v>
      </c>
      <c r="B205" s="0" t="n">
        <v>8</v>
      </c>
      <c r="C205" s="0" t="s">
        <v>8</v>
      </c>
      <c r="D205" s="0" t="n">
        <v>786.37</v>
      </c>
      <c r="E205" s="0" t="s">
        <v>6</v>
      </c>
    </row>
    <row r="206" customFormat="false" ht="15" hidden="false" customHeight="false" outlineLevel="0" collapsed="false">
      <c r="A206" s="0" t="n">
        <v>1204</v>
      </c>
      <c r="B206" s="0" t="n">
        <v>8</v>
      </c>
      <c r="C206" s="0" t="s">
        <v>8</v>
      </c>
      <c r="D206" s="0" t="n">
        <v>3797.09</v>
      </c>
      <c r="E206" s="0" t="s">
        <v>6</v>
      </c>
    </row>
    <row r="207" customFormat="false" ht="15" hidden="false" customHeight="false" outlineLevel="0" collapsed="false">
      <c r="A207" s="0" t="n">
        <v>1205</v>
      </c>
      <c r="B207" s="0" t="n">
        <v>6</v>
      </c>
      <c r="C207" s="0" t="s">
        <v>12</v>
      </c>
      <c r="D207" s="0" t="n">
        <v>3011.41</v>
      </c>
      <c r="E207" s="0" t="s">
        <v>6</v>
      </c>
    </row>
    <row r="208" customFormat="false" ht="15" hidden="false" customHeight="false" outlineLevel="0" collapsed="false">
      <c r="A208" s="0" t="n">
        <v>1206</v>
      </c>
      <c r="B208" s="0" t="n">
        <v>10</v>
      </c>
      <c r="C208" s="0" t="s">
        <v>8</v>
      </c>
      <c r="D208" s="0" t="n">
        <v>2260.52</v>
      </c>
      <c r="E208" s="0" t="s">
        <v>6</v>
      </c>
    </row>
    <row r="209" customFormat="false" ht="15" hidden="false" customHeight="false" outlineLevel="0" collapsed="false">
      <c r="A209" s="0" t="n">
        <v>1207</v>
      </c>
      <c r="B209" s="0" t="n">
        <v>6</v>
      </c>
      <c r="C209" s="0" t="s">
        <v>8</v>
      </c>
      <c r="D209" s="0" t="n">
        <v>378.84</v>
      </c>
      <c r="E209" s="0" t="s">
        <v>9</v>
      </c>
    </row>
    <row r="210" customFormat="false" ht="15" hidden="false" customHeight="false" outlineLevel="0" collapsed="false">
      <c r="A210" s="0" t="n">
        <v>1208</v>
      </c>
      <c r="B210" s="0" t="n">
        <v>2</v>
      </c>
      <c r="C210" s="0" t="s">
        <v>11</v>
      </c>
      <c r="D210" s="0" t="n">
        <v>2853.09</v>
      </c>
      <c r="E210" s="0" t="s">
        <v>6</v>
      </c>
    </row>
    <row r="211" customFormat="false" ht="15" hidden="false" customHeight="false" outlineLevel="0" collapsed="false">
      <c r="A211" s="0" t="n">
        <v>1209</v>
      </c>
      <c r="B211" s="0" t="n">
        <v>8</v>
      </c>
      <c r="C211" s="0" t="s">
        <v>8</v>
      </c>
      <c r="D211" s="0" t="n">
        <v>4113.21</v>
      </c>
      <c r="E211" s="0" t="s">
        <v>6</v>
      </c>
    </row>
    <row r="212" customFormat="false" ht="15" hidden="false" customHeight="false" outlineLevel="0" collapsed="false">
      <c r="A212" s="0" t="n">
        <v>1210</v>
      </c>
      <c r="B212" s="0" t="n">
        <v>4</v>
      </c>
      <c r="C212" s="0" t="s">
        <v>10</v>
      </c>
      <c r="D212" s="0" t="n">
        <v>263.12</v>
      </c>
      <c r="E212" s="0" t="s">
        <v>6</v>
      </c>
    </row>
    <row r="213" customFormat="false" ht="15" hidden="false" customHeight="false" outlineLevel="0" collapsed="false">
      <c r="A213" s="0" t="n">
        <v>1211</v>
      </c>
      <c r="B213" s="0" t="n">
        <v>11</v>
      </c>
      <c r="C213" s="0" t="s">
        <v>12</v>
      </c>
      <c r="D213" s="0" t="n">
        <v>2936.08</v>
      </c>
      <c r="E213" s="0" t="s">
        <v>6</v>
      </c>
    </row>
    <row r="214" customFormat="false" ht="15" hidden="false" customHeight="false" outlineLevel="0" collapsed="false">
      <c r="A214" s="0" t="n">
        <v>1212</v>
      </c>
      <c r="B214" s="0" t="n">
        <v>2</v>
      </c>
      <c r="C214" s="0" t="s">
        <v>12</v>
      </c>
      <c r="D214" s="0" t="n">
        <v>1451.76</v>
      </c>
      <c r="E214" s="0" t="s">
        <v>6</v>
      </c>
    </row>
    <row r="215" customFormat="false" ht="15" hidden="false" customHeight="false" outlineLevel="0" collapsed="false">
      <c r="A215" s="0" t="n">
        <v>1213</v>
      </c>
      <c r="B215" s="0" t="n">
        <v>4</v>
      </c>
      <c r="C215" s="0" t="s">
        <v>5</v>
      </c>
      <c r="D215" s="0" t="n">
        <v>2587.52</v>
      </c>
      <c r="E215" s="0" t="s">
        <v>6</v>
      </c>
    </row>
    <row r="216" customFormat="false" ht="15" hidden="false" customHeight="false" outlineLevel="0" collapsed="false">
      <c r="A216" s="0" t="n">
        <v>1214</v>
      </c>
      <c r="B216" s="0" t="n">
        <v>9</v>
      </c>
      <c r="C216" s="0" t="s">
        <v>12</v>
      </c>
      <c r="D216" s="0" t="n">
        <v>2348.07</v>
      </c>
      <c r="E216" s="0" t="s">
        <v>6</v>
      </c>
    </row>
    <row r="217" customFormat="false" ht="15" hidden="false" customHeight="false" outlineLevel="0" collapsed="false">
      <c r="A217" s="0" t="n">
        <v>1215</v>
      </c>
      <c r="B217" s="0" t="n">
        <v>1</v>
      </c>
      <c r="C217" s="0" t="s">
        <v>8</v>
      </c>
      <c r="D217" s="0" t="n">
        <v>2998.79</v>
      </c>
      <c r="E217" s="0" t="s">
        <v>6</v>
      </c>
    </row>
    <row r="218" customFormat="false" ht="15" hidden="false" customHeight="false" outlineLevel="0" collapsed="false">
      <c r="A218" s="0" t="n">
        <v>1216</v>
      </c>
      <c r="B218" s="0" t="n">
        <v>4</v>
      </c>
      <c r="C218" s="0" t="s">
        <v>11</v>
      </c>
      <c r="D218" s="0" t="n">
        <v>447.15</v>
      </c>
      <c r="E218" s="0" t="s">
        <v>9</v>
      </c>
    </row>
    <row r="219" customFormat="false" ht="15" hidden="false" customHeight="false" outlineLevel="0" collapsed="false">
      <c r="A219" s="0" t="n">
        <v>1217</v>
      </c>
      <c r="B219" s="0" t="n">
        <v>7</v>
      </c>
      <c r="C219" s="0" t="s">
        <v>12</v>
      </c>
      <c r="D219" s="0" t="n">
        <v>4130.79</v>
      </c>
      <c r="E219" s="0" t="s">
        <v>6</v>
      </c>
    </row>
    <row r="220" customFormat="false" ht="15" hidden="false" customHeight="false" outlineLevel="0" collapsed="false">
      <c r="A220" s="0" t="n">
        <v>1218</v>
      </c>
      <c r="B220" s="0" t="n">
        <v>11</v>
      </c>
      <c r="C220" s="0" t="s">
        <v>7</v>
      </c>
      <c r="D220" s="0" t="n">
        <v>3811.78</v>
      </c>
      <c r="E220" s="0" t="s">
        <v>6</v>
      </c>
    </row>
    <row r="221" customFormat="false" ht="15" hidden="false" customHeight="false" outlineLevel="0" collapsed="false">
      <c r="A221" s="0" t="n">
        <v>1219</v>
      </c>
      <c r="B221" s="0" t="n">
        <v>7</v>
      </c>
      <c r="C221" s="0" t="s">
        <v>5</v>
      </c>
      <c r="D221" s="0" t="n">
        <v>3312.15</v>
      </c>
      <c r="E221" s="0" t="s">
        <v>6</v>
      </c>
    </row>
    <row r="222" customFormat="false" ht="15" hidden="false" customHeight="false" outlineLevel="0" collapsed="false">
      <c r="A222" s="0" t="n">
        <v>1220</v>
      </c>
      <c r="B222" s="0" t="n">
        <v>5</v>
      </c>
      <c r="C222" s="0" t="s">
        <v>5</v>
      </c>
      <c r="D222" s="0" t="n">
        <v>2229.65</v>
      </c>
      <c r="E222" s="0" t="s">
        <v>9</v>
      </c>
    </row>
    <row r="223" customFormat="false" ht="15" hidden="false" customHeight="false" outlineLevel="0" collapsed="false">
      <c r="A223" s="0" t="n">
        <v>1221</v>
      </c>
      <c r="B223" s="0" t="n">
        <v>4</v>
      </c>
      <c r="C223" s="0" t="s">
        <v>8</v>
      </c>
      <c r="D223" s="0" t="n">
        <v>2705.13</v>
      </c>
      <c r="E223" s="0" t="s">
        <v>9</v>
      </c>
    </row>
    <row r="224" customFormat="false" ht="15" hidden="false" customHeight="false" outlineLevel="0" collapsed="false">
      <c r="A224" s="0" t="n">
        <v>1222</v>
      </c>
      <c r="B224" s="0" t="n">
        <v>5</v>
      </c>
      <c r="C224" s="0" t="s">
        <v>10</v>
      </c>
      <c r="D224" s="0" t="n">
        <v>3220.44</v>
      </c>
      <c r="E224" s="0" t="s">
        <v>6</v>
      </c>
    </row>
    <row r="225" customFormat="false" ht="15" hidden="false" customHeight="false" outlineLevel="0" collapsed="false">
      <c r="A225" s="0" t="n">
        <v>1223</v>
      </c>
      <c r="B225" s="0" t="n">
        <v>6</v>
      </c>
      <c r="C225" s="0" t="s">
        <v>12</v>
      </c>
      <c r="D225" s="0" t="n">
        <v>2433.02</v>
      </c>
      <c r="E225" s="0" t="s">
        <v>6</v>
      </c>
    </row>
    <row r="226" customFormat="false" ht="15" hidden="false" customHeight="false" outlineLevel="0" collapsed="false">
      <c r="A226" s="0" t="n">
        <v>1224</v>
      </c>
      <c r="B226" s="0" t="n">
        <v>9</v>
      </c>
      <c r="C226" s="0" t="s">
        <v>10</v>
      </c>
      <c r="D226" s="0" t="n">
        <v>3681.88</v>
      </c>
      <c r="E226" s="0" t="s">
        <v>9</v>
      </c>
    </row>
    <row r="227" customFormat="false" ht="15" hidden="false" customHeight="false" outlineLevel="0" collapsed="false">
      <c r="A227" s="0" t="n">
        <v>1225</v>
      </c>
      <c r="B227" s="0" t="n">
        <v>11</v>
      </c>
      <c r="C227" s="0" t="s">
        <v>8</v>
      </c>
      <c r="D227" s="0" t="n">
        <v>3037.23</v>
      </c>
      <c r="E227" s="0" t="s">
        <v>6</v>
      </c>
    </row>
    <row r="228" customFormat="false" ht="15" hidden="false" customHeight="false" outlineLevel="0" collapsed="false">
      <c r="A228" s="0" t="n">
        <v>1226</v>
      </c>
      <c r="B228" s="0" t="n">
        <v>4</v>
      </c>
      <c r="C228" s="0" t="s">
        <v>11</v>
      </c>
      <c r="D228" s="0" t="n">
        <v>4193.07</v>
      </c>
      <c r="E228" s="0" t="s">
        <v>6</v>
      </c>
    </row>
    <row r="229" customFormat="false" ht="15" hidden="false" customHeight="false" outlineLevel="0" collapsed="false">
      <c r="A229" s="0" t="n">
        <v>1227</v>
      </c>
      <c r="B229" s="0" t="n">
        <v>6</v>
      </c>
      <c r="C229" s="0" t="s">
        <v>12</v>
      </c>
      <c r="D229" s="0" t="n">
        <v>2165.53</v>
      </c>
      <c r="E229" s="0" t="s">
        <v>6</v>
      </c>
    </row>
    <row r="230" customFormat="false" ht="15" hidden="false" customHeight="false" outlineLevel="0" collapsed="false">
      <c r="A230" s="0" t="n">
        <v>1228</v>
      </c>
      <c r="B230" s="0" t="n">
        <v>5</v>
      </c>
      <c r="C230" s="0" t="s">
        <v>12</v>
      </c>
      <c r="D230" s="0" t="n">
        <v>1629.69</v>
      </c>
      <c r="E230" s="0" t="s">
        <v>6</v>
      </c>
    </row>
    <row r="231" customFormat="false" ht="15" hidden="false" customHeight="false" outlineLevel="0" collapsed="false">
      <c r="A231" s="0" t="n">
        <v>1229</v>
      </c>
      <c r="B231" s="0" t="n">
        <v>12</v>
      </c>
      <c r="C231" s="0" t="s">
        <v>12</v>
      </c>
      <c r="D231" s="0" t="n">
        <v>4376.11</v>
      </c>
      <c r="E231" s="0" t="s">
        <v>9</v>
      </c>
    </row>
    <row r="232" customFormat="false" ht="15" hidden="false" customHeight="false" outlineLevel="0" collapsed="false">
      <c r="A232" s="0" t="n">
        <v>1230</v>
      </c>
      <c r="B232" s="0" t="n">
        <v>12</v>
      </c>
      <c r="C232" s="0" t="s">
        <v>5</v>
      </c>
      <c r="D232" s="0" t="n">
        <v>4265.78</v>
      </c>
      <c r="E232" s="0" t="s">
        <v>6</v>
      </c>
    </row>
    <row r="233" customFormat="false" ht="15" hidden="false" customHeight="false" outlineLevel="0" collapsed="false">
      <c r="A233" s="0" t="n">
        <v>1231</v>
      </c>
      <c r="B233" s="0" t="n">
        <v>4</v>
      </c>
      <c r="C233" s="0" t="s">
        <v>5</v>
      </c>
      <c r="D233" s="0" t="n">
        <v>4749.03</v>
      </c>
      <c r="E233" s="0" t="s">
        <v>9</v>
      </c>
    </row>
    <row r="234" customFormat="false" ht="15" hidden="false" customHeight="false" outlineLevel="0" collapsed="false">
      <c r="A234" s="0" t="n">
        <v>1232</v>
      </c>
      <c r="B234" s="0" t="n">
        <v>7</v>
      </c>
      <c r="C234" s="0" t="s">
        <v>7</v>
      </c>
      <c r="D234" s="0" t="n">
        <v>4986.56</v>
      </c>
      <c r="E234" s="0" t="s">
        <v>6</v>
      </c>
    </row>
    <row r="235" customFormat="false" ht="15" hidden="false" customHeight="false" outlineLevel="0" collapsed="false">
      <c r="A235" s="0" t="n">
        <v>1233</v>
      </c>
      <c r="B235" s="0" t="n">
        <v>5</v>
      </c>
      <c r="C235" s="0" t="s">
        <v>8</v>
      </c>
      <c r="D235" s="0" t="n">
        <v>939.24</v>
      </c>
      <c r="E235" s="0" t="s">
        <v>6</v>
      </c>
    </row>
    <row r="236" customFormat="false" ht="15" hidden="false" customHeight="false" outlineLevel="0" collapsed="false">
      <c r="A236" s="0" t="n">
        <v>1234</v>
      </c>
      <c r="B236" s="0" t="n">
        <v>1</v>
      </c>
      <c r="C236" s="0" t="s">
        <v>10</v>
      </c>
      <c r="D236" s="0" t="n">
        <v>770.41</v>
      </c>
      <c r="E236" s="0" t="s">
        <v>6</v>
      </c>
    </row>
    <row r="237" customFormat="false" ht="15" hidden="false" customHeight="false" outlineLevel="0" collapsed="false">
      <c r="A237" s="0" t="n">
        <v>1235</v>
      </c>
      <c r="B237" s="0" t="n">
        <v>11</v>
      </c>
      <c r="C237" s="0" t="s">
        <v>7</v>
      </c>
      <c r="D237" s="0" t="n">
        <v>222</v>
      </c>
      <c r="E237" s="0" t="s">
        <v>6</v>
      </c>
    </row>
    <row r="238" customFormat="false" ht="15" hidden="false" customHeight="false" outlineLevel="0" collapsed="false">
      <c r="A238" s="0" t="n">
        <v>1236</v>
      </c>
      <c r="B238" s="0" t="n">
        <v>5</v>
      </c>
      <c r="C238" s="0" t="s">
        <v>7</v>
      </c>
      <c r="D238" s="0" t="n">
        <v>2173.32</v>
      </c>
      <c r="E238" s="0" t="s">
        <v>6</v>
      </c>
    </row>
    <row r="239" customFormat="false" ht="15" hidden="false" customHeight="false" outlineLevel="0" collapsed="false">
      <c r="A239" s="0" t="n">
        <v>1237</v>
      </c>
      <c r="B239" s="0" t="n">
        <v>8</v>
      </c>
      <c r="C239" s="0" t="s">
        <v>10</v>
      </c>
      <c r="D239" s="0" t="n">
        <v>999.75</v>
      </c>
      <c r="E239" s="0" t="s">
        <v>6</v>
      </c>
    </row>
    <row r="240" customFormat="false" ht="15" hidden="false" customHeight="false" outlineLevel="0" collapsed="false">
      <c r="A240" s="0" t="n">
        <v>1238</v>
      </c>
      <c r="B240" s="0" t="n">
        <v>3</v>
      </c>
      <c r="C240" s="0" t="s">
        <v>8</v>
      </c>
      <c r="D240" s="0" t="n">
        <v>2231.46</v>
      </c>
      <c r="E240" s="0" t="s">
        <v>9</v>
      </c>
    </row>
    <row r="241" customFormat="false" ht="15" hidden="false" customHeight="false" outlineLevel="0" collapsed="false">
      <c r="A241" s="0" t="n">
        <v>1239</v>
      </c>
      <c r="B241" s="0" t="n">
        <v>8</v>
      </c>
      <c r="C241" s="0" t="s">
        <v>8</v>
      </c>
      <c r="D241" s="0" t="n">
        <v>1043.93</v>
      </c>
      <c r="E241" s="0" t="s">
        <v>9</v>
      </c>
    </row>
    <row r="242" customFormat="false" ht="15" hidden="false" customHeight="false" outlineLevel="0" collapsed="false">
      <c r="A242" s="0" t="n">
        <v>1240</v>
      </c>
      <c r="B242" s="0" t="n">
        <v>12</v>
      </c>
      <c r="C242" s="0" t="s">
        <v>11</v>
      </c>
      <c r="D242" s="0" t="n">
        <v>4882.49</v>
      </c>
      <c r="E242" s="0" t="s">
        <v>6</v>
      </c>
    </row>
    <row r="243" customFormat="false" ht="15" hidden="false" customHeight="false" outlineLevel="0" collapsed="false">
      <c r="A243" s="0" t="n">
        <v>1241</v>
      </c>
      <c r="B243" s="0" t="n">
        <v>3</v>
      </c>
      <c r="C243" s="0" t="s">
        <v>7</v>
      </c>
      <c r="D243" s="0" t="n">
        <v>1573.46</v>
      </c>
      <c r="E243" s="0" t="s">
        <v>9</v>
      </c>
    </row>
    <row r="244" customFormat="false" ht="15" hidden="false" customHeight="false" outlineLevel="0" collapsed="false">
      <c r="A244" s="0" t="n">
        <v>1242</v>
      </c>
      <c r="B244" s="0" t="n">
        <v>8</v>
      </c>
      <c r="C244" s="0" t="s">
        <v>5</v>
      </c>
      <c r="D244" s="0" t="n">
        <v>4992.91</v>
      </c>
      <c r="E244" s="0" t="s">
        <v>6</v>
      </c>
    </row>
    <row r="245" customFormat="false" ht="15" hidden="false" customHeight="false" outlineLevel="0" collapsed="false">
      <c r="A245" s="0" t="n">
        <v>1243</v>
      </c>
      <c r="B245" s="0" t="n">
        <v>6</v>
      </c>
      <c r="C245" s="0" t="s">
        <v>11</v>
      </c>
      <c r="D245" s="0" t="n">
        <v>1440.23</v>
      </c>
      <c r="E245" s="0" t="s">
        <v>9</v>
      </c>
    </row>
    <row r="246" customFormat="false" ht="15" hidden="false" customHeight="false" outlineLevel="0" collapsed="false">
      <c r="A246" s="0" t="n">
        <v>1244</v>
      </c>
      <c r="B246" s="0" t="n">
        <v>6</v>
      </c>
      <c r="C246" s="0" t="s">
        <v>11</v>
      </c>
      <c r="D246" s="0" t="n">
        <v>4039.55</v>
      </c>
      <c r="E246" s="0" t="s">
        <v>6</v>
      </c>
    </row>
    <row r="247" customFormat="false" ht="15" hidden="false" customHeight="false" outlineLevel="0" collapsed="false">
      <c r="A247" s="0" t="n">
        <v>1245</v>
      </c>
      <c r="B247" s="0" t="n">
        <v>12</v>
      </c>
      <c r="C247" s="0" t="s">
        <v>12</v>
      </c>
      <c r="D247" s="0" t="n">
        <v>4652.05</v>
      </c>
      <c r="E247" s="0" t="s">
        <v>6</v>
      </c>
    </row>
    <row r="248" customFormat="false" ht="15" hidden="false" customHeight="false" outlineLevel="0" collapsed="false">
      <c r="A248" s="0" t="n">
        <v>1246</v>
      </c>
      <c r="B248" s="0" t="n">
        <v>1</v>
      </c>
      <c r="C248" s="0" t="s">
        <v>12</v>
      </c>
      <c r="D248" s="0" t="n">
        <v>3152.78</v>
      </c>
      <c r="E248" s="0" t="s">
        <v>6</v>
      </c>
    </row>
    <row r="249" customFormat="false" ht="15" hidden="false" customHeight="false" outlineLevel="0" collapsed="false">
      <c r="A249" s="0" t="n">
        <v>1247</v>
      </c>
      <c r="B249" s="0" t="n">
        <v>9</v>
      </c>
      <c r="C249" s="0" t="s">
        <v>8</v>
      </c>
      <c r="D249" s="0" t="n">
        <v>845.33</v>
      </c>
      <c r="E249" s="0" t="s">
        <v>6</v>
      </c>
    </row>
    <row r="250" customFormat="false" ht="15" hidden="false" customHeight="false" outlineLevel="0" collapsed="false">
      <c r="A250" s="0" t="n">
        <v>1248</v>
      </c>
      <c r="B250" s="0" t="n">
        <v>1</v>
      </c>
      <c r="C250" s="0" t="s">
        <v>12</v>
      </c>
      <c r="D250" s="0" t="n">
        <v>4918.7</v>
      </c>
      <c r="E250" s="0" t="s">
        <v>9</v>
      </c>
    </row>
    <row r="251" customFormat="false" ht="15" hidden="false" customHeight="false" outlineLevel="0" collapsed="false">
      <c r="A251" s="0" t="n">
        <v>1249</v>
      </c>
      <c r="B251" s="0" t="n">
        <v>6</v>
      </c>
      <c r="C251" s="0" t="s">
        <v>11</v>
      </c>
      <c r="D251" s="0" t="n">
        <v>4896.59</v>
      </c>
      <c r="E251" s="0" t="s">
        <v>6</v>
      </c>
    </row>
    <row r="252" customFormat="false" ht="15" hidden="false" customHeight="false" outlineLevel="0" collapsed="false">
      <c r="A252" s="0" t="n">
        <v>1250</v>
      </c>
      <c r="B252" s="0" t="n">
        <v>8</v>
      </c>
      <c r="C252" s="0" t="s">
        <v>12</v>
      </c>
      <c r="D252" s="0" t="n">
        <v>1208.93</v>
      </c>
      <c r="E252" s="0" t="s">
        <v>6</v>
      </c>
    </row>
    <row r="253" customFormat="false" ht="15" hidden="false" customHeight="false" outlineLevel="0" collapsed="false">
      <c r="A253" s="0" t="n">
        <v>1251</v>
      </c>
      <c r="B253" s="0" t="n">
        <v>7</v>
      </c>
      <c r="C253" s="0" t="s">
        <v>11</v>
      </c>
      <c r="D253" s="0" t="n">
        <v>4180.95</v>
      </c>
      <c r="E253" s="0" t="s">
        <v>6</v>
      </c>
    </row>
    <row r="254" customFormat="false" ht="15" hidden="false" customHeight="false" outlineLevel="0" collapsed="false">
      <c r="A254" s="0" t="n">
        <v>1252</v>
      </c>
      <c r="B254" s="0" t="n">
        <v>8</v>
      </c>
      <c r="C254" s="0" t="s">
        <v>11</v>
      </c>
      <c r="D254" s="0" t="n">
        <v>1323.37</v>
      </c>
      <c r="E254" s="0" t="s">
        <v>9</v>
      </c>
    </row>
    <row r="255" customFormat="false" ht="15" hidden="false" customHeight="false" outlineLevel="0" collapsed="false">
      <c r="A255" s="0" t="n">
        <v>1253</v>
      </c>
      <c r="B255" s="0" t="n">
        <v>7</v>
      </c>
      <c r="C255" s="0" t="s">
        <v>10</v>
      </c>
      <c r="D255" s="0" t="n">
        <v>1316.57</v>
      </c>
      <c r="E255" s="0" t="s">
        <v>6</v>
      </c>
    </row>
    <row r="256" customFormat="false" ht="15" hidden="false" customHeight="false" outlineLevel="0" collapsed="false">
      <c r="A256" s="0" t="n">
        <v>1254</v>
      </c>
      <c r="B256" s="0" t="n">
        <v>1</v>
      </c>
      <c r="C256" s="0" t="s">
        <v>7</v>
      </c>
      <c r="D256" s="0" t="n">
        <v>205.83</v>
      </c>
      <c r="E256" s="0" t="s">
        <v>6</v>
      </c>
    </row>
    <row r="257" customFormat="false" ht="15" hidden="false" customHeight="false" outlineLevel="0" collapsed="false">
      <c r="A257" s="0" t="n">
        <v>1255</v>
      </c>
      <c r="B257" s="0" t="n">
        <v>10</v>
      </c>
      <c r="C257" s="0" t="s">
        <v>12</v>
      </c>
      <c r="D257" s="0" t="n">
        <v>4768.57</v>
      </c>
      <c r="E257" s="0" t="s">
        <v>9</v>
      </c>
    </row>
    <row r="258" customFormat="false" ht="15" hidden="false" customHeight="false" outlineLevel="0" collapsed="false">
      <c r="A258" s="0" t="n">
        <v>1256</v>
      </c>
      <c r="B258" s="0" t="n">
        <v>9</v>
      </c>
      <c r="C258" s="0" t="s">
        <v>11</v>
      </c>
      <c r="D258" s="0" t="n">
        <v>2768.25</v>
      </c>
      <c r="E258" s="0" t="s">
        <v>6</v>
      </c>
    </row>
    <row r="259" customFormat="false" ht="15" hidden="false" customHeight="false" outlineLevel="0" collapsed="false">
      <c r="A259" s="0" t="n">
        <v>1257</v>
      </c>
      <c r="B259" s="0" t="n">
        <v>1</v>
      </c>
      <c r="C259" s="0" t="s">
        <v>12</v>
      </c>
      <c r="D259" s="0" t="n">
        <v>245.9</v>
      </c>
      <c r="E259" s="0" t="s">
        <v>9</v>
      </c>
    </row>
    <row r="260" customFormat="false" ht="15" hidden="false" customHeight="false" outlineLevel="0" collapsed="false">
      <c r="A260" s="0" t="n">
        <v>1258</v>
      </c>
      <c r="B260" s="0" t="n">
        <v>11</v>
      </c>
      <c r="C260" s="0" t="s">
        <v>8</v>
      </c>
      <c r="D260" s="0" t="n">
        <v>4486.93</v>
      </c>
      <c r="E260" s="0" t="s">
        <v>9</v>
      </c>
    </row>
    <row r="261" customFormat="false" ht="15" hidden="false" customHeight="false" outlineLevel="0" collapsed="false">
      <c r="A261" s="0" t="n">
        <v>1259</v>
      </c>
      <c r="B261" s="0" t="n">
        <v>8</v>
      </c>
      <c r="C261" s="0" t="s">
        <v>5</v>
      </c>
      <c r="D261" s="0" t="n">
        <v>3334.12</v>
      </c>
      <c r="E261" s="0" t="s">
        <v>9</v>
      </c>
    </row>
    <row r="262" customFormat="false" ht="15" hidden="false" customHeight="false" outlineLevel="0" collapsed="false">
      <c r="A262" s="0" t="n">
        <v>1260</v>
      </c>
      <c r="B262" s="0" t="n">
        <v>6</v>
      </c>
      <c r="C262" s="0" t="s">
        <v>5</v>
      </c>
      <c r="D262" s="0" t="n">
        <v>3168.11</v>
      </c>
      <c r="E262" s="0" t="s">
        <v>6</v>
      </c>
    </row>
    <row r="263" customFormat="false" ht="15" hidden="false" customHeight="false" outlineLevel="0" collapsed="false">
      <c r="A263" s="0" t="n">
        <v>1261</v>
      </c>
      <c r="B263" s="0" t="n">
        <v>3</v>
      </c>
      <c r="C263" s="0" t="s">
        <v>8</v>
      </c>
      <c r="D263" s="0" t="n">
        <v>3425.27</v>
      </c>
      <c r="E263" s="0" t="s">
        <v>6</v>
      </c>
    </row>
    <row r="264" customFormat="false" ht="15" hidden="false" customHeight="false" outlineLevel="0" collapsed="false">
      <c r="A264" s="0" t="n">
        <v>1262</v>
      </c>
      <c r="B264" s="0" t="n">
        <v>7</v>
      </c>
      <c r="C264" s="0" t="s">
        <v>11</v>
      </c>
      <c r="D264" s="0" t="n">
        <v>2231.68</v>
      </c>
      <c r="E264" s="0" t="s">
        <v>6</v>
      </c>
    </row>
    <row r="265" customFormat="false" ht="15" hidden="false" customHeight="false" outlineLevel="0" collapsed="false">
      <c r="A265" s="0" t="n">
        <v>1263</v>
      </c>
      <c r="B265" s="0" t="n">
        <v>5</v>
      </c>
      <c r="C265" s="0" t="s">
        <v>7</v>
      </c>
      <c r="D265" s="0" t="n">
        <v>1429.52</v>
      </c>
      <c r="E265" s="0" t="s">
        <v>6</v>
      </c>
    </row>
    <row r="266" customFormat="false" ht="15" hidden="false" customHeight="false" outlineLevel="0" collapsed="false">
      <c r="A266" s="0" t="n">
        <v>1264</v>
      </c>
      <c r="B266" s="0" t="n">
        <v>10</v>
      </c>
      <c r="C266" s="0" t="s">
        <v>11</v>
      </c>
      <c r="D266" s="0" t="n">
        <v>715.46</v>
      </c>
      <c r="E266" s="0" t="s">
        <v>6</v>
      </c>
    </row>
    <row r="267" customFormat="false" ht="15" hidden="false" customHeight="false" outlineLevel="0" collapsed="false">
      <c r="A267" s="0" t="n">
        <v>1265</v>
      </c>
      <c r="B267" s="0" t="n">
        <v>7</v>
      </c>
      <c r="C267" s="0" t="s">
        <v>7</v>
      </c>
      <c r="D267" s="0" t="n">
        <v>4258.32</v>
      </c>
      <c r="E267" s="0" t="s">
        <v>9</v>
      </c>
    </row>
    <row r="268" customFormat="false" ht="15" hidden="false" customHeight="false" outlineLevel="0" collapsed="false">
      <c r="A268" s="0" t="n">
        <v>1266</v>
      </c>
      <c r="B268" s="0" t="n">
        <v>10</v>
      </c>
      <c r="C268" s="0" t="s">
        <v>5</v>
      </c>
      <c r="D268" s="0" t="n">
        <v>1381.47</v>
      </c>
      <c r="E268" s="0" t="s">
        <v>6</v>
      </c>
    </row>
    <row r="269" customFormat="false" ht="15" hidden="false" customHeight="false" outlineLevel="0" collapsed="false">
      <c r="A269" s="0" t="n">
        <v>1267</v>
      </c>
      <c r="B269" s="0" t="n">
        <v>10</v>
      </c>
      <c r="C269" s="0" t="s">
        <v>5</v>
      </c>
      <c r="D269" s="0" t="n">
        <v>2757.75</v>
      </c>
      <c r="E269" s="0" t="s">
        <v>9</v>
      </c>
    </row>
    <row r="270" customFormat="false" ht="15" hidden="false" customHeight="false" outlineLevel="0" collapsed="false">
      <c r="A270" s="0" t="n">
        <v>1268</v>
      </c>
      <c r="B270" s="0" t="n">
        <v>3</v>
      </c>
      <c r="C270" s="0" t="s">
        <v>11</v>
      </c>
      <c r="D270" s="0" t="n">
        <v>3931.89</v>
      </c>
      <c r="E270" s="0" t="s">
        <v>6</v>
      </c>
    </row>
    <row r="271" customFormat="false" ht="15" hidden="false" customHeight="false" outlineLevel="0" collapsed="false">
      <c r="A271" s="0" t="n">
        <v>1269</v>
      </c>
      <c r="B271" s="0" t="n">
        <v>2</v>
      </c>
      <c r="C271" s="0" t="s">
        <v>7</v>
      </c>
      <c r="D271" s="0" t="n">
        <v>3350.09</v>
      </c>
      <c r="E271" s="0" t="s">
        <v>6</v>
      </c>
    </row>
    <row r="272" customFormat="false" ht="15" hidden="false" customHeight="false" outlineLevel="0" collapsed="false">
      <c r="A272" s="0" t="n">
        <v>1270</v>
      </c>
      <c r="B272" s="0" t="n">
        <v>1</v>
      </c>
      <c r="C272" s="0" t="s">
        <v>5</v>
      </c>
      <c r="D272" s="0" t="n">
        <v>2445.27</v>
      </c>
      <c r="E272" s="0" t="s">
        <v>9</v>
      </c>
    </row>
    <row r="273" customFormat="false" ht="15" hidden="false" customHeight="false" outlineLevel="0" collapsed="false">
      <c r="A273" s="0" t="n">
        <v>1271</v>
      </c>
      <c r="B273" s="0" t="n">
        <v>4</v>
      </c>
      <c r="C273" s="0" t="s">
        <v>11</v>
      </c>
      <c r="D273" s="0" t="n">
        <v>4605.13</v>
      </c>
      <c r="E273" s="0" t="s">
        <v>6</v>
      </c>
    </row>
    <row r="274" customFormat="false" ht="15" hidden="false" customHeight="false" outlineLevel="0" collapsed="false">
      <c r="A274" s="0" t="n">
        <v>1272</v>
      </c>
      <c r="B274" s="0" t="n">
        <v>11</v>
      </c>
      <c r="C274" s="0" t="s">
        <v>7</v>
      </c>
      <c r="D274" s="0" t="n">
        <v>4708.8</v>
      </c>
      <c r="E274" s="0" t="s">
        <v>9</v>
      </c>
    </row>
    <row r="275" customFormat="false" ht="15" hidden="false" customHeight="false" outlineLevel="0" collapsed="false">
      <c r="A275" s="0" t="n">
        <v>1273</v>
      </c>
      <c r="B275" s="0" t="n">
        <v>6</v>
      </c>
      <c r="C275" s="0" t="s">
        <v>8</v>
      </c>
      <c r="D275" s="0" t="n">
        <v>1369.02</v>
      </c>
      <c r="E275" s="0" t="s">
        <v>6</v>
      </c>
    </row>
    <row r="276" customFormat="false" ht="15" hidden="false" customHeight="false" outlineLevel="0" collapsed="false">
      <c r="A276" s="0" t="n">
        <v>1274</v>
      </c>
      <c r="B276" s="0" t="n">
        <v>6</v>
      </c>
      <c r="C276" s="0" t="s">
        <v>11</v>
      </c>
      <c r="D276" s="0" t="n">
        <v>3060.62</v>
      </c>
      <c r="E276" s="0" t="s">
        <v>6</v>
      </c>
    </row>
    <row r="277" customFormat="false" ht="15" hidden="false" customHeight="false" outlineLevel="0" collapsed="false">
      <c r="A277" s="0" t="n">
        <v>1275</v>
      </c>
      <c r="B277" s="0" t="n">
        <v>1</v>
      </c>
      <c r="C277" s="0" t="s">
        <v>12</v>
      </c>
      <c r="D277" s="0" t="n">
        <v>2098.46</v>
      </c>
      <c r="E277" s="0" t="s">
        <v>9</v>
      </c>
    </row>
    <row r="278" customFormat="false" ht="15" hidden="false" customHeight="false" outlineLevel="0" collapsed="false">
      <c r="A278" s="0" t="n">
        <v>1276</v>
      </c>
      <c r="B278" s="0" t="n">
        <v>2</v>
      </c>
      <c r="C278" s="0" t="s">
        <v>7</v>
      </c>
      <c r="D278" s="0" t="n">
        <v>1164.17</v>
      </c>
      <c r="E278" s="0" t="s">
        <v>6</v>
      </c>
    </row>
    <row r="279" customFormat="false" ht="15" hidden="false" customHeight="false" outlineLevel="0" collapsed="false">
      <c r="A279" s="0" t="n">
        <v>1277</v>
      </c>
      <c r="B279" s="0" t="n">
        <v>12</v>
      </c>
      <c r="C279" s="0" t="s">
        <v>8</v>
      </c>
      <c r="D279" s="0" t="n">
        <v>3496.99</v>
      </c>
      <c r="E279" s="0" t="s">
        <v>6</v>
      </c>
    </row>
    <row r="280" customFormat="false" ht="15" hidden="false" customHeight="false" outlineLevel="0" collapsed="false">
      <c r="A280" s="0" t="n">
        <v>1278</v>
      </c>
      <c r="B280" s="0" t="n">
        <v>12</v>
      </c>
      <c r="C280" s="0" t="s">
        <v>10</v>
      </c>
      <c r="D280" s="0" t="n">
        <v>4194.65</v>
      </c>
      <c r="E280" s="0" t="s">
        <v>6</v>
      </c>
    </row>
    <row r="281" customFormat="false" ht="15" hidden="false" customHeight="false" outlineLevel="0" collapsed="false">
      <c r="A281" s="0" t="n">
        <v>1279</v>
      </c>
      <c r="B281" s="0" t="n">
        <v>5</v>
      </c>
      <c r="C281" s="0" t="s">
        <v>10</v>
      </c>
      <c r="D281" s="0" t="n">
        <v>365.51</v>
      </c>
      <c r="E281" s="0" t="s">
        <v>6</v>
      </c>
    </row>
    <row r="282" customFormat="false" ht="15" hidden="false" customHeight="false" outlineLevel="0" collapsed="false">
      <c r="A282" s="0" t="n">
        <v>1280</v>
      </c>
      <c r="B282" s="0" t="n">
        <v>8</v>
      </c>
      <c r="C282" s="0" t="s">
        <v>7</v>
      </c>
      <c r="D282" s="0" t="n">
        <v>1353.96</v>
      </c>
      <c r="E282" s="0" t="s">
        <v>6</v>
      </c>
    </row>
    <row r="283" customFormat="false" ht="15" hidden="false" customHeight="false" outlineLevel="0" collapsed="false">
      <c r="A283" s="0" t="n">
        <v>1281</v>
      </c>
      <c r="B283" s="0" t="n">
        <v>3</v>
      </c>
      <c r="C283" s="0" t="s">
        <v>12</v>
      </c>
      <c r="D283" s="0" t="n">
        <v>2443.2</v>
      </c>
      <c r="E283" s="0" t="s">
        <v>6</v>
      </c>
    </row>
    <row r="284" customFormat="false" ht="15" hidden="false" customHeight="false" outlineLevel="0" collapsed="false">
      <c r="A284" s="0" t="n">
        <v>1282</v>
      </c>
      <c r="B284" s="0" t="n">
        <v>3</v>
      </c>
      <c r="C284" s="0" t="s">
        <v>12</v>
      </c>
      <c r="D284" s="0" t="n">
        <v>4529.35</v>
      </c>
      <c r="E284" s="0" t="s">
        <v>6</v>
      </c>
    </row>
    <row r="285" customFormat="false" ht="15" hidden="false" customHeight="false" outlineLevel="0" collapsed="false">
      <c r="A285" s="0" t="n">
        <v>1283</v>
      </c>
      <c r="B285" s="0" t="n">
        <v>12</v>
      </c>
      <c r="C285" s="0" t="s">
        <v>7</v>
      </c>
      <c r="D285" s="0" t="n">
        <v>3379.5</v>
      </c>
      <c r="E285" s="0" t="s">
        <v>6</v>
      </c>
    </row>
    <row r="286" customFormat="false" ht="15" hidden="false" customHeight="false" outlineLevel="0" collapsed="false">
      <c r="A286" s="0" t="n">
        <v>1284</v>
      </c>
      <c r="B286" s="0" t="n">
        <v>3</v>
      </c>
      <c r="C286" s="0" t="s">
        <v>7</v>
      </c>
      <c r="D286" s="0" t="n">
        <v>291.79</v>
      </c>
      <c r="E286" s="0" t="s">
        <v>6</v>
      </c>
    </row>
    <row r="287" customFormat="false" ht="15" hidden="false" customHeight="false" outlineLevel="0" collapsed="false">
      <c r="A287" s="0" t="n">
        <v>1285</v>
      </c>
      <c r="B287" s="0" t="n">
        <v>5</v>
      </c>
      <c r="C287" s="0" t="s">
        <v>12</v>
      </c>
      <c r="D287" s="0" t="n">
        <v>3250.26</v>
      </c>
      <c r="E287" s="0" t="s">
        <v>6</v>
      </c>
    </row>
    <row r="288" customFormat="false" ht="15" hidden="false" customHeight="false" outlineLevel="0" collapsed="false">
      <c r="A288" s="0" t="n">
        <v>1286</v>
      </c>
      <c r="B288" s="0" t="n">
        <v>3</v>
      </c>
      <c r="C288" s="0" t="s">
        <v>8</v>
      </c>
      <c r="D288" s="0" t="n">
        <v>2629.73</v>
      </c>
      <c r="E288" s="0" t="s">
        <v>6</v>
      </c>
    </row>
    <row r="289" customFormat="false" ht="15" hidden="false" customHeight="false" outlineLevel="0" collapsed="false">
      <c r="A289" s="0" t="n">
        <v>1287</v>
      </c>
      <c r="B289" s="0" t="n">
        <v>9</v>
      </c>
      <c r="C289" s="0" t="s">
        <v>12</v>
      </c>
      <c r="D289" s="0" t="n">
        <v>1924.28</v>
      </c>
      <c r="E289" s="0" t="s">
        <v>6</v>
      </c>
    </row>
    <row r="290" customFormat="false" ht="15" hidden="false" customHeight="false" outlineLevel="0" collapsed="false">
      <c r="A290" s="0" t="n">
        <v>1288</v>
      </c>
      <c r="B290" s="0" t="n">
        <v>7</v>
      </c>
      <c r="C290" s="0" t="s">
        <v>7</v>
      </c>
      <c r="D290" s="0" t="n">
        <v>925.26</v>
      </c>
      <c r="E290" s="0" t="s">
        <v>6</v>
      </c>
    </row>
    <row r="291" customFormat="false" ht="15" hidden="false" customHeight="false" outlineLevel="0" collapsed="false">
      <c r="A291" s="0" t="n">
        <v>1289</v>
      </c>
      <c r="B291" s="0" t="n">
        <v>5</v>
      </c>
      <c r="C291" s="0" t="s">
        <v>8</v>
      </c>
      <c r="D291" s="0" t="n">
        <v>673.94</v>
      </c>
      <c r="E291" s="0" t="s">
        <v>6</v>
      </c>
    </row>
    <row r="292" customFormat="false" ht="15" hidden="false" customHeight="false" outlineLevel="0" collapsed="false">
      <c r="A292" s="0" t="n">
        <v>1290</v>
      </c>
      <c r="B292" s="0" t="n">
        <v>5</v>
      </c>
      <c r="C292" s="0" t="s">
        <v>12</v>
      </c>
      <c r="D292" s="0" t="n">
        <v>1930.26</v>
      </c>
      <c r="E292" s="0" t="s">
        <v>6</v>
      </c>
    </row>
    <row r="293" customFormat="false" ht="15" hidden="false" customHeight="false" outlineLevel="0" collapsed="false">
      <c r="A293" s="0" t="n">
        <v>1291</v>
      </c>
      <c r="B293" s="0" t="n">
        <v>4</v>
      </c>
      <c r="C293" s="0" t="s">
        <v>8</v>
      </c>
      <c r="D293" s="0" t="n">
        <v>4697.75</v>
      </c>
      <c r="E293" s="0" t="s">
        <v>6</v>
      </c>
    </row>
    <row r="294" customFormat="false" ht="15" hidden="false" customHeight="false" outlineLevel="0" collapsed="false">
      <c r="A294" s="0" t="n">
        <v>1292</v>
      </c>
      <c r="B294" s="0" t="n">
        <v>8</v>
      </c>
      <c r="C294" s="0" t="s">
        <v>12</v>
      </c>
      <c r="D294" s="0" t="n">
        <v>340.18</v>
      </c>
      <c r="E294" s="0" t="s">
        <v>9</v>
      </c>
    </row>
    <row r="295" customFormat="false" ht="15" hidden="false" customHeight="false" outlineLevel="0" collapsed="false">
      <c r="A295" s="0" t="n">
        <v>1293</v>
      </c>
      <c r="B295" s="0" t="n">
        <v>2</v>
      </c>
      <c r="C295" s="0" t="s">
        <v>10</v>
      </c>
      <c r="D295" s="0" t="n">
        <v>4237.42</v>
      </c>
      <c r="E295" s="0" t="s">
        <v>9</v>
      </c>
    </row>
    <row r="296" customFormat="false" ht="15" hidden="false" customHeight="false" outlineLevel="0" collapsed="false">
      <c r="A296" s="0" t="n">
        <v>1294</v>
      </c>
      <c r="B296" s="0" t="n">
        <v>1</v>
      </c>
      <c r="C296" s="0" t="s">
        <v>10</v>
      </c>
      <c r="D296" s="0" t="n">
        <v>1739.95</v>
      </c>
      <c r="E296" s="0" t="s">
        <v>9</v>
      </c>
    </row>
    <row r="297" customFormat="false" ht="15" hidden="false" customHeight="false" outlineLevel="0" collapsed="false">
      <c r="A297" s="0" t="n">
        <v>1295</v>
      </c>
      <c r="B297" s="0" t="n">
        <v>10</v>
      </c>
      <c r="C297" s="0" t="s">
        <v>7</v>
      </c>
      <c r="D297" s="0" t="n">
        <v>2331.06</v>
      </c>
      <c r="E297" s="0" t="s">
        <v>6</v>
      </c>
    </row>
    <row r="298" customFormat="false" ht="15" hidden="false" customHeight="false" outlineLevel="0" collapsed="false">
      <c r="A298" s="0" t="n">
        <v>1296</v>
      </c>
      <c r="B298" s="0" t="n">
        <v>8</v>
      </c>
      <c r="C298" s="0" t="s">
        <v>12</v>
      </c>
      <c r="D298" s="0" t="n">
        <v>2681.49</v>
      </c>
      <c r="E298" s="0" t="s">
        <v>9</v>
      </c>
    </row>
    <row r="299" customFormat="false" ht="15" hidden="false" customHeight="false" outlineLevel="0" collapsed="false">
      <c r="A299" s="0" t="n">
        <v>1297</v>
      </c>
      <c r="B299" s="0" t="n">
        <v>4</v>
      </c>
      <c r="C299" s="0" t="s">
        <v>5</v>
      </c>
      <c r="D299" s="0" t="n">
        <v>1491.98</v>
      </c>
      <c r="E299" s="0" t="s">
        <v>6</v>
      </c>
    </row>
    <row r="300" customFormat="false" ht="15" hidden="false" customHeight="false" outlineLevel="0" collapsed="false">
      <c r="A300" s="0" t="n">
        <v>1298</v>
      </c>
      <c r="B300" s="0" t="n">
        <v>5</v>
      </c>
      <c r="C300" s="0" t="s">
        <v>12</v>
      </c>
      <c r="D300" s="0" t="n">
        <v>1598.17</v>
      </c>
      <c r="E300" s="0" t="s">
        <v>6</v>
      </c>
    </row>
    <row r="301" customFormat="false" ht="15" hidden="false" customHeight="false" outlineLevel="0" collapsed="false">
      <c r="A301" s="0" t="n">
        <v>1299</v>
      </c>
      <c r="B301" s="0" t="n">
        <v>3</v>
      </c>
      <c r="C301" s="0" t="s">
        <v>8</v>
      </c>
      <c r="D301" s="0" t="n">
        <v>3025.86</v>
      </c>
      <c r="E301" s="0" t="s">
        <v>6</v>
      </c>
    </row>
    <row r="302" customFormat="false" ht="15" hidden="false" customHeight="false" outlineLevel="0" collapsed="false">
      <c r="A302" s="0" t="n">
        <v>1300</v>
      </c>
      <c r="B302" s="0" t="n">
        <v>7</v>
      </c>
      <c r="C302" s="0" t="s">
        <v>5</v>
      </c>
      <c r="D302" s="0" t="n">
        <v>4365.96</v>
      </c>
      <c r="E302" s="0" t="s">
        <v>6</v>
      </c>
    </row>
    <row r="303" customFormat="false" ht="15" hidden="false" customHeight="false" outlineLevel="0" collapsed="false">
      <c r="A303" s="0" t="n">
        <v>1301</v>
      </c>
      <c r="B303" s="0" t="n">
        <v>10</v>
      </c>
      <c r="C303" s="0" t="s">
        <v>8</v>
      </c>
      <c r="D303" s="0" t="n">
        <v>806.64</v>
      </c>
      <c r="E303" s="0" t="s">
        <v>6</v>
      </c>
    </row>
    <row r="304" customFormat="false" ht="15" hidden="false" customHeight="false" outlineLevel="0" collapsed="false">
      <c r="A304" s="0" t="n">
        <v>1302</v>
      </c>
      <c r="B304" s="0" t="n">
        <v>7</v>
      </c>
      <c r="C304" s="0" t="s">
        <v>5</v>
      </c>
      <c r="D304" s="0" t="n">
        <v>3433.65</v>
      </c>
      <c r="E304" s="0" t="s">
        <v>6</v>
      </c>
    </row>
    <row r="305" customFormat="false" ht="15" hidden="false" customHeight="false" outlineLevel="0" collapsed="false">
      <c r="A305" s="0" t="n">
        <v>1303</v>
      </c>
      <c r="B305" s="0" t="n">
        <v>2</v>
      </c>
      <c r="C305" s="0" t="s">
        <v>7</v>
      </c>
      <c r="D305" s="0" t="n">
        <v>2711.1</v>
      </c>
      <c r="E305" s="0" t="s">
        <v>9</v>
      </c>
    </row>
    <row r="306" customFormat="false" ht="15" hidden="false" customHeight="false" outlineLevel="0" collapsed="false">
      <c r="A306" s="0" t="n">
        <v>1304</v>
      </c>
      <c r="B306" s="0" t="n">
        <v>6</v>
      </c>
      <c r="C306" s="0" t="s">
        <v>12</v>
      </c>
      <c r="D306" s="0" t="n">
        <v>2960.52</v>
      </c>
      <c r="E306" s="0" t="s">
        <v>6</v>
      </c>
    </row>
    <row r="307" customFormat="false" ht="15" hidden="false" customHeight="false" outlineLevel="0" collapsed="false">
      <c r="A307" s="0" t="n">
        <v>1305</v>
      </c>
      <c r="B307" s="0" t="n">
        <v>6</v>
      </c>
      <c r="C307" s="0" t="s">
        <v>7</v>
      </c>
      <c r="D307" s="0" t="n">
        <v>2541.81</v>
      </c>
      <c r="E307" s="0" t="s">
        <v>6</v>
      </c>
    </row>
    <row r="308" customFormat="false" ht="15" hidden="false" customHeight="false" outlineLevel="0" collapsed="false">
      <c r="A308" s="0" t="n">
        <v>1306</v>
      </c>
      <c r="B308" s="0" t="n">
        <v>11</v>
      </c>
      <c r="C308" s="0" t="s">
        <v>11</v>
      </c>
      <c r="D308" s="0" t="n">
        <v>2963.45</v>
      </c>
      <c r="E308" s="0" t="s">
        <v>6</v>
      </c>
    </row>
    <row r="309" customFormat="false" ht="15" hidden="false" customHeight="false" outlineLevel="0" collapsed="false">
      <c r="A309" s="0" t="n">
        <v>1307</v>
      </c>
      <c r="B309" s="0" t="n">
        <v>12</v>
      </c>
      <c r="C309" s="0" t="s">
        <v>11</v>
      </c>
      <c r="D309" s="0" t="n">
        <v>1448.23</v>
      </c>
      <c r="E309" s="0" t="s">
        <v>6</v>
      </c>
    </row>
    <row r="310" customFormat="false" ht="15" hidden="false" customHeight="false" outlineLevel="0" collapsed="false">
      <c r="A310" s="0" t="n">
        <v>1308</v>
      </c>
      <c r="B310" s="0" t="n">
        <v>5</v>
      </c>
      <c r="C310" s="0" t="s">
        <v>12</v>
      </c>
      <c r="D310" s="0" t="n">
        <v>633.43</v>
      </c>
      <c r="E310" s="0" t="s">
        <v>6</v>
      </c>
    </row>
    <row r="311" customFormat="false" ht="15" hidden="false" customHeight="false" outlineLevel="0" collapsed="false">
      <c r="A311" s="0" t="n">
        <v>1309</v>
      </c>
      <c r="B311" s="0" t="n">
        <v>12</v>
      </c>
      <c r="C311" s="0" t="s">
        <v>11</v>
      </c>
      <c r="D311" s="0" t="n">
        <v>3649.68</v>
      </c>
      <c r="E311" s="0" t="s">
        <v>6</v>
      </c>
    </row>
    <row r="312" customFormat="false" ht="15" hidden="false" customHeight="false" outlineLevel="0" collapsed="false">
      <c r="A312" s="0" t="n">
        <v>1310</v>
      </c>
      <c r="B312" s="0" t="n">
        <v>5</v>
      </c>
      <c r="C312" s="0" t="s">
        <v>7</v>
      </c>
      <c r="D312" s="0" t="n">
        <v>4835.32</v>
      </c>
      <c r="E312" s="0" t="s">
        <v>9</v>
      </c>
    </row>
    <row r="313" customFormat="false" ht="15" hidden="false" customHeight="false" outlineLevel="0" collapsed="false">
      <c r="A313" s="0" t="n">
        <v>1311</v>
      </c>
      <c r="B313" s="0" t="n">
        <v>3</v>
      </c>
      <c r="C313" s="0" t="s">
        <v>7</v>
      </c>
      <c r="D313" s="0" t="n">
        <v>1685.93</v>
      </c>
      <c r="E313" s="0" t="s">
        <v>6</v>
      </c>
    </row>
    <row r="314" customFormat="false" ht="15" hidden="false" customHeight="false" outlineLevel="0" collapsed="false">
      <c r="A314" s="0" t="n">
        <v>1312</v>
      </c>
      <c r="B314" s="0" t="n">
        <v>10</v>
      </c>
      <c r="C314" s="0" t="s">
        <v>5</v>
      </c>
      <c r="D314" s="0" t="n">
        <v>2615.26</v>
      </c>
      <c r="E314" s="0" t="s">
        <v>6</v>
      </c>
    </row>
    <row r="315" customFormat="false" ht="15" hidden="false" customHeight="false" outlineLevel="0" collapsed="false">
      <c r="A315" s="0" t="n">
        <v>1313</v>
      </c>
      <c r="B315" s="0" t="n">
        <v>2</v>
      </c>
      <c r="C315" s="0" t="s">
        <v>7</v>
      </c>
      <c r="D315" s="0" t="n">
        <v>2138.89</v>
      </c>
      <c r="E315" s="0" t="s">
        <v>6</v>
      </c>
    </row>
    <row r="316" customFormat="false" ht="15" hidden="false" customHeight="false" outlineLevel="0" collapsed="false">
      <c r="A316" s="0" t="n">
        <v>1314</v>
      </c>
      <c r="B316" s="0" t="n">
        <v>1</v>
      </c>
      <c r="C316" s="0" t="s">
        <v>12</v>
      </c>
      <c r="D316" s="0" t="n">
        <v>4275.32</v>
      </c>
      <c r="E316" s="0" t="s">
        <v>9</v>
      </c>
    </row>
    <row r="317" customFormat="false" ht="15" hidden="false" customHeight="false" outlineLevel="0" collapsed="false">
      <c r="A317" s="0" t="n">
        <v>1315</v>
      </c>
      <c r="B317" s="0" t="n">
        <v>4</v>
      </c>
      <c r="C317" s="0" t="s">
        <v>8</v>
      </c>
      <c r="D317" s="0" t="n">
        <v>1845.75</v>
      </c>
      <c r="E317" s="0" t="s">
        <v>6</v>
      </c>
    </row>
    <row r="318" customFormat="false" ht="15" hidden="false" customHeight="false" outlineLevel="0" collapsed="false">
      <c r="A318" s="0" t="n">
        <v>1316</v>
      </c>
      <c r="B318" s="0" t="n">
        <v>1</v>
      </c>
      <c r="C318" s="0" t="s">
        <v>5</v>
      </c>
      <c r="D318" s="0" t="n">
        <v>2480.49</v>
      </c>
      <c r="E318" s="0" t="s">
        <v>6</v>
      </c>
    </row>
    <row r="319" customFormat="false" ht="15" hidden="false" customHeight="false" outlineLevel="0" collapsed="false">
      <c r="A319" s="0" t="n">
        <v>1317</v>
      </c>
      <c r="B319" s="0" t="n">
        <v>7</v>
      </c>
      <c r="C319" s="0" t="s">
        <v>10</v>
      </c>
      <c r="D319" s="0" t="n">
        <v>4340.01</v>
      </c>
      <c r="E319" s="0" t="s">
        <v>6</v>
      </c>
    </row>
    <row r="320" customFormat="false" ht="15" hidden="false" customHeight="false" outlineLevel="0" collapsed="false">
      <c r="A320" s="0" t="n">
        <v>1318</v>
      </c>
      <c r="B320" s="0" t="n">
        <v>1</v>
      </c>
      <c r="C320" s="0" t="s">
        <v>11</v>
      </c>
      <c r="D320" s="0" t="n">
        <v>1872.91</v>
      </c>
      <c r="E320" s="0" t="s">
        <v>6</v>
      </c>
    </row>
    <row r="321" customFormat="false" ht="15" hidden="false" customHeight="false" outlineLevel="0" collapsed="false">
      <c r="A321" s="0" t="n">
        <v>1319</v>
      </c>
      <c r="B321" s="0" t="n">
        <v>7</v>
      </c>
      <c r="C321" s="0" t="s">
        <v>7</v>
      </c>
      <c r="D321" s="0" t="n">
        <v>1875.26</v>
      </c>
      <c r="E321" s="0" t="s">
        <v>6</v>
      </c>
    </row>
    <row r="322" customFormat="false" ht="15" hidden="false" customHeight="false" outlineLevel="0" collapsed="false">
      <c r="A322" s="0" t="n">
        <v>1320</v>
      </c>
      <c r="B322" s="0" t="n">
        <v>10</v>
      </c>
      <c r="C322" s="0" t="s">
        <v>7</v>
      </c>
      <c r="D322" s="0" t="n">
        <v>748.07</v>
      </c>
      <c r="E322" s="0" t="s">
        <v>6</v>
      </c>
    </row>
    <row r="323" customFormat="false" ht="15" hidden="false" customHeight="false" outlineLevel="0" collapsed="false">
      <c r="A323" s="0" t="n">
        <v>1321</v>
      </c>
      <c r="B323" s="0" t="n">
        <v>1</v>
      </c>
      <c r="C323" s="0" t="s">
        <v>11</v>
      </c>
      <c r="D323" s="0" t="n">
        <v>340.23</v>
      </c>
      <c r="E323" s="0" t="s">
        <v>6</v>
      </c>
    </row>
    <row r="324" customFormat="false" ht="15" hidden="false" customHeight="false" outlineLevel="0" collapsed="false">
      <c r="A324" s="0" t="n">
        <v>1322</v>
      </c>
      <c r="B324" s="0" t="n">
        <v>3</v>
      </c>
      <c r="C324" s="0" t="s">
        <v>8</v>
      </c>
      <c r="D324" s="0" t="n">
        <v>1061.44</v>
      </c>
      <c r="E324" s="0" t="s">
        <v>9</v>
      </c>
    </row>
    <row r="325" customFormat="false" ht="15" hidden="false" customHeight="false" outlineLevel="0" collapsed="false">
      <c r="A325" s="0" t="n">
        <v>1323</v>
      </c>
      <c r="B325" s="0" t="n">
        <v>5</v>
      </c>
      <c r="C325" s="0" t="s">
        <v>12</v>
      </c>
      <c r="D325" s="0" t="n">
        <v>166.86</v>
      </c>
      <c r="E325" s="0" t="s">
        <v>6</v>
      </c>
    </row>
    <row r="326" customFormat="false" ht="15" hidden="false" customHeight="false" outlineLevel="0" collapsed="false">
      <c r="A326" s="0" t="n">
        <v>1324</v>
      </c>
      <c r="B326" s="0" t="n">
        <v>9</v>
      </c>
      <c r="C326" s="0" t="s">
        <v>7</v>
      </c>
      <c r="D326" s="0" t="n">
        <v>3692.32</v>
      </c>
      <c r="E326" s="0" t="s">
        <v>6</v>
      </c>
    </row>
    <row r="327" customFormat="false" ht="15" hidden="false" customHeight="false" outlineLevel="0" collapsed="false">
      <c r="A327" s="0" t="n">
        <v>1325</v>
      </c>
      <c r="B327" s="0" t="n">
        <v>8</v>
      </c>
      <c r="C327" s="0" t="s">
        <v>11</v>
      </c>
      <c r="D327" s="0" t="n">
        <v>3418.53</v>
      </c>
      <c r="E327" s="0" t="s">
        <v>6</v>
      </c>
    </row>
    <row r="328" customFormat="false" ht="15" hidden="false" customHeight="false" outlineLevel="0" collapsed="false">
      <c r="A328" s="0" t="n">
        <v>1326</v>
      </c>
      <c r="B328" s="0" t="n">
        <v>9</v>
      </c>
      <c r="C328" s="0" t="s">
        <v>7</v>
      </c>
      <c r="D328" s="0" t="n">
        <v>1139.79</v>
      </c>
      <c r="E328" s="0" t="s">
        <v>6</v>
      </c>
    </row>
    <row r="329" customFormat="false" ht="15" hidden="false" customHeight="false" outlineLevel="0" collapsed="false">
      <c r="A329" s="0" t="n">
        <v>1327</v>
      </c>
      <c r="B329" s="0" t="n">
        <v>5</v>
      </c>
      <c r="C329" s="0" t="s">
        <v>11</v>
      </c>
      <c r="D329" s="0" t="n">
        <v>2772.59</v>
      </c>
      <c r="E329" s="0" t="s">
        <v>6</v>
      </c>
    </row>
    <row r="330" customFormat="false" ht="15" hidden="false" customHeight="false" outlineLevel="0" collapsed="false">
      <c r="A330" s="0" t="n">
        <v>1328</v>
      </c>
      <c r="B330" s="0" t="n">
        <v>3</v>
      </c>
      <c r="C330" s="0" t="s">
        <v>5</v>
      </c>
      <c r="D330" s="0" t="n">
        <v>4415.08</v>
      </c>
      <c r="E330" s="0" t="s">
        <v>9</v>
      </c>
    </row>
    <row r="331" customFormat="false" ht="15" hidden="false" customHeight="false" outlineLevel="0" collapsed="false">
      <c r="A331" s="0" t="n">
        <v>1329</v>
      </c>
      <c r="B331" s="0" t="n">
        <v>1</v>
      </c>
      <c r="C331" s="0" t="s">
        <v>11</v>
      </c>
      <c r="D331" s="0" t="n">
        <v>1926.39</v>
      </c>
      <c r="E331" s="0" t="s">
        <v>9</v>
      </c>
    </row>
    <row r="332" customFormat="false" ht="15" hidden="false" customHeight="false" outlineLevel="0" collapsed="false">
      <c r="A332" s="0" t="n">
        <v>1330</v>
      </c>
      <c r="B332" s="0" t="n">
        <v>3</v>
      </c>
      <c r="C332" s="0" t="s">
        <v>7</v>
      </c>
      <c r="D332" s="0" t="n">
        <v>1385.38</v>
      </c>
      <c r="E332" s="0" t="s">
        <v>9</v>
      </c>
    </row>
    <row r="333" customFormat="false" ht="15" hidden="false" customHeight="false" outlineLevel="0" collapsed="false">
      <c r="A333" s="0" t="n">
        <v>1331</v>
      </c>
      <c r="B333" s="0" t="n">
        <v>4</v>
      </c>
      <c r="C333" s="0" t="s">
        <v>5</v>
      </c>
      <c r="D333" s="0" t="n">
        <v>3186.2</v>
      </c>
      <c r="E333" s="0" t="s">
        <v>6</v>
      </c>
    </row>
    <row r="334" customFormat="false" ht="15" hidden="false" customHeight="false" outlineLevel="0" collapsed="false">
      <c r="A334" s="0" t="n">
        <v>1332</v>
      </c>
      <c r="B334" s="0" t="n">
        <v>7</v>
      </c>
      <c r="C334" s="0" t="s">
        <v>11</v>
      </c>
      <c r="D334" s="0" t="n">
        <v>503.25</v>
      </c>
      <c r="E334" s="0" t="s">
        <v>6</v>
      </c>
    </row>
    <row r="335" customFormat="false" ht="15" hidden="false" customHeight="false" outlineLevel="0" collapsed="false">
      <c r="A335" s="0" t="n">
        <v>1333</v>
      </c>
      <c r="B335" s="0" t="n">
        <v>2</v>
      </c>
      <c r="C335" s="0" t="s">
        <v>7</v>
      </c>
      <c r="D335" s="0" t="n">
        <v>4388.29</v>
      </c>
      <c r="E335" s="0" t="s">
        <v>6</v>
      </c>
    </row>
    <row r="336" customFormat="false" ht="15" hidden="false" customHeight="false" outlineLevel="0" collapsed="false">
      <c r="A336" s="0" t="n">
        <v>1334</v>
      </c>
      <c r="B336" s="0" t="n">
        <v>2</v>
      </c>
      <c r="C336" s="0" t="s">
        <v>8</v>
      </c>
      <c r="D336" s="0" t="n">
        <v>1635.4</v>
      </c>
      <c r="E336" s="0" t="s">
        <v>9</v>
      </c>
    </row>
    <row r="337" customFormat="false" ht="15" hidden="false" customHeight="false" outlineLevel="0" collapsed="false">
      <c r="A337" s="0" t="n">
        <v>1335</v>
      </c>
      <c r="B337" s="0" t="n">
        <v>11</v>
      </c>
      <c r="C337" s="0" t="s">
        <v>8</v>
      </c>
      <c r="D337" s="0" t="n">
        <v>4135.9</v>
      </c>
      <c r="E337" s="0" t="s">
        <v>6</v>
      </c>
    </row>
    <row r="338" customFormat="false" ht="15" hidden="false" customHeight="false" outlineLevel="0" collapsed="false">
      <c r="A338" s="0" t="n">
        <v>1336</v>
      </c>
      <c r="B338" s="0" t="n">
        <v>11</v>
      </c>
      <c r="C338" s="0" t="s">
        <v>7</v>
      </c>
      <c r="D338" s="0" t="n">
        <v>4410.2</v>
      </c>
      <c r="E338" s="0" t="s">
        <v>6</v>
      </c>
    </row>
    <row r="339" customFormat="false" ht="15" hidden="false" customHeight="false" outlineLevel="0" collapsed="false">
      <c r="A339" s="0" t="n">
        <v>1337</v>
      </c>
      <c r="B339" s="0" t="n">
        <v>6</v>
      </c>
      <c r="C339" s="0" t="s">
        <v>12</v>
      </c>
      <c r="D339" s="0" t="n">
        <v>3249.16</v>
      </c>
      <c r="E339" s="0" t="s">
        <v>6</v>
      </c>
    </row>
    <row r="340" customFormat="false" ht="15" hidden="false" customHeight="false" outlineLevel="0" collapsed="false">
      <c r="A340" s="0" t="n">
        <v>1338</v>
      </c>
      <c r="B340" s="0" t="n">
        <v>1</v>
      </c>
      <c r="C340" s="0" t="s">
        <v>10</v>
      </c>
      <c r="D340" s="0" t="n">
        <v>2599.81</v>
      </c>
      <c r="E340" s="0" t="s">
        <v>6</v>
      </c>
    </row>
    <row r="341" customFormat="false" ht="15" hidden="false" customHeight="false" outlineLevel="0" collapsed="false">
      <c r="A341" s="0" t="n">
        <v>1339</v>
      </c>
      <c r="B341" s="0" t="n">
        <v>10</v>
      </c>
      <c r="C341" s="0" t="s">
        <v>8</v>
      </c>
      <c r="D341" s="0" t="n">
        <v>916.34</v>
      </c>
      <c r="E341" s="0" t="s">
        <v>9</v>
      </c>
    </row>
    <row r="342" customFormat="false" ht="15" hidden="false" customHeight="false" outlineLevel="0" collapsed="false">
      <c r="A342" s="0" t="n">
        <v>1340</v>
      </c>
      <c r="B342" s="0" t="n">
        <v>9</v>
      </c>
      <c r="C342" s="0" t="s">
        <v>7</v>
      </c>
      <c r="D342" s="0" t="n">
        <v>1437.4</v>
      </c>
      <c r="E342" s="0" t="s">
        <v>9</v>
      </c>
    </row>
    <row r="343" customFormat="false" ht="15" hidden="false" customHeight="false" outlineLevel="0" collapsed="false">
      <c r="A343" s="0" t="n">
        <v>1341</v>
      </c>
      <c r="B343" s="0" t="n">
        <v>11</v>
      </c>
      <c r="C343" s="0" t="s">
        <v>5</v>
      </c>
      <c r="D343" s="0" t="n">
        <v>1148.41</v>
      </c>
      <c r="E343" s="0" t="s">
        <v>6</v>
      </c>
    </row>
    <row r="344" customFormat="false" ht="15" hidden="false" customHeight="false" outlineLevel="0" collapsed="false">
      <c r="A344" s="0" t="n">
        <v>1342</v>
      </c>
      <c r="B344" s="0" t="n">
        <v>6</v>
      </c>
      <c r="C344" s="0" t="s">
        <v>5</v>
      </c>
      <c r="D344" s="0" t="n">
        <v>681.82</v>
      </c>
      <c r="E344" s="0" t="s">
        <v>6</v>
      </c>
    </row>
    <row r="345" customFormat="false" ht="15" hidden="false" customHeight="false" outlineLevel="0" collapsed="false">
      <c r="A345" s="0" t="n">
        <v>1343</v>
      </c>
      <c r="B345" s="0" t="n">
        <v>10</v>
      </c>
      <c r="C345" s="0" t="s">
        <v>5</v>
      </c>
      <c r="D345" s="0" t="n">
        <v>1787.2</v>
      </c>
      <c r="E345" s="0" t="s">
        <v>6</v>
      </c>
    </row>
    <row r="346" customFormat="false" ht="15" hidden="false" customHeight="false" outlineLevel="0" collapsed="false">
      <c r="A346" s="0" t="n">
        <v>1344</v>
      </c>
      <c r="B346" s="0" t="n">
        <v>8</v>
      </c>
      <c r="C346" s="0" t="s">
        <v>8</v>
      </c>
      <c r="D346" s="0" t="n">
        <v>3612.24</v>
      </c>
      <c r="E346" s="0" t="s">
        <v>6</v>
      </c>
    </row>
    <row r="347" customFormat="false" ht="15" hidden="false" customHeight="false" outlineLevel="0" collapsed="false">
      <c r="A347" s="0" t="n">
        <v>1345</v>
      </c>
      <c r="B347" s="0" t="n">
        <v>11</v>
      </c>
      <c r="C347" s="0" t="s">
        <v>12</v>
      </c>
      <c r="D347" s="0" t="n">
        <v>2477.75</v>
      </c>
      <c r="E347" s="0" t="s">
        <v>6</v>
      </c>
    </row>
    <row r="348" customFormat="false" ht="15" hidden="false" customHeight="false" outlineLevel="0" collapsed="false">
      <c r="A348" s="0" t="n">
        <v>1346</v>
      </c>
      <c r="B348" s="0" t="n">
        <v>3</v>
      </c>
      <c r="C348" s="0" t="s">
        <v>8</v>
      </c>
      <c r="D348" s="0" t="n">
        <v>4689.45</v>
      </c>
      <c r="E348" s="0" t="s">
        <v>6</v>
      </c>
    </row>
    <row r="349" customFormat="false" ht="15" hidden="false" customHeight="false" outlineLevel="0" collapsed="false">
      <c r="A349" s="0" t="n">
        <v>1347</v>
      </c>
      <c r="B349" s="0" t="n">
        <v>9</v>
      </c>
      <c r="C349" s="0" t="s">
        <v>7</v>
      </c>
      <c r="D349" s="0" t="n">
        <v>4214.27</v>
      </c>
      <c r="E349" s="0" t="s">
        <v>6</v>
      </c>
    </row>
    <row r="350" customFormat="false" ht="15" hidden="false" customHeight="false" outlineLevel="0" collapsed="false">
      <c r="A350" s="0" t="n">
        <v>1348</v>
      </c>
      <c r="B350" s="0" t="n">
        <v>3</v>
      </c>
      <c r="C350" s="0" t="s">
        <v>8</v>
      </c>
      <c r="D350" s="0" t="n">
        <v>1648.35</v>
      </c>
      <c r="E350" s="0" t="s">
        <v>6</v>
      </c>
    </row>
    <row r="351" customFormat="false" ht="15" hidden="false" customHeight="false" outlineLevel="0" collapsed="false">
      <c r="A351" s="0" t="n">
        <v>1349</v>
      </c>
      <c r="B351" s="0" t="n">
        <v>7</v>
      </c>
      <c r="C351" s="0" t="s">
        <v>10</v>
      </c>
      <c r="D351" s="0" t="n">
        <v>4168.4</v>
      </c>
      <c r="E351" s="0" t="s">
        <v>6</v>
      </c>
    </row>
    <row r="352" customFormat="false" ht="15" hidden="false" customHeight="false" outlineLevel="0" collapsed="false">
      <c r="A352" s="0" t="n">
        <v>1350</v>
      </c>
      <c r="B352" s="0" t="n">
        <v>4</v>
      </c>
      <c r="C352" s="0" t="s">
        <v>7</v>
      </c>
      <c r="D352" s="0" t="n">
        <v>1847.25</v>
      </c>
      <c r="E352" s="0" t="s">
        <v>6</v>
      </c>
    </row>
    <row r="353" customFormat="false" ht="15" hidden="false" customHeight="false" outlineLevel="0" collapsed="false">
      <c r="A353" s="0" t="n">
        <v>1351</v>
      </c>
      <c r="B353" s="0" t="n">
        <v>3</v>
      </c>
      <c r="C353" s="0" t="s">
        <v>11</v>
      </c>
      <c r="D353" s="0" t="n">
        <v>1268.51</v>
      </c>
      <c r="E353" s="0" t="s">
        <v>6</v>
      </c>
    </row>
    <row r="354" customFormat="false" ht="15" hidden="false" customHeight="false" outlineLevel="0" collapsed="false">
      <c r="A354" s="0" t="n">
        <v>1352</v>
      </c>
      <c r="B354" s="0" t="n">
        <v>1</v>
      </c>
      <c r="C354" s="0" t="s">
        <v>10</v>
      </c>
      <c r="D354" s="0" t="n">
        <v>4829.31</v>
      </c>
      <c r="E354" s="0" t="s">
        <v>6</v>
      </c>
    </row>
    <row r="355" customFormat="false" ht="15" hidden="false" customHeight="false" outlineLevel="0" collapsed="false">
      <c r="A355" s="0" t="n">
        <v>1353</v>
      </c>
      <c r="B355" s="0" t="n">
        <v>4</v>
      </c>
      <c r="C355" s="0" t="s">
        <v>12</v>
      </c>
      <c r="D355" s="0" t="n">
        <v>1532.85</v>
      </c>
      <c r="E355" s="0" t="s">
        <v>6</v>
      </c>
    </row>
    <row r="356" customFormat="false" ht="15" hidden="false" customHeight="false" outlineLevel="0" collapsed="false">
      <c r="A356" s="0" t="n">
        <v>1354</v>
      </c>
      <c r="B356" s="0" t="n">
        <v>10</v>
      </c>
      <c r="C356" s="0" t="s">
        <v>12</v>
      </c>
      <c r="D356" s="0" t="n">
        <v>1242.55</v>
      </c>
      <c r="E356" s="0" t="s">
        <v>6</v>
      </c>
    </row>
    <row r="357" customFormat="false" ht="15" hidden="false" customHeight="false" outlineLevel="0" collapsed="false">
      <c r="A357" s="0" t="n">
        <v>1355</v>
      </c>
      <c r="B357" s="0" t="n">
        <v>4</v>
      </c>
      <c r="C357" s="0" t="s">
        <v>10</v>
      </c>
      <c r="D357" s="0" t="n">
        <v>1836.53</v>
      </c>
      <c r="E357" s="0" t="s">
        <v>6</v>
      </c>
    </row>
    <row r="358" customFormat="false" ht="15" hidden="false" customHeight="false" outlineLevel="0" collapsed="false">
      <c r="A358" s="0" t="n">
        <v>1356</v>
      </c>
      <c r="B358" s="0" t="n">
        <v>3</v>
      </c>
      <c r="C358" s="0" t="s">
        <v>10</v>
      </c>
      <c r="D358" s="0" t="n">
        <v>3760.25</v>
      </c>
      <c r="E358" s="0" t="s">
        <v>9</v>
      </c>
    </row>
    <row r="359" customFormat="false" ht="15" hidden="false" customHeight="false" outlineLevel="0" collapsed="false">
      <c r="A359" s="0" t="n">
        <v>1357</v>
      </c>
      <c r="B359" s="0" t="n">
        <v>10</v>
      </c>
      <c r="C359" s="0" t="s">
        <v>5</v>
      </c>
      <c r="D359" s="0" t="n">
        <v>2134.19</v>
      </c>
      <c r="E359" s="0" t="s">
        <v>6</v>
      </c>
    </row>
    <row r="360" customFormat="false" ht="15" hidden="false" customHeight="false" outlineLevel="0" collapsed="false">
      <c r="A360" s="0" t="n">
        <v>1358</v>
      </c>
      <c r="B360" s="0" t="n">
        <v>11</v>
      </c>
      <c r="C360" s="0" t="s">
        <v>11</v>
      </c>
      <c r="D360" s="0" t="n">
        <v>2222.86</v>
      </c>
      <c r="E360" s="0" t="s">
        <v>6</v>
      </c>
    </row>
    <row r="361" customFormat="false" ht="15" hidden="false" customHeight="false" outlineLevel="0" collapsed="false">
      <c r="A361" s="0" t="n">
        <v>1359</v>
      </c>
      <c r="B361" s="0" t="n">
        <v>2</v>
      </c>
      <c r="C361" s="0" t="s">
        <v>5</v>
      </c>
      <c r="D361" s="0" t="n">
        <v>4300.97</v>
      </c>
      <c r="E361" s="0" t="s">
        <v>9</v>
      </c>
    </row>
    <row r="362" customFormat="false" ht="15" hidden="false" customHeight="false" outlineLevel="0" collapsed="false">
      <c r="A362" s="0" t="n">
        <v>1360</v>
      </c>
      <c r="B362" s="0" t="n">
        <v>1</v>
      </c>
      <c r="C362" s="0" t="s">
        <v>5</v>
      </c>
      <c r="D362" s="0" t="n">
        <v>898.8</v>
      </c>
      <c r="E362" s="0" t="s">
        <v>9</v>
      </c>
    </row>
    <row r="363" customFormat="false" ht="15" hidden="false" customHeight="false" outlineLevel="0" collapsed="false">
      <c r="A363" s="0" t="n">
        <v>1361</v>
      </c>
      <c r="B363" s="0" t="n">
        <v>11</v>
      </c>
      <c r="C363" s="0" t="s">
        <v>7</v>
      </c>
      <c r="D363" s="0" t="n">
        <v>1124.99</v>
      </c>
      <c r="E363" s="0" t="s">
        <v>9</v>
      </c>
    </row>
    <row r="364" customFormat="false" ht="15" hidden="false" customHeight="false" outlineLevel="0" collapsed="false">
      <c r="A364" s="0" t="n">
        <v>1362</v>
      </c>
      <c r="B364" s="0" t="n">
        <v>6</v>
      </c>
      <c r="C364" s="0" t="s">
        <v>7</v>
      </c>
      <c r="D364" s="0" t="n">
        <v>4977.73</v>
      </c>
      <c r="E364" s="0" t="s">
        <v>9</v>
      </c>
    </row>
    <row r="365" customFormat="false" ht="15" hidden="false" customHeight="false" outlineLevel="0" collapsed="false">
      <c r="A365" s="0" t="n">
        <v>1363</v>
      </c>
      <c r="B365" s="0" t="n">
        <v>3</v>
      </c>
      <c r="C365" s="0" t="s">
        <v>8</v>
      </c>
      <c r="D365" s="0" t="n">
        <v>3590.06</v>
      </c>
      <c r="E365" s="0" t="s">
        <v>6</v>
      </c>
    </row>
    <row r="366" customFormat="false" ht="15" hidden="false" customHeight="false" outlineLevel="0" collapsed="false">
      <c r="A366" s="0" t="n">
        <v>1364</v>
      </c>
      <c r="B366" s="0" t="n">
        <v>12</v>
      </c>
      <c r="C366" s="0" t="s">
        <v>12</v>
      </c>
      <c r="D366" s="0" t="n">
        <v>2925.56</v>
      </c>
      <c r="E366" s="0" t="s">
        <v>6</v>
      </c>
    </row>
    <row r="367" customFormat="false" ht="15" hidden="false" customHeight="false" outlineLevel="0" collapsed="false">
      <c r="A367" s="0" t="n">
        <v>1365</v>
      </c>
      <c r="B367" s="0" t="n">
        <v>6</v>
      </c>
      <c r="C367" s="0" t="s">
        <v>5</v>
      </c>
      <c r="D367" s="0" t="n">
        <v>749.97</v>
      </c>
      <c r="E367" s="0" t="s">
        <v>6</v>
      </c>
    </row>
    <row r="368" customFormat="false" ht="15" hidden="false" customHeight="false" outlineLevel="0" collapsed="false">
      <c r="A368" s="0" t="n">
        <v>1366</v>
      </c>
      <c r="B368" s="0" t="n">
        <v>8</v>
      </c>
      <c r="C368" s="0" t="s">
        <v>10</v>
      </c>
      <c r="D368" s="0" t="n">
        <v>2705.82</v>
      </c>
      <c r="E368" s="0" t="s">
        <v>9</v>
      </c>
    </row>
    <row r="369" customFormat="false" ht="15" hidden="false" customHeight="false" outlineLevel="0" collapsed="false">
      <c r="A369" s="0" t="n">
        <v>1367</v>
      </c>
      <c r="B369" s="0" t="n">
        <v>6</v>
      </c>
      <c r="C369" s="0" t="s">
        <v>7</v>
      </c>
      <c r="D369" s="0" t="n">
        <v>228.45</v>
      </c>
      <c r="E369" s="0" t="s">
        <v>6</v>
      </c>
    </row>
    <row r="370" customFormat="false" ht="15" hidden="false" customHeight="false" outlineLevel="0" collapsed="false">
      <c r="A370" s="0" t="n">
        <v>1368</v>
      </c>
      <c r="B370" s="0" t="n">
        <v>11</v>
      </c>
      <c r="C370" s="0" t="s">
        <v>12</v>
      </c>
      <c r="D370" s="0" t="n">
        <v>3124.24</v>
      </c>
      <c r="E370" s="0" t="s">
        <v>6</v>
      </c>
    </row>
    <row r="371" customFormat="false" ht="15" hidden="false" customHeight="false" outlineLevel="0" collapsed="false">
      <c r="A371" s="0" t="n">
        <v>1369</v>
      </c>
      <c r="B371" s="0" t="n">
        <v>10</v>
      </c>
      <c r="C371" s="0" t="s">
        <v>10</v>
      </c>
      <c r="D371" s="0" t="n">
        <v>4425.32</v>
      </c>
      <c r="E371" s="0" t="s">
        <v>6</v>
      </c>
    </row>
    <row r="372" customFormat="false" ht="15" hidden="false" customHeight="false" outlineLevel="0" collapsed="false">
      <c r="A372" s="0" t="n">
        <v>1370</v>
      </c>
      <c r="B372" s="0" t="n">
        <v>7</v>
      </c>
      <c r="C372" s="0" t="s">
        <v>10</v>
      </c>
      <c r="D372" s="0" t="n">
        <v>3262.89</v>
      </c>
      <c r="E372" s="0" t="s">
        <v>6</v>
      </c>
    </row>
    <row r="373" customFormat="false" ht="15" hidden="false" customHeight="false" outlineLevel="0" collapsed="false">
      <c r="A373" s="0" t="n">
        <v>1371</v>
      </c>
      <c r="B373" s="0" t="n">
        <v>7</v>
      </c>
      <c r="C373" s="0" t="s">
        <v>10</v>
      </c>
      <c r="D373" s="0" t="n">
        <v>2802.11</v>
      </c>
      <c r="E373" s="0" t="s">
        <v>6</v>
      </c>
    </row>
    <row r="374" customFormat="false" ht="15" hidden="false" customHeight="false" outlineLevel="0" collapsed="false">
      <c r="A374" s="0" t="n">
        <v>1372</v>
      </c>
      <c r="B374" s="0" t="n">
        <v>7</v>
      </c>
      <c r="C374" s="0" t="s">
        <v>7</v>
      </c>
      <c r="D374" s="0" t="n">
        <v>1862.8</v>
      </c>
      <c r="E374" s="0" t="s">
        <v>6</v>
      </c>
    </row>
    <row r="375" customFormat="false" ht="15" hidden="false" customHeight="false" outlineLevel="0" collapsed="false">
      <c r="A375" s="0" t="n">
        <v>1373</v>
      </c>
      <c r="B375" s="0" t="n">
        <v>4</v>
      </c>
      <c r="C375" s="0" t="s">
        <v>11</v>
      </c>
      <c r="D375" s="0" t="n">
        <v>3494.14</v>
      </c>
      <c r="E375" s="0" t="s">
        <v>9</v>
      </c>
    </row>
    <row r="376" customFormat="false" ht="15" hidden="false" customHeight="false" outlineLevel="0" collapsed="false">
      <c r="A376" s="0" t="n">
        <v>1374</v>
      </c>
      <c r="B376" s="0" t="n">
        <v>12</v>
      </c>
      <c r="C376" s="0" t="s">
        <v>8</v>
      </c>
      <c r="D376" s="0" t="n">
        <v>1633.74</v>
      </c>
      <c r="E376" s="0" t="s">
        <v>6</v>
      </c>
    </row>
    <row r="377" customFormat="false" ht="15" hidden="false" customHeight="false" outlineLevel="0" collapsed="false">
      <c r="A377" s="0" t="n">
        <v>1375</v>
      </c>
      <c r="B377" s="0" t="n">
        <v>6</v>
      </c>
      <c r="C377" s="0" t="s">
        <v>10</v>
      </c>
      <c r="D377" s="0" t="n">
        <v>2439.96</v>
      </c>
      <c r="E377" s="0" t="s">
        <v>9</v>
      </c>
    </row>
    <row r="378" customFormat="false" ht="15" hidden="false" customHeight="false" outlineLevel="0" collapsed="false">
      <c r="A378" s="0" t="n">
        <v>1376</v>
      </c>
      <c r="B378" s="0" t="n">
        <v>8</v>
      </c>
      <c r="C378" s="0" t="s">
        <v>12</v>
      </c>
      <c r="D378" s="0" t="n">
        <v>4542.12</v>
      </c>
      <c r="E378" s="0" t="s">
        <v>6</v>
      </c>
    </row>
    <row r="379" customFormat="false" ht="15" hidden="false" customHeight="false" outlineLevel="0" collapsed="false">
      <c r="A379" s="0" t="n">
        <v>1377</v>
      </c>
      <c r="B379" s="0" t="n">
        <v>2</v>
      </c>
      <c r="C379" s="0" t="s">
        <v>10</v>
      </c>
      <c r="D379" s="0" t="n">
        <v>292.92</v>
      </c>
      <c r="E379" s="0" t="s">
        <v>9</v>
      </c>
    </row>
    <row r="380" customFormat="false" ht="15" hidden="false" customHeight="false" outlineLevel="0" collapsed="false">
      <c r="A380" s="0" t="n">
        <v>1378</v>
      </c>
      <c r="B380" s="0" t="n">
        <v>12</v>
      </c>
      <c r="C380" s="0" t="s">
        <v>12</v>
      </c>
      <c r="D380" s="0" t="n">
        <v>845.77</v>
      </c>
      <c r="E380" s="0" t="s">
        <v>6</v>
      </c>
    </row>
    <row r="381" customFormat="false" ht="15" hidden="false" customHeight="false" outlineLevel="0" collapsed="false">
      <c r="A381" s="0" t="n">
        <v>1379</v>
      </c>
      <c r="B381" s="0" t="n">
        <v>2</v>
      </c>
      <c r="C381" s="0" t="s">
        <v>8</v>
      </c>
      <c r="D381" s="0" t="n">
        <v>2768.97</v>
      </c>
      <c r="E381" s="0" t="s">
        <v>6</v>
      </c>
    </row>
    <row r="382" customFormat="false" ht="15" hidden="false" customHeight="false" outlineLevel="0" collapsed="false">
      <c r="A382" s="0" t="n">
        <v>1380</v>
      </c>
      <c r="B382" s="0" t="n">
        <v>7</v>
      </c>
      <c r="C382" s="0" t="s">
        <v>5</v>
      </c>
      <c r="D382" s="0" t="n">
        <v>2587.32</v>
      </c>
      <c r="E382" s="0" t="s">
        <v>9</v>
      </c>
    </row>
    <row r="383" customFormat="false" ht="15" hidden="false" customHeight="false" outlineLevel="0" collapsed="false">
      <c r="A383" s="0" t="n">
        <v>1381</v>
      </c>
      <c r="B383" s="0" t="n">
        <v>5</v>
      </c>
      <c r="C383" s="0" t="s">
        <v>8</v>
      </c>
      <c r="D383" s="0" t="n">
        <v>2407.89</v>
      </c>
      <c r="E383" s="0" t="s">
        <v>6</v>
      </c>
    </row>
    <row r="384" customFormat="false" ht="15" hidden="false" customHeight="false" outlineLevel="0" collapsed="false">
      <c r="A384" s="0" t="n">
        <v>1382</v>
      </c>
      <c r="B384" s="0" t="n">
        <v>4</v>
      </c>
      <c r="C384" s="0" t="s">
        <v>11</v>
      </c>
      <c r="D384" s="0" t="n">
        <v>603.67</v>
      </c>
      <c r="E384" s="0" t="s">
        <v>6</v>
      </c>
    </row>
    <row r="385" customFormat="false" ht="15" hidden="false" customHeight="false" outlineLevel="0" collapsed="false">
      <c r="A385" s="0" t="n">
        <v>1383</v>
      </c>
      <c r="B385" s="0" t="n">
        <v>8</v>
      </c>
      <c r="C385" s="0" t="s">
        <v>11</v>
      </c>
      <c r="D385" s="0" t="n">
        <v>2181.55</v>
      </c>
      <c r="E385" s="0" t="s">
        <v>6</v>
      </c>
    </row>
    <row r="386" customFormat="false" ht="15" hidden="false" customHeight="false" outlineLevel="0" collapsed="false">
      <c r="A386" s="0" t="n">
        <v>1384</v>
      </c>
      <c r="B386" s="0" t="n">
        <v>6</v>
      </c>
      <c r="C386" s="0" t="s">
        <v>10</v>
      </c>
      <c r="D386" s="0" t="n">
        <v>946.69</v>
      </c>
      <c r="E386" s="0" t="s">
        <v>6</v>
      </c>
    </row>
    <row r="387" customFormat="false" ht="15" hidden="false" customHeight="false" outlineLevel="0" collapsed="false">
      <c r="A387" s="0" t="n">
        <v>1385</v>
      </c>
      <c r="B387" s="0" t="n">
        <v>11</v>
      </c>
      <c r="C387" s="0" t="s">
        <v>12</v>
      </c>
      <c r="D387" s="0" t="n">
        <v>1249.84</v>
      </c>
      <c r="E387" s="0" t="s">
        <v>6</v>
      </c>
    </row>
    <row r="388" customFormat="false" ht="15" hidden="false" customHeight="false" outlineLevel="0" collapsed="false">
      <c r="A388" s="0" t="n">
        <v>1386</v>
      </c>
      <c r="B388" s="0" t="n">
        <v>6</v>
      </c>
      <c r="C388" s="0" t="s">
        <v>10</v>
      </c>
      <c r="D388" s="0" t="n">
        <v>1729.18</v>
      </c>
      <c r="E388" s="0" t="s">
        <v>6</v>
      </c>
    </row>
    <row r="389" customFormat="false" ht="15" hidden="false" customHeight="false" outlineLevel="0" collapsed="false">
      <c r="A389" s="0" t="n">
        <v>1387</v>
      </c>
      <c r="B389" s="0" t="n">
        <v>2</v>
      </c>
      <c r="C389" s="0" t="s">
        <v>10</v>
      </c>
      <c r="D389" s="0" t="n">
        <v>694.36</v>
      </c>
      <c r="E389" s="0" t="s">
        <v>6</v>
      </c>
    </row>
    <row r="390" customFormat="false" ht="15" hidden="false" customHeight="false" outlineLevel="0" collapsed="false">
      <c r="A390" s="0" t="n">
        <v>1388</v>
      </c>
      <c r="B390" s="0" t="n">
        <v>4</v>
      </c>
      <c r="C390" s="0" t="s">
        <v>7</v>
      </c>
      <c r="D390" s="0" t="n">
        <v>1683.21</v>
      </c>
      <c r="E390" s="0" t="s">
        <v>6</v>
      </c>
    </row>
    <row r="391" customFormat="false" ht="15" hidden="false" customHeight="false" outlineLevel="0" collapsed="false">
      <c r="A391" s="0" t="n">
        <v>1389</v>
      </c>
      <c r="B391" s="0" t="n">
        <v>6</v>
      </c>
      <c r="C391" s="0" t="s">
        <v>12</v>
      </c>
      <c r="D391" s="0" t="n">
        <v>843.09</v>
      </c>
      <c r="E391" s="0" t="s">
        <v>9</v>
      </c>
    </row>
    <row r="392" customFormat="false" ht="15" hidden="false" customHeight="false" outlineLevel="0" collapsed="false">
      <c r="A392" s="0" t="n">
        <v>1390</v>
      </c>
      <c r="B392" s="0" t="n">
        <v>5</v>
      </c>
      <c r="C392" s="0" t="s">
        <v>5</v>
      </c>
      <c r="D392" s="0" t="n">
        <v>682.42</v>
      </c>
      <c r="E392" s="0" t="s">
        <v>9</v>
      </c>
    </row>
    <row r="393" customFormat="false" ht="15" hidden="false" customHeight="false" outlineLevel="0" collapsed="false">
      <c r="A393" s="0" t="n">
        <v>1391</v>
      </c>
      <c r="B393" s="0" t="n">
        <v>12</v>
      </c>
      <c r="C393" s="0" t="s">
        <v>7</v>
      </c>
      <c r="D393" s="0" t="n">
        <v>2530.67</v>
      </c>
      <c r="E393" s="0" t="s">
        <v>9</v>
      </c>
    </row>
    <row r="394" customFormat="false" ht="15" hidden="false" customHeight="false" outlineLevel="0" collapsed="false">
      <c r="A394" s="0" t="n">
        <v>1392</v>
      </c>
      <c r="B394" s="0" t="n">
        <v>7</v>
      </c>
      <c r="C394" s="0" t="s">
        <v>11</v>
      </c>
      <c r="D394" s="0" t="n">
        <v>1490.77</v>
      </c>
      <c r="E394" s="0" t="s">
        <v>6</v>
      </c>
    </row>
    <row r="395" customFormat="false" ht="15" hidden="false" customHeight="false" outlineLevel="0" collapsed="false">
      <c r="A395" s="0" t="n">
        <v>1393</v>
      </c>
      <c r="B395" s="0" t="n">
        <v>10</v>
      </c>
      <c r="C395" s="0" t="s">
        <v>7</v>
      </c>
      <c r="D395" s="0" t="n">
        <v>786.02</v>
      </c>
      <c r="E395" s="0" t="s">
        <v>6</v>
      </c>
    </row>
    <row r="396" customFormat="false" ht="15" hidden="false" customHeight="false" outlineLevel="0" collapsed="false">
      <c r="A396" s="0" t="n">
        <v>1394</v>
      </c>
      <c r="B396" s="0" t="n">
        <v>3</v>
      </c>
      <c r="C396" s="0" t="s">
        <v>7</v>
      </c>
      <c r="D396" s="0" t="n">
        <v>3209.54</v>
      </c>
      <c r="E396" s="0" t="s">
        <v>6</v>
      </c>
    </row>
    <row r="397" customFormat="false" ht="15" hidden="false" customHeight="false" outlineLevel="0" collapsed="false">
      <c r="A397" s="0" t="n">
        <v>1395</v>
      </c>
      <c r="B397" s="0" t="n">
        <v>3</v>
      </c>
      <c r="C397" s="0" t="s">
        <v>5</v>
      </c>
      <c r="D397" s="0" t="n">
        <v>3649.81</v>
      </c>
      <c r="E397" s="0" t="s">
        <v>6</v>
      </c>
    </row>
    <row r="398" customFormat="false" ht="15" hidden="false" customHeight="false" outlineLevel="0" collapsed="false">
      <c r="A398" s="0" t="n">
        <v>1396</v>
      </c>
      <c r="B398" s="0" t="n">
        <v>12</v>
      </c>
      <c r="C398" s="0" t="s">
        <v>10</v>
      </c>
      <c r="D398" s="0" t="n">
        <v>3228.33</v>
      </c>
      <c r="E398" s="0" t="s">
        <v>6</v>
      </c>
    </row>
    <row r="399" customFormat="false" ht="15" hidden="false" customHeight="false" outlineLevel="0" collapsed="false">
      <c r="A399" s="0" t="n">
        <v>1397</v>
      </c>
      <c r="B399" s="0" t="n">
        <v>1</v>
      </c>
      <c r="C399" s="0" t="s">
        <v>10</v>
      </c>
      <c r="D399" s="0" t="n">
        <v>2792.09</v>
      </c>
      <c r="E399" s="0" t="s">
        <v>6</v>
      </c>
    </row>
    <row r="400" customFormat="false" ht="15" hidden="false" customHeight="false" outlineLevel="0" collapsed="false">
      <c r="A400" s="0" t="n">
        <v>1398</v>
      </c>
      <c r="B400" s="0" t="n">
        <v>4</v>
      </c>
      <c r="C400" s="0" t="s">
        <v>8</v>
      </c>
      <c r="D400" s="0" t="n">
        <v>809.1</v>
      </c>
      <c r="E400" s="0" t="s">
        <v>6</v>
      </c>
    </row>
    <row r="401" customFormat="false" ht="15" hidden="false" customHeight="false" outlineLevel="0" collapsed="false">
      <c r="A401" s="0" t="n">
        <v>1399</v>
      </c>
      <c r="B401" s="0" t="n">
        <v>8</v>
      </c>
      <c r="C401" s="0" t="s">
        <v>7</v>
      </c>
      <c r="D401" s="0" t="n">
        <v>3697.64</v>
      </c>
      <c r="E401" s="0" t="s">
        <v>6</v>
      </c>
    </row>
    <row r="402" customFormat="false" ht="15" hidden="false" customHeight="false" outlineLevel="0" collapsed="false">
      <c r="A402" s="0" t="n">
        <v>1400</v>
      </c>
      <c r="B402" s="0" t="n">
        <v>2</v>
      </c>
      <c r="C402" s="0" t="s">
        <v>5</v>
      </c>
      <c r="D402" s="0" t="n">
        <v>1697.29</v>
      </c>
      <c r="E402" s="0" t="s">
        <v>6</v>
      </c>
    </row>
    <row r="403" customFormat="false" ht="15" hidden="false" customHeight="false" outlineLevel="0" collapsed="false">
      <c r="A403" s="0" t="n">
        <v>1401</v>
      </c>
      <c r="B403" s="0" t="n">
        <v>5</v>
      </c>
      <c r="C403" s="0" t="s">
        <v>12</v>
      </c>
      <c r="D403" s="0" t="n">
        <v>452.16</v>
      </c>
      <c r="E403" s="0" t="s">
        <v>6</v>
      </c>
    </row>
    <row r="404" customFormat="false" ht="15" hidden="false" customHeight="false" outlineLevel="0" collapsed="false">
      <c r="A404" s="0" t="n">
        <v>1402</v>
      </c>
      <c r="B404" s="0" t="n">
        <v>11</v>
      </c>
      <c r="C404" s="0" t="s">
        <v>12</v>
      </c>
      <c r="D404" s="0" t="n">
        <v>494.91</v>
      </c>
      <c r="E404" s="0" t="s">
        <v>6</v>
      </c>
    </row>
    <row r="405" customFormat="false" ht="15" hidden="false" customHeight="false" outlineLevel="0" collapsed="false">
      <c r="A405" s="0" t="n">
        <v>1403</v>
      </c>
      <c r="B405" s="0" t="n">
        <v>11</v>
      </c>
      <c r="C405" s="0" t="s">
        <v>5</v>
      </c>
      <c r="D405" s="0" t="n">
        <v>1966.09</v>
      </c>
      <c r="E405" s="0" t="s">
        <v>9</v>
      </c>
    </row>
    <row r="406" customFormat="false" ht="15" hidden="false" customHeight="false" outlineLevel="0" collapsed="false">
      <c r="A406" s="0" t="n">
        <v>1404</v>
      </c>
      <c r="B406" s="0" t="n">
        <v>9</v>
      </c>
      <c r="C406" s="0" t="s">
        <v>10</v>
      </c>
      <c r="D406" s="0" t="n">
        <v>3063.5</v>
      </c>
      <c r="E406" s="0" t="s">
        <v>6</v>
      </c>
    </row>
    <row r="407" customFormat="false" ht="15" hidden="false" customHeight="false" outlineLevel="0" collapsed="false">
      <c r="A407" s="0" t="n">
        <v>1405</v>
      </c>
      <c r="B407" s="0" t="n">
        <v>3</v>
      </c>
      <c r="C407" s="0" t="s">
        <v>10</v>
      </c>
      <c r="D407" s="0" t="n">
        <v>4137.35</v>
      </c>
      <c r="E407" s="0" t="s">
        <v>6</v>
      </c>
    </row>
    <row r="408" customFormat="false" ht="15" hidden="false" customHeight="false" outlineLevel="0" collapsed="false">
      <c r="A408" s="0" t="n">
        <v>1406</v>
      </c>
      <c r="B408" s="0" t="n">
        <v>5</v>
      </c>
      <c r="C408" s="0" t="s">
        <v>10</v>
      </c>
      <c r="D408" s="0" t="n">
        <v>3499.18</v>
      </c>
      <c r="E408" s="0" t="s">
        <v>6</v>
      </c>
    </row>
    <row r="409" customFormat="false" ht="15" hidden="false" customHeight="false" outlineLevel="0" collapsed="false">
      <c r="A409" s="0" t="n">
        <v>1407</v>
      </c>
      <c r="B409" s="0" t="n">
        <v>1</v>
      </c>
      <c r="C409" s="0" t="s">
        <v>8</v>
      </c>
      <c r="D409" s="0" t="n">
        <v>1696.16</v>
      </c>
      <c r="E409" s="0" t="s">
        <v>6</v>
      </c>
    </row>
    <row r="410" customFormat="false" ht="15" hidden="false" customHeight="false" outlineLevel="0" collapsed="false">
      <c r="A410" s="0" t="n">
        <v>1408</v>
      </c>
      <c r="B410" s="0" t="n">
        <v>6</v>
      </c>
      <c r="C410" s="0" t="s">
        <v>8</v>
      </c>
      <c r="D410" s="0" t="n">
        <v>240.48</v>
      </c>
      <c r="E410" s="0" t="s">
        <v>6</v>
      </c>
    </row>
    <row r="411" customFormat="false" ht="15" hidden="false" customHeight="false" outlineLevel="0" collapsed="false">
      <c r="A411" s="0" t="n">
        <v>1409</v>
      </c>
      <c r="B411" s="0" t="n">
        <v>7</v>
      </c>
      <c r="C411" s="0" t="s">
        <v>8</v>
      </c>
      <c r="D411" s="0" t="n">
        <v>4030.98</v>
      </c>
      <c r="E411" s="0" t="s">
        <v>9</v>
      </c>
    </row>
    <row r="412" customFormat="false" ht="15" hidden="false" customHeight="false" outlineLevel="0" collapsed="false">
      <c r="A412" s="0" t="n">
        <v>1410</v>
      </c>
      <c r="B412" s="0" t="n">
        <v>11</v>
      </c>
      <c r="C412" s="0" t="s">
        <v>10</v>
      </c>
      <c r="D412" s="0" t="n">
        <v>1646.57</v>
      </c>
      <c r="E412" s="0" t="s">
        <v>6</v>
      </c>
    </row>
    <row r="413" customFormat="false" ht="15" hidden="false" customHeight="false" outlineLevel="0" collapsed="false">
      <c r="A413" s="0" t="n">
        <v>1411</v>
      </c>
      <c r="B413" s="0" t="n">
        <v>8</v>
      </c>
      <c r="C413" s="0" t="s">
        <v>7</v>
      </c>
      <c r="D413" s="0" t="n">
        <v>1198.27</v>
      </c>
      <c r="E413" s="0" t="s">
        <v>6</v>
      </c>
    </row>
    <row r="414" customFormat="false" ht="15" hidden="false" customHeight="false" outlineLevel="0" collapsed="false">
      <c r="A414" s="0" t="n">
        <v>1412</v>
      </c>
      <c r="B414" s="0" t="n">
        <v>6</v>
      </c>
      <c r="C414" s="0" t="s">
        <v>12</v>
      </c>
      <c r="D414" s="0" t="n">
        <v>1164.91</v>
      </c>
      <c r="E414" s="0" t="s">
        <v>9</v>
      </c>
    </row>
    <row r="415" customFormat="false" ht="15" hidden="false" customHeight="false" outlineLevel="0" collapsed="false">
      <c r="A415" s="0" t="n">
        <v>1413</v>
      </c>
      <c r="B415" s="0" t="n">
        <v>7</v>
      </c>
      <c r="C415" s="0" t="s">
        <v>8</v>
      </c>
      <c r="D415" s="0" t="n">
        <v>1989.39</v>
      </c>
      <c r="E415" s="0" t="s">
        <v>6</v>
      </c>
    </row>
    <row r="416" customFormat="false" ht="15" hidden="false" customHeight="false" outlineLevel="0" collapsed="false">
      <c r="A416" s="0" t="n">
        <v>1414</v>
      </c>
      <c r="B416" s="0" t="n">
        <v>9</v>
      </c>
      <c r="C416" s="0" t="s">
        <v>10</v>
      </c>
      <c r="D416" s="0" t="n">
        <v>2995.3</v>
      </c>
      <c r="E416" s="0" t="s">
        <v>6</v>
      </c>
    </row>
    <row r="417" customFormat="false" ht="15" hidden="false" customHeight="false" outlineLevel="0" collapsed="false">
      <c r="A417" s="0" t="n">
        <v>1415</v>
      </c>
      <c r="B417" s="0" t="n">
        <v>2</v>
      </c>
      <c r="C417" s="0" t="s">
        <v>8</v>
      </c>
      <c r="D417" s="0" t="n">
        <v>2042.22</v>
      </c>
      <c r="E417" s="0" t="s">
        <v>6</v>
      </c>
    </row>
    <row r="418" customFormat="false" ht="15" hidden="false" customHeight="false" outlineLevel="0" collapsed="false">
      <c r="A418" s="0" t="n">
        <v>1416</v>
      </c>
      <c r="B418" s="0" t="n">
        <v>4</v>
      </c>
      <c r="C418" s="0" t="s">
        <v>12</v>
      </c>
      <c r="D418" s="0" t="n">
        <v>2281.53</v>
      </c>
      <c r="E418" s="0" t="s">
        <v>6</v>
      </c>
    </row>
    <row r="419" customFormat="false" ht="15" hidden="false" customHeight="false" outlineLevel="0" collapsed="false">
      <c r="A419" s="0" t="n">
        <v>1417</v>
      </c>
      <c r="B419" s="0" t="n">
        <v>11</v>
      </c>
      <c r="C419" s="0" t="s">
        <v>5</v>
      </c>
      <c r="D419" s="0" t="n">
        <v>1918.87</v>
      </c>
      <c r="E419" s="0" t="s">
        <v>6</v>
      </c>
    </row>
    <row r="420" customFormat="false" ht="15" hidden="false" customHeight="false" outlineLevel="0" collapsed="false">
      <c r="A420" s="0" t="n">
        <v>1418</v>
      </c>
      <c r="B420" s="0" t="n">
        <v>9</v>
      </c>
      <c r="C420" s="0" t="s">
        <v>5</v>
      </c>
      <c r="D420" s="0" t="n">
        <v>2144.33</v>
      </c>
      <c r="E420" s="0" t="s">
        <v>6</v>
      </c>
    </row>
    <row r="421" customFormat="false" ht="15" hidden="false" customHeight="false" outlineLevel="0" collapsed="false">
      <c r="A421" s="0" t="n">
        <v>1419</v>
      </c>
      <c r="B421" s="0" t="n">
        <v>2</v>
      </c>
      <c r="C421" s="0" t="s">
        <v>12</v>
      </c>
      <c r="D421" s="0" t="n">
        <v>3976.26</v>
      </c>
      <c r="E421" s="0" t="s">
        <v>6</v>
      </c>
    </row>
    <row r="422" customFormat="false" ht="15" hidden="false" customHeight="false" outlineLevel="0" collapsed="false">
      <c r="A422" s="0" t="n">
        <v>1420</v>
      </c>
      <c r="B422" s="0" t="n">
        <v>5</v>
      </c>
      <c r="C422" s="0" t="s">
        <v>5</v>
      </c>
      <c r="D422" s="0" t="n">
        <v>4694.47</v>
      </c>
      <c r="E422" s="0" t="s">
        <v>6</v>
      </c>
    </row>
    <row r="423" customFormat="false" ht="15" hidden="false" customHeight="false" outlineLevel="0" collapsed="false">
      <c r="A423" s="0" t="n">
        <v>1421</v>
      </c>
      <c r="B423" s="0" t="n">
        <v>8</v>
      </c>
      <c r="C423" s="0" t="s">
        <v>5</v>
      </c>
      <c r="D423" s="0" t="n">
        <v>648.09</v>
      </c>
      <c r="E423" s="0" t="s">
        <v>6</v>
      </c>
    </row>
    <row r="424" customFormat="false" ht="15" hidden="false" customHeight="false" outlineLevel="0" collapsed="false">
      <c r="A424" s="0" t="n">
        <v>1422</v>
      </c>
      <c r="B424" s="0" t="n">
        <v>4</v>
      </c>
      <c r="C424" s="0" t="s">
        <v>11</v>
      </c>
      <c r="D424" s="0" t="n">
        <v>2640.06</v>
      </c>
      <c r="E424" s="0" t="s">
        <v>6</v>
      </c>
    </row>
    <row r="425" customFormat="false" ht="15" hidden="false" customHeight="false" outlineLevel="0" collapsed="false">
      <c r="A425" s="0" t="n">
        <v>1423</v>
      </c>
      <c r="B425" s="0" t="n">
        <v>2</v>
      </c>
      <c r="C425" s="0" t="s">
        <v>8</v>
      </c>
      <c r="D425" s="0" t="n">
        <v>2507.48</v>
      </c>
      <c r="E425" s="0" t="s">
        <v>9</v>
      </c>
    </row>
    <row r="426" customFormat="false" ht="15" hidden="false" customHeight="false" outlineLevel="0" collapsed="false">
      <c r="A426" s="0" t="n">
        <v>1424</v>
      </c>
      <c r="B426" s="0" t="n">
        <v>4</v>
      </c>
      <c r="C426" s="0" t="s">
        <v>10</v>
      </c>
      <c r="D426" s="0" t="n">
        <v>4624.59</v>
      </c>
      <c r="E426" s="0" t="s">
        <v>9</v>
      </c>
    </row>
    <row r="427" customFormat="false" ht="15" hidden="false" customHeight="false" outlineLevel="0" collapsed="false">
      <c r="A427" s="0" t="n">
        <v>1425</v>
      </c>
      <c r="B427" s="0" t="n">
        <v>1</v>
      </c>
      <c r="C427" s="0" t="s">
        <v>8</v>
      </c>
      <c r="D427" s="0" t="n">
        <v>134.67</v>
      </c>
      <c r="E427" s="0" t="s">
        <v>6</v>
      </c>
    </row>
    <row r="428" customFormat="false" ht="15" hidden="false" customHeight="false" outlineLevel="0" collapsed="false">
      <c r="A428" s="0" t="n">
        <v>1426</v>
      </c>
      <c r="B428" s="0" t="n">
        <v>1</v>
      </c>
      <c r="C428" s="0" t="s">
        <v>10</v>
      </c>
      <c r="D428" s="0" t="n">
        <v>2550.85</v>
      </c>
      <c r="E428" s="0" t="s">
        <v>9</v>
      </c>
    </row>
    <row r="429" customFormat="false" ht="15" hidden="false" customHeight="false" outlineLevel="0" collapsed="false">
      <c r="A429" s="0" t="n">
        <v>1427</v>
      </c>
      <c r="B429" s="0" t="n">
        <v>1</v>
      </c>
      <c r="C429" s="0" t="s">
        <v>8</v>
      </c>
      <c r="D429" s="0" t="n">
        <v>1735.3</v>
      </c>
      <c r="E429" s="0" t="s">
        <v>6</v>
      </c>
    </row>
    <row r="430" customFormat="false" ht="15" hidden="false" customHeight="false" outlineLevel="0" collapsed="false">
      <c r="A430" s="0" t="n">
        <v>1428</v>
      </c>
      <c r="B430" s="0" t="n">
        <v>5</v>
      </c>
      <c r="C430" s="0" t="s">
        <v>7</v>
      </c>
      <c r="D430" s="0" t="n">
        <v>2467.27</v>
      </c>
      <c r="E430" s="0" t="s">
        <v>6</v>
      </c>
    </row>
    <row r="431" customFormat="false" ht="15" hidden="false" customHeight="false" outlineLevel="0" collapsed="false">
      <c r="A431" s="0" t="n">
        <v>1429</v>
      </c>
      <c r="B431" s="0" t="n">
        <v>3</v>
      </c>
      <c r="C431" s="0" t="s">
        <v>11</v>
      </c>
      <c r="D431" s="0" t="n">
        <v>3136.12</v>
      </c>
      <c r="E431" s="0" t="s">
        <v>6</v>
      </c>
    </row>
    <row r="432" customFormat="false" ht="15" hidden="false" customHeight="false" outlineLevel="0" collapsed="false">
      <c r="A432" s="0" t="n">
        <v>1430</v>
      </c>
      <c r="B432" s="0" t="n">
        <v>7</v>
      </c>
      <c r="C432" s="0" t="s">
        <v>10</v>
      </c>
      <c r="D432" s="0" t="n">
        <v>238.25</v>
      </c>
      <c r="E432" s="0" t="s">
        <v>6</v>
      </c>
    </row>
    <row r="433" customFormat="false" ht="15" hidden="false" customHeight="false" outlineLevel="0" collapsed="false">
      <c r="A433" s="0" t="n">
        <v>1431</v>
      </c>
      <c r="B433" s="0" t="n">
        <v>4</v>
      </c>
      <c r="C433" s="0" t="s">
        <v>8</v>
      </c>
      <c r="D433" s="0" t="n">
        <v>809.5</v>
      </c>
      <c r="E433" s="0" t="s">
        <v>9</v>
      </c>
    </row>
    <row r="434" customFormat="false" ht="15" hidden="false" customHeight="false" outlineLevel="0" collapsed="false">
      <c r="A434" s="0" t="n">
        <v>1432</v>
      </c>
      <c r="B434" s="0" t="n">
        <v>9</v>
      </c>
      <c r="C434" s="0" t="s">
        <v>10</v>
      </c>
      <c r="D434" s="0" t="n">
        <v>3849.26</v>
      </c>
      <c r="E434" s="0" t="s">
        <v>6</v>
      </c>
    </row>
    <row r="435" customFormat="false" ht="15" hidden="false" customHeight="false" outlineLevel="0" collapsed="false">
      <c r="A435" s="0" t="n">
        <v>1433</v>
      </c>
      <c r="B435" s="0" t="n">
        <v>11</v>
      </c>
      <c r="C435" s="0" t="s">
        <v>12</v>
      </c>
      <c r="D435" s="0" t="n">
        <v>431.75</v>
      </c>
      <c r="E435" s="0" t="s">
        <v>6</v>
      </c>
    </row>
    <row r="436" customFormat="false" ht="15" hidden="false" customHeight="false" outlineLevel="0" collapsed="false">
      <c r="A436" s="0" t="n">
        <v>1434</v>
      </c>
      <c r="B436" s="0" t="n">
        <v>9</v>
      </c>
      <c r="C436" s="0" t="s">
        <v>5</v>
      </c>
      <c r="D436" s="0" t="n">
        <v>50.84</v>
      </c>
      <c r="E436" s="0" t="s">
        <v>6</v>
      </c>
    </row>
    <row r="437" customFormat="false" ht="15" hidden="false" customHeight="false" outlineLevel="0" collapsed="false">
      <c r="A437" s="0" t="n">
        <v>1435</v>
      </c>
      <c r="B437" s="0" t="n">
        <v>6</v>
      </c>
      <c r="C437" s="0" t="s">
        <v>10</v>
      </c>
      <c r="D437" s="0" t="n">
        <v>2508.92</v>
      </c>
      <c r="E437" s="0" t="s">
        <v>6</v>
      </c>
    </row>
    <row r="438" customFormat="false" ht="15" hidden="false" customHeight="false" outlineLevel="0" collapsed="false">
      <c r="A438" s="0" t="n">
        <v>1436</v>
      </c>
      <c r="B438" s="0" t="n">
        <v>7</v>
      </c>
      <c r="C438" s="0" t="s">
        <v>10</v>
      </c>
      <c r="D438" s="0" t="n">
        <v>3560.47</v>
      </c>
      <c r="E438" s="0" t="s">
        <v>9</v>
      </c>
    </row>
    <row r="439" customFormat="false" ht="15" hidden="false" customHeight="false" outlineLevel="0" collapsed="false">
      <c r="A439" s="0" t="n">
        <v>1437</v>
      </c>
      <c r="B439" s="0" t="n">
        <v>7</v>
      </c>
      <c r="C439" s="0" t="s">
        <v>7</v>
      </c>
      <c r="D439" s="0" t="n">
        <v>1729.99</v>
      </c>
      <c r="E439" s="0" t="s">
        <v>6</v>
      </c>
    </row>
    <row r="440" customFormat="false" ht="15" hidden="false" customHeight="false" outlineLevel="0" collapsed="false">
      <c r="A440" s="0" t="n">
        <v>1438</v>
      </c>
      <c r="B440" s="0" t="n">
        <v>6</v>
      </c>
      <c r="C440" s="0" t="s">
        <v>11</v>
      </c>
      <c r="D440" s="0" t="n">
        <v>2416.32</v>
      </c>
      <c r="E440" s="0" t="s">
        <v>6</v>
      </c>
    </row>
    <row r="441" customFormat="false" ht="15" hidden="false" customHeight="false" outlineLevel="0" collapsed="false">
      <c r="A441" s="0" t="n">
        <v>1439</v>
      </c>
      <c r="B441" s="0" t="n">
        <v>8</v>
      </c>
      <c r="C441" s="0" t="s">
        <v>10</v>
      </c>
      <c r="D441" s="0" t="n">
        <v>1298.48</v>
      </c>
      <c r="E441" s="0" t="s">
        <v>6</v>
      </c>
    </row>
    <row r="442" customFormat="false" ht="15" hidden="false" customHeight="false" outlineLevel="0" collapsed="false">
      <c r="A442" s="0" t="n">
        <v>1440</v>
      </c>
      <c r="B442" s="0" t="n">
        <v>2</v>
      </c>
      <c r="C442" s="0" t="s">
        <v>10</v>
      </c>
      <c r="D442" s="0" t="n">
        <v>1323.48</v>
      </c>
      <c r="E442" s="0" t="s">
        <v>9</v>
      </c>
    </row>
    <row r="443" customFormat="false" ht="15" hidden="false" customHeight="false" outlineLevel="0" collapsed="false">
      <c r="A443" s="0" t="n">
        <v>1441</v>
      </c>
      <c r="B443" s="0" t="n">
        <v>7</v>
      </c>
      <c r="C443" s="0" t="s">
        <v>7</v>
      </c>
      <c r="D443" s="0" t="n">
        <v>3770.95</v>
      </c>
      <c r="E443" s="0" t="s">
        <v>6</v>
      </c>
    </row>
    <row r="444" customFormat="false" ht="15" hidden="false" customHeight="false" outlineLevel="0" collapsed="false">
      <c r="A444" s="0" t="n">
        <v>1442</v>
      </c>
      <c r="B444" s="0" t="n">
        <v>10</v>
      </c>
      <c r="C444" s="0" t="s">
        <v>8</v>
      </c>
      <c r="D444" s="0" t="n">
        <v>3323.12</v>
      </c>
      <c r="E444" s="0" t="s">
        <v>6</v>
      </c>
    </row>
    <row r="445" customFormat="false" ht="15" hidden="false" customHeight="false" outlineLevel="0" collapsed="false">
      <c r="A445" s="0" t="n">
        <v>1443</v>
      </c>
      <c r="B445" s="0" t="n">
        <v>10</v>
      </c>
      <c r="C445" s="0" t="s">
        <v>7</v>
      </c>
      <c r="D445" s="0" t="n">
        <v>1222.56</v>
      </c>
      <c r="E445" s="0" t="s">
        <v>6</v>
      </c>
    </row>
    <row r="446" customFormat="false" ht="15" hidden="false" customHeight="false" outlineLevel="0" collapsed="false">
      <c r="A446" s="0" t="n">
        <v>1444</v>
      </c>
      <c r="B446" s="0" t="n">
        <v>6</v>
      </c>
      <c r="C446" s="0" t="s">
        <v>8</v>
      </c>
      <c r="D446" s="0" t="n">
        <v>3277.47</v>
      </c>
      <c r="E446" s="0" t="s">
        <v>9</v>
      </c>
    </row>
    <row r="447" customFormat="false" ht="15" hidden="false" customHeight="false" outlineLevel="0" collapsed="false">
      <c r="A447" s="0" t="n">
        <v>1445</v>
      </c>
      <c r="B447" s="0" t="n">
        <v>5</v>
      </c>
      <c r="C447" s="0" t="s">
        <v>7</v>
      </c>
      <c r="D447" s="0" t="n">
        <v>4420.84</v>
      </c>
      <c r="E447" s="0" t="s">
        <v>6</v>
      </c>
    </row>
    <row r="448" customFormat="false" ht="15" hidden="false" customHeight="false" outlineLevel="0" collapsed="false">
      <c r="A448" s="0" t="n">
        <v>1446</v>
      </c>
      <c r="B448" s="0" t="n">
        <v>7</v>
      </c>
      <c r="C448" s="0" t="s">
        <v>7</v>
      </c>
      <c r="D448" s="0" t="n">
        <v>4098.68</v>
      </c>
      <c r="E448" s="0" t="s">
        <v>6</v>
      </c>
    </row>
    <row r="449" customFormat="false" ht="15" hidden="false" customHeight="false" outlineLevel="0" collapsed="false">
      <c r="A449" s="0" t="n">
        <v>1447</v>
      </c>
      <c r="B449" s="0" t="n">
        <v>12</v>
      </c>
      <c r="C449" s="0" t="s">
        <v>7</v>
      </c>
      <c r="D449" s="0" t="n">
        <v>1830.9</v>
      </c>
      <c r="E449" s="0" t="s">
        <v>9</v>
      </c>
    </row>
    <row r="450" customFormat="false" ht="15" hidden="false" customHeight="false" outlineLevel="0" collapsed="false">
      <c r="A450" s="0" t="n">
        <v>1448</v>
      </c>
      <c r="B450" s="0" t="n">
        <v>5</v>
      </c>
      <c r="C450" s="0" t="s">
        <v>5</v>
      </c>
      <c r="D450" s="0" t="n">
        <v>1113.11</v>
      </c>
      <c r="E450" s="0" t="s">
        <v>6</v>
      </c>
    </row>
    <row r="451" customFormat="false" ht="15" hidden="false" customHeight="false" outlineLevel="0" collapsed="false">
      <c r="A451" s="0" t="n">
        <v>1449</v>
      </c>
      <c r="B451" s="0" t="n">
        <v>4</v>
      </c>
      <c r="C451" s="0" t="s">
        <v>5</v>
      </c>
      <c r="D451" s="0" t="n">
        <v>174.3</v>
      </c>
      <c r="E451" s="0" t="s">
        <v>9</v>
      </c>
    </row>
    <row r="452" customFormat="false" ht="15" hidden="false" customHeight="false" outlineLevel="0" collapsed="false">
      <c r="A452" s="0" t="n">
        <v>1450</v>
      </c>
      <c r="B452" s="0" t="n">
        <v>12</v>
      </c>
      <c r="C452" s="0" t="s">
        <v>8</v>
      </c>
      <c r="D452" s="0" t="n">
        <v>3030.03</v>
      </c>
      <c r="E452" s="0" t="s">
        <v>9</v>
      </c>
    </row>
    <row r="453" customFormat="false" ht="15" hidden="false" customHeight="false" outlineLevel="0" collapsed="false">
      <c r="A453" s="0" t="n">
        <v>1451</v>
      </c>
      <c r="B453" s="0" t="n">
        <v>8</v>
      </c>
      <c r="C453" s="0" t="s">
        <v>7</v>
      </c>
      <c r="D453" s="0" t="n">
        <v>1904.83</v>
      </c>
      <c r="E453" s="0" t="s">
        <v>9</v>
      </c>
    </row>
    <row r="454" customFormat="false" ht="15" hidden="false" customHeight="false" outlineLevel="0" collapsed="false">
      <c r="A454" s="0" t="n">
        <v>1452</v>
      </c>
      <c r="B454" s="0" t="n">
        <v>10</v>
      </c>
      <c r="C454" s="0" t="s">
        <v>12</v>
      </c>
      <c r="D454" s="0" t="n">
        <v>2382.13</v>
      </c>
      <c r="E454" s="0" t="s">
        <v>6</v>
      </c>
    </row>
    <row r="455" customFormat="false" ht="15" hidden="false" customHeight="false" outlineLevel="0" collapsed="false">
      <c r="A455" s="0" t="n">
        <v>1453</v>
      </c>
      <c r="B455" s="0" t="n">
        <v>11</v>
      </c>
      <c r="C455" s="0" t="s">
        <v>5</v>
      </c>
      <c r="D455" s="0" t="n">
        <v>3581.81</v>
      </c>
      <c r="E455" s="0" t="s">
        <v>6</v>
      </c>
    </row>
    <row r="456" customFormat="false" ht="15" hidden="false" customHeight="false" outlineLevel="0" collapsed="false">
      <c r="A456" s="0" t="n">
        <v>1454</v>
      </c>
      <c r="B456" s="0" t="n">
        <v>4</v>
      </c>
      <c r="C456" s="0" t="s">
        <v>5</v>
      </c>
      <c r="D456" s="0" t="n">
        <v>4457.17</v>
      </c>
      <c r="E456" s="0" t="s">
        <v>6</v>
      </c>
    </row>
    <row r="457" customFormat="false" ht="15" hidden="false" customHeight="false" outlineLevel="0" collapsed="false">
      <c r="A457" s="0" t="n">
        <v>1455</v>
      </c>
      <c r="B457" s="0" t="n">
        <v>3</v>
      </c>
      <c r="C457" s="0" t="s">
        <v>7</v>
      </c>
      <c r="D457" s="0" t="n">
        <v>3887.45</v>
      </c>
      <c r="E457" s="0" t="s">
        <v>6</v>
      </c>
    </row>
    <row r="458" customFormat="false" ht="15" hidden="false" customHeight="false" outlineLevel="0" collapsed="false">
      <c r="A458" s="0" t="n">
        <v>1456</v>
      </c>
      <c r="B458" s="0" t="n">
        <v>2</v>
      </c>
      <c r="C458" s="0" t="s">
        <v>8</v>
      </c>
      <c r="D458" s="0" t="n">
        <v>2981.45</v>
      </c>
      <c r="E458" s="0" t="s">
        <v>6</v>
      </c>
    </row>
    <row r="459" customFormat="false" ht="15" hidden="false" customHeight="false" outlineLevel="0" collapsed="false">
      <c r="A459" s="0" t="n">
        <v>1457</v>
      </c>
      <c r="B459" s="0" t="n">
        <v>9</v>
      </c>
      <c r="C459" s="0" t="s">
        <v>12</v>
      </c>
      <c r="D459" s="0" t="n">
        <v>4533.46</v>
      </c>
      <c r="E459" s="0" t="s">
        <v>9</v>
      </c>
    </row>
    <row r="460" customFormat="false" ht="15" hidden="false" customHeight="false" outlineLevel="0" collapsed="false">
      <c r="A460" s="0" t="n">
        <v>1458</v>
      </c>
      <c r="B460" s="0" t="n">
        <v>3</v>
      </c>
      <c r="C460" s="0" t="s">
        <v>12</v>
      </c>
      <c r="D460" s="0" t="n">
        <v>1093.42</v>
      </c>
      <c r="E460" s="0" t="s">
        <v>9</v>
      </c>
    </row>
    <row r="461" customFormat="false" ht="15" hidden="false" customHeight="false" outlineLevel="0" collapsed="false">
      <c r="A461" s="0" t="n">
        <v>1459</v>
      </c>
      <c r="B461" s="0" t="n">
        <v>8</v>
      </c>
      <c r="C461" s="0" t="s">
        <v>11</v>
      </c>
      <c r="D461" s="0" t="n">
        <v>3138.42</v>
      </c>
      <c r="E461" s="0" t="s">
        <v>6</v>
      </c>
    </row>
    <row r="462" customFormat="false" ht="15" hidden="false" customHeight="false" outlineLevel="0" collapsed="false">
      <c r="A462" s="0" t="n">
        <v>1460</v>
      </c>
      <c r="B462" s="0" t="n">
        <v>5</v>
      </c>
      <c r="C462" s="0" t="s">
        <v>5</v>
      </c>
      <c r="D462" s="0" t="n">
        <v>111.08</v>
      </c>
      <c r="E462" s="0" t="s">
        <v>6</v>
      </c>
    </row>
    <row r="463" customFormat="false" ht="15" hidden="false" customHeight="false" outlineLevel="0" collapsed="false">
      <c r="A463" s="0" t="n">
        <v>1461</v>
      </c>
      <c r="B463" s="0" t="n">
        <v>6</v>
      </c>
      <c r="C463" s="0" t="s">
        <v>5</v>
      </c>
      <c r="D463" s="0" t="n">
        <v>1939.71</v>
      </c>
      <c r="E463" s="0" t="s">
        <v>6</v>
      </c>
    </row>
    <row r="464" customFormat="false" ht="15" hidden="false" customHeight="false" outlineLevel="0" collapsed="false">
      <c r="A464" s="0" t="n">
        <v>1462</v>
      </c>
      <c r="B464" s="0" t="n">
        <v>5</v>
      </c>
      <c r="C464" s="0" t="s">
        <v>12</v>
      </c>
      <c r="D464" s="0" t="n">
        <v>446.98</v>
      </c>
      <c r="E464" s="0" t="s">
        <v>9</v>
      </c>
    </row>
    <row r="465" customFormat="false" ht="15" hidden="false" customHeight="false" outlineLevel="0" collapsed="false">
      <c r="A465" s="0" t="n">
        <v>1463</v>
      </c>
      <c r="B465" s="0" t="n">
        <v>4</v>
      </c>
      <c r="C465" s="0" t="s">
        <v>12</v>
      </c>
      <c r="D465" s="0" t="n">
        <v>4362.57</v>
      </c>
      <c r="E465" s="0" t="s">
        <v>6</v>
      </c>
    </row>
    <row r="466" customFormat="false" ht="15" hidden="false" customHeight="false" outlineLevel="0" collapsed="false">
      <c r="A466" s="0" t="n">
        <v>1464</v>
      </c>
      <c r="B466" s="0" t="n">
        <v>4</v>
      </c>
      <c r="C466" s="0" t="s">
        <v>10</v>
      </c>
      <c r="D466" s="0" t="n">
        <v>4507.62</v>
      </c>
      <c r="E466" s="0" t="s">
        <v>6</v>
      </c>
    </row>
    <row r="467" customFormat="false" ht="15" hidden="false" customHeight="false" outlineLevel="0" collapsed="false">
      <c r="A467" s="0" t="n">
        <v>1465</v>
      </c>
      <c r="B467" s="0" t="n">
        <v>9</v>
      </c>
      <c r="C467" s="0" t="s">
        <v>11</v>
      </c>
      <c r="D467" s="0" t="n">
        <v>3873.99</v>
      </c>
      <c r="E467" s="0" t="s">
        <v>6</v>
      </c>
    </row>
    <row r="468" customFormat="false" ht="15" hidden="false" customHeight="false" outlineLevel="0" collapsed="false">
      <c r="A468" s="0" t="n">
        <v>1466</v>
      </c>
      <c r="B468" s="0" t="n">
        <v>9</v>
      </c>
      <c r="C468" s="0" t="s">
        <v>10</v>
      </c>
      <c r="D468" s="0" t="n">
        <v>2003.74</v>
      </c>
      <c r="E468" s="0" t="s">
        <v>6</v>
      </c>
    </row>
    <row r="469" customFormat="false" ht="15" hidden="false" customHeight="false" outlineLevel="0" collapsed="false">
      <c r="A469" s="0" t="n">
        <v>1467</v>
      </c>
      <c r="B469" s="0" t="n">
        <v>4</v>
      </c>
      <c r="C469" s="0" t="s">
        <v>12</v>
      </c>
      <c r="D469" s="0" t="n">
        <v>3770.32</v>
      </c>
      <c r="E469" s="0" t="s">
        <v>6</v>
      </c>
    </row>
    <row r="470" customFormat="false" ht="15" hidden="false" customHeight="false" outlineLevel="0" collapsed="false">
      <c r="A470" s="0" t="n">
        <v>1468</v>
      </c>
      <c r="B470" s="0" t="n">
        <v>5</v>
      </c>
      <c r="C470" s="0" t="s">
        <v>11</v>
      </c>
      <c r="D470" s="0" t="n">
        <v>1034.45</v>
      </c>
      <c r="E470" s="0" t="s">
        <v>6</v>
      </c>
    </row>
    <row r="471" customFormat="false" ht="15" hidden="false" customHeight="false" outlineLevel="0" collapsed="false">
      <c r="A471" s="0" t="n">
        <v>1469</v>
      </c>
      <c r="B471" s="0" t="n">
        <v>6</v>
      </c>
      <c r="C471" s="0" t="s">
        <v>12</v>
      </c>
      <c r="D471" s="0" t="n">
        <v>4528.21</v>
      </c>
      <c r="E471" s="0" t="s">
        <v>6</v>
      </c>
    </row>
    <row r="472" customFormat="false" ht="15" hidden="false" customHeight="false" outlineLevel="0" collapsed="false">
      <c r="A472" s="0" t="n">
        <v>1470</v>
      </c>
      <c r="B472" s="0" t="n">
        <v>8</v>
      </c>
      <c r="C472" s="0" t="s">
        <v>7</v>
      </c>
      <c r="D472" s="0" t="n">
        <v>1270.37</v>
      </c>
      <c r="E472" s="0" t="s">
        <v>9</v>
      </c>
    </row>
    <row r="473" customFormat="false" ht="15" hidden="false" customHeight="false" outlineLevel="0" collapsed="false">
      <c r="A473" s="0" t="n">
        <v>1471</v>
      </c>
      <c r="B473" s="0" t="n">
        <v>5</v>
      </c>
      <c r="C473" s="0" t="s">
        <v>5</v>
      </c>
      <c r="D473" s="0" t="n">
        <v>1454.95</v>
      </c>
      <c r="E473" s="0" t="s">
        <v>6</v>
      </c>
    </row>
    <row r="474" customFormat="false" ht="15" hidden="false" customHeight="false" outlineLevel="0" collapsed="false">
      <c r="A474" s="0" t="n">
        <v>1472</v>
      </c>
      <c r="B474" s="0" t="n">
        <v>8</v>
      </c>
      <c r="C474" s="0" t="s">
        <v>12</v>
      </c>
      <c r="D474" s="0" t="n">
        <v>1569.51</v>
      </c>
      <c r="E474" s="0" t="s">
        <v>6</v>
      </c>
    </row>
    <row r="475" customFormat="false" ht="15" hidden="false" customHeight="false" outlineLevel="0" collapsed="false">
      <c r="A475" s="0" t="n">
        <v>1473</v>
      </c>
      <c r="B475" s="0" t="n">
        <v>2</v>
      </c>
      <c r="C475" s="0" t="s">
        <v>7</v>
      </c>
      <c r="D475" s="0" t="n">
        <v>4493.89</v>
      </c>
      <c r="E475" s="0" t="s">
        <v>9</v>
      </c>
    </row>
    <row r="476" customFormat="false" ht="15" hidden="false" customHeight="false" outlineLevel="0" collapsed="false">
      <c r="A476" s="0" t="n">
        <v>1474</v>
      </c>
      <c r="B476" s="0" t="n">
        <v>12</v>
      </c>
      <c r="C476" s="0" t="s">
        <v>11</v>
      </c>
      <c r="D476" s="0" t="n">
        <v>3978.88</v>
      </c>
      <c r="E476" s="0" t="s">
        <v>6</v>
      </c>
    </row>
    <row r="477" customFormat="false" ht="15" hidden="false" customHeight="false" outlineLevel="0" collapsed="false">
      <c r="A477" s="0" t="n">
        <v>1475</v>
      </c>
      <c r="B477" s="0" t="n">
        <v>5</v>
      </c>
      <c r="C477" s="0" t="s">
        <v>10</v>
      </c>
      <c r="D477" s="0" t="n">
        <v>638.42</v>
      </c>
      <c r="E477" s="0" t="s">
        <v>6</v>
      </c>
    </row>
    <row r="478" customFormat="false" ht="15" hidden="false" customHeight="false" outlineLevel="0" collapsed="false">
      <c r="A478" s="0" t="n">
        <v>1476</v>
      </c>
      <c r="B478" s="0" t="n">
        <v>1</v>
      </c>
      <c r="C478" s="0" t="s">
        <v>12</v>
      </c>
      <c r="D478" s="0" t="n">
        <v>4359.87</v>
      </c>
      <c r="E478" s="0" t="s">
        <v>6</v>
      </c>
    </row>
    <row r="479" customFormat="false" ht="15" hidden="false" customHeight="false" outlineLevel="0" collapsed="false">
      <c r="A479" s="0" t="n">
        <v>1477</v>
      </c>
      <c r="B479" s="0" t="n">
        <v>10</v>
      </c>
      <c r="C479" s="0" t="s">
        <v>12</v>
      </c>
      <c r="D479" s="0" t="n">
        <v>1133.33</v>
      </c>
      <c r="E479" s="0" t="s">
        <v>6</v>
      </c>
    </row>
    <row r="480" customFormat="false" ht="15" hidden="false" customHeight="false" outlineLevel="0" collapsed="false">
      <c r="A480" s="0" t="n">
        <v>1478</v>
      </c>
      <c r="B480" s="0" t="n">
        <v>2</v>
      </c>
      <c r="C480" s="0" t="s">
        <v>11</v>
      </c>
      <c r="D480" s="0" t="n">
        <v>3044.83</v>
      </c>
      <c r="E480" s="0" t="s">
        <v>6</v>
      </c>
    </row>
    <row r="481" customFormat="false" ht="15" hidden="false" customHeight="false" outlineLevel="0" collapsed="false">
      <c r="A481" s="0" t="n">
        <v>1479</v>
      </c>
      <c r="B481" s="0" t="n">
        <v>7</v>
      </c>
      <c r="C481" s="0" t="s">
        <v>11</v>
      </c>
      <c r="D481" s="0" t="n">
        <v>2788.94</v>
      </c>
      <c r="E481" s="0" t="s">
        <v>6</v>
      </c>
    </row>
    <row r="482" customFormat="false" ht="15" hidden="false" customHeight="false" outlineLevel="0" collapsed="false">
      <c r="A482" s="0" t="n">
        <v>1480</v>
      </c>
      <c r="B482" s="0" t="n">
        <v>8</v>
      </c>
      <c r="C482" s="0" t="s">
        <v>7</v>
      </c>
      <c r="D482" s="0" t="n">
        <v>3897.89</v>
      </c>
      <c r="E482" s="0" t="s">
        <v>9</v>
      </c>
    </row>
    <row r="483" customFormat="false" ht="15" hidden="false" customHeight="false" outlineLevel="0" collapsed="false">
      <c r="A483" s="0" t="n">
        <v>1481</v>
      </c>
      <c r="B483" s="0" t="n">
        <v>3</v>
      </c>
      <c r="C483" s="0" t="s">
        <v>7</v>
      </c>
      <c r="D483" s="0" t="n">
        <v>24.15</v>
      </c>
      <c r="E483" s="0" t="s">
        <v>6</v>
      </c>
    </row>
    <row r="484" customFormat="false" ht="15" hidden="false" customHeight="false" outlineLevel="0" collapsed="false">
      <c r="A484" s="0" t="n">
        <v>1482</v>
      </c>
      <c r="B484" s="0" t="n">
        <v>6</v>
      </c>
      <c r="C484" s="0" t="s">
        <v>7</v>
      </c>
      <c r="D484" s="0" t="n">
        <v>1404.81</v>
      </c>
      <c r="E484" s="0" t="s">
        <v>6</v>
      </c>
    </row>
    <row r="485" customFormat="false" ht="15" hidden="false" customHeight="false" outlineLevel="0" collapsed="false">
      <c r="A485" s="0" t="n">
        <v>1483</v>
      </c>
      <c r="B485" s="0" t="n">
        <v>8</v>
      </c>
      <c r="C485" s="0" t="s">
        <v>7</v>
      </c>
      <c r="D485" s="0" t="n">
        <v>2376.51</v>
      </c>
      <c r="E485" s="0" t="s">
        <v>6</v>
      </c>
    </row>
    <row r="486" customFormat="false" ht="15" hidden="false" customHeight="false" outlineLevel="0" collapsed="false">
      <c r="A486" s="0" t="n">
        <v>1484</v>
      </c>
      <c r="B486" s="0" t="n">
        <v>12</v>
      </c>
      <c r="C486" s="0" t="s">
        <v>8</v>
      </c>
      <c r="D486" s="0" t="n">
        <v>4671.11</v>
      </c>
      <c r="E486" s="0" t="s">
        <v>6</v>
      </c>
    </row>
    <row r="487" customFormat="false" ht="15" hidden="false" customHeight="false" outlineLevel="0" collapsed="false">
      <c r="A487" s="0" t="n">
        <v>1485</v>
      </c>
      <c r="B487" s="0" t="n">
        <v>8</v>
      </c>
      <c r="C487" s="0" t="s">
        <v>5</v>
      </c>
      <c r="D487" s="0" t="n">
        <v>2489.02</v>
      </c>
      <c r="E487" s="0" t="s">
        <v>9</v>
      </c>
    </row>
    <row r="488" customFormat="false" ht="15" hidden="false" customHeight="false" outlineLevel="0" collapsed="false">
      <c r="A488" s="0" t="n">
        <v>1486</v>
      </c>
      <c r="B488" s="0" t="n">
        <v>1</v>
      </c>
      <c r="C488" s="0" t="s">
        <v>7</v>
      </c>
      <c r="D488" s="0" t="n">
        <v>389.1</v>
      </c>
      <c r="E488" s="0" t="s">
        <v>6</v>
      </c>
    </row>
    <row r="489" customFormat="false" ht="15" hidden="false" customHeight="false" outlineLevel="0" collapsed="false">
      <c r="A489" s="0" t="n">
        <v>1487</v>
      </c>
      <c r="B489" s="0" t="n">
        <v>3</v>
      </c>
      <c r="C489" s="0" t="s">
        <v>12</v>
      </c>
      <c r="D489" s="0" t="n">
        <v>4907.3</v>
      </c>
      <c r="E489" s="0" t="s">
        <v>6</v>
      </c>
    </row>
    <row r="490" customFormat="false" ht="15" hidden="false" customHeight="false" outlineLevel="0" collapsed="false">
      <c r="A490" s="0" t="n">
        <v>1488</v>
      </c>
      <c r="B490" s="0" t="n">
        <v>11</v>
      </c>
      <c r="C490" s="0" t="s">
        <v>12</v>
      </c>
      <c r="D490" s="0" t="n">
        <v>891.79</v>
      </c>
      <c r="E490" s="0" t="s">
        <v>6</v>
      </c>
    </row>
    <row r="491" customFormat="false" ht="15" hidden="false" customHeight="false" outlineLevel="0" collapsed="false">
      <c r="A491" s="0" t="n">
        <v>1489</v>
      </c>
      <c r="B491" s="0" t="n">
        <v>6</v>
      </c>
      <c r="C491" s="0" t="s">
        <v>8</v>
      </c>
      <c r="D491" s="0" t="n">
        <v>1826.29</v>
      </c>
      <c r="E491" s="0" t="s">
        <v>6</v>
      </c>
    </row>
    <row r="492" customFormat="false" ht="15" hidden="false" customHeight="false" outlineLevel="0" collapsed="false">
      <c r="A492" s="0" t="n">
        <v>1490</v>
      </c>
      <c r="B492" s="0" t="n">
        <v>4</v>
      </c>
      <c r="C492" s="0" t="s">
        <v>11</v>
      </c>
      <c r="D492" s="0" t="n">
        <v>4387.35</v>
      </c>
      <c r="E492" s="0" t="s">
        <v>6</v>
      </c>
    </row>
    <row r="493" customFormat="false" ht="15" hidden="false" customHeight="false" outlineLevel="0" collapsed="false">
      <c r="A493" s="0" t="n">
        <v>1491</v>
      </c>
      <c r="B493" s="0" t="n">
        <v>7</v>
      </c>
      <c r="C493" s="0" t="s">
        <v>12</v>
      </c>
      <c r="D493" s="0" t="n">
        <v>552.44</v>
      </c>
      <c r="E493" s="0" t="s">
        <v>9</v>
      </c>
    </row>
    <row r="494" customFormat="false" ht="15" hidden="false" customHeight="false" outlineLevel="0" collapsed="false">
      <c r="A494" s="0" t="n">
        <v>1492</v>
      </c>
      <c r="B494" s="0" t="n">
        <v>6</v>
      </c>
      <c r="C494" s="0" t="s">
        <v>10</v>
      </c>
      <c r="D494" s="0" t="n">
        <v>2433.98</v>
      </c>
      <c r="E494" s="0" t="s">
        <v>6</v>
      </c>
    </row>
    <row r="495" customFormat="false" ht="15" hidden="false" customHeight="false" outlineLevel="0" collapsed="false">
      <c r="A495" s="0" t="n">
        <v>1493</v>
      </c>
      <c r="B495" s="0" t="n">
        <v>8</v>
      </c>
      <c r="C495" s="0" t="s">
        <v>10</v>
      </c>
      <c r="D495" s="0" t="n">
        <v>2182.32</v>
      </c>
      <c r="E495" s="0" t="s">
        <v>6</v>
      </c>
    </row>
    <row r="496" customFormat="false" ht="15" hidden="false" customHeight="false" outlineLevel="0" collapsed="false">
      <c r="A496" s="0" t="n">
        <v>1494</v>
      </c>
      <c r="B496" s="0" t="n">
        <v>2</v>
      </c>
      <c r="C496" s="0" t="s">
        <v>8</v>
      </c>
      <c r="D496" s="0" t="n">
        <v>3335.42</v>
      </c>
      <c r="E496" s="0" t="s">
        <v>6</v>
      </c>
    </row>
    <row r="497" customFormat="false" ht="15" hidden="false" customHeight="false" outlineLevel="0" collapsed="false">
      <c r="A497" s="0" t="n">
        <v>1495</v>
      </c>
      <c r="B497" s="0" t="n">
        <v>2</v>
      </c>
      <c r="C497" s="0" t="s">
        <v>11</v>
      </c>
      <c r="D497" s="0" t="n">
        <v>434.5</v>
      </c>
      <c r="E497" s="0" t="s">
        <v>6</v>
      </c>
    </row>
    <row r="498" customFormat="false" ht="15" hidden="false" customHeight="false" outlineLevel="0" collapsed="false">
      <c r="A498" s="0" t="n">
        <v>1496</v>
      </c>
      <c r="B498" s="0" t="n">
        <v>1</v>
      </c>
      <c r="C498" s="0" t="s">
        <v>12</v>
      </c>
      <c r="D498" s="0" t="n">
        <v>266.05</v>
      </c>
      <c r="E498" s="0" t="s">
        <v>9</v>
      </c>
    </row>
    <row r="499" customFormat="false" ht="15" hidden="false" customHeight="false" outlineLevel="0" collapsed="false">
      <c r="A499" s="0" t="n">
        <v>1497</v>
      </c>
      <c r="B499" s="0" t="n">
        <v>1</v>
      </c>
      <c r="C499" s="0" t="s">
        <v>8</v>
      </c>
      <c r="D499" s="0" t="n">
        <v>2562.88</v>
      </c>
      <c r="E499" s="0" t="s">
        <v>6</v>
      </c>
    </row>
    <row r="500" customFormat="false" ht="15" hidden="false" customHeight="false" outlineLevel="0" collapsed="false">
      <c r="A500" s="0" t="n">
        <v>1498</v>
      </c>
      <c r="B500" s="0" t="n">
        <v>6</v>
      </c>
      <c r="C500" s="0" t="s">
        <v>10</v>
      </c>
      <c r="D500" s="0" t="n">
        <v>2236.48</v>
      </c>
      <c r="E500" s="0" t="s">
        <v>6</v>
      </c>
    </row>
    <row r="501" customFormat="false" ht="15" hidden="false" customHeight="false" outlineLevel="0" collapsed="false">
      <c r="A501" s="0" t="n">
        <v>1499</v>
      </c>
      <c r="B501" s="0" t="n">
        <v>6</v>
      </c>
      <c r="C501" s="0" t="s">
        <v>10</v>
      </c>
      <c r="D501" s="0" t="n">
        <v>4774.74</v>
      </c>
      <c r="E501" s="0" t="s">
        <v>6</v>
      </c>
    </row>
    <row r="502" customFormat="false" ht="15" hidden="false" customHeight="false" outlineLevel="0" collapsed="false">
      <c r="A502" s="0" t="n">
        <v>1500</v>
      </c>
      <c r="B502" s="0" t="n">
        <v>12</v>
      </c>
      <c r="C502" s="0" t="s">
        <v>5</v>
      </c>
      <c r="D502" s="0" t="n">
        <v>3236.49</v>
      </c>
      <c r="E502" s="0" t="s">
        <v>6</v>
      </c>
    </row>
    <row r="503" customFormat="false" ht="15" hidden="false" customHeight="false" outlineLevel="0" collapsed="false">
      <c r="A503" s="0" t="n">
        <v>1501</v>
      </c>
      <c r="B503" s="0" t="n">
        <v>4</v>
      </c>
      <c r="C503" s="0" t="s">
        <v>5</v>
      </c>
      <c r="D503" s="0" t="n">
        <v>2186.47</v>
      </c>
      <c r="E503" s="0" t="s">
        <v>6</v>
      </c>
    </row>
    <row r="504" customFormat="false" ht="15" hidden="false" customHeight="false" outlineLevel="0" collapsed="false">
      <c r="A504" s="0" t="n">
        <v>1502</v>
      </c>
      <c r="B504" s="0" t="n">
        <v>8</v>
      </c>
      <c r="C504" s="0" t="s">
        <v>5</v>
      </c>
      <c r="D504" s="0" t="n">
        <v>2619.4</v>
      </c>
      <c r="E504" s="0" t="s">
        <v>9</v>
      </c>
    </row>
    <row r="505" customFormat="false" ht="15" hidden="false" customHeight="false" outlineLevel="0" collapsed="false">
      <c r="A505" s="0" t="n">
        <v>1503</v>
      </c>
      <c r="B505" s="0" t="n">
        <v>3</v>
      </c>
      <c r="C505" s="0" t="s">
        <v>5</v>
      </c>
      <c r="D505" s="0" t="n">
        <v>3649.45</v>
      </c>
      <c r="E505" s="0" t="s">
        <v>6</v>
      </c>
    </row>
    <row r="506" customFormat="false" ht="15" hidden="false" customHeight="false" outlineLevel="0" collapsed="false">
      <c r="A506" s="0" t="n">
        <v>1504</v>
      </c>
      <c r="B506" s="0" t="n">
        <v>11</v>
      </c>
      <c r="C506" s="0" t="s">
        <v>11</v>
      </c>
      <c r="D506" s="0" t="n">
        <v>408.55</v>
      </c>
      <c r="E506" s="0" t="s">
        <v>6</v>
      </c>
    </row>
    <row r="507" customFormat="false" ht="15" hidden="false" customHeight="false" outlineLevel="0" collapsed="false">
      <c r="A507" s="0" t="n">
        <v>1505</v>
      </c>
      <c r="B507" s="0" t="n">
        <v>9</v>
      </c>
      <c r="C507" s="0" t="s">
        <v>11</v>
      </c>
      <c r="D507" s="0" t="n">
        <v>2201.4</v>
      </c>
      <c r="E507" s="0" t="s">
        <v>9</v>
      </c>
    </row>
    <row r="508" customFormat="false" ht="15" hidden="false" customHeight="false" outlineLevel="0" collapsed="false">
      <c r="A508" s="0" t="n">
        <v>1506</v>
      </c>
      <c r="B508" s="0" t="n">
        <v>4</v>
      </c>
      <c r="C508" s="0" t="s">
        <v>5</v>
      </c>
      <c r="D508" s="0" t="n">
        <v>4539.21</v>
      </c>
      <c r="E508" s="0" t="s">
        <v>6</v>
      </c>
    </row>
    <row r="509" customFormat="false" ht="15" hidden="false" customHeight="false" outlineLevel="0" collapsed="false">
      <c r="A509" s="0" t="n">
        <v>1507</v>
      </c>
      <c r="B509" s="0" t="n">
        <v>5</v>
      </c>
      <c r="C509" s="0" t="s">
        <v>11</v>
      </c>
      <c r="D509" s="0" t="n">
        <v>1737.15</v>
      </c>
      <c r="E509" s="0" t="s">
        <v>6</v>
      </c>
    </row>
    <row r="510" customFormat="false" ht="15" hidden="false" customHeight="false" outlineLevel="0" collapsed="false">
      <c r="A510" s="0" t="n">
        <v>1508</v>
      </c>
      <c r="B510" s="0" t="n">
        <v>5</v>
      </c>
      <c r="C510" s="0" t="s">
        <v>11</v>
      </c>
      <c r="D510" s="0" t="n">
        <v>386.82</v>
      </c>
      <c r="E510" s="0" t="s">
        <v>9</v>
      </c>
    </row>
    <row r="511" customFormat="false" ht="15" hidden="false" customHeight="false" outlineLevel="0" collapsed="false">
      <c r="A511" s="0" t="n">
        <v>1509</v>
      </c>
      <c r="B511" s="0" t="n">
        <v>12</v>
      </c>
      <c r="C511" s="0" t="s">
        <v>11</v>
      </c>
      <c r="D511" s="0" t="n">
        <v>2979.22</v>
      </c>
      <c r="E511" s="0" t="s">
        <v>9</v>
      </c>
    </row>
    <row r="512" customFormat="false" ht="15" hidden="false" customHeight="false" outlineLevel="0" collapsed="false">
      <c r="A512" s="0" t="n">
        <v>1510</v>
      </c>
      <c r="B512" s="0" t="n">
        <v>9</v>
      </c>
      <c r="C512" s="0" t="s">
        <v>7</v>
      </c>
      <c r="D512" s="0" t="n">
        <v>4107.9</v>
      </c>
      <c r="E512" s="0" t="s">
        <v>6</v>
      </c>
    </row>
    <row r="513" customFormat="false" ht="15" hidden="false" customHeight="false" outlineLevel="0" collapsed="false">
      <c r="A513" s="0" t="n">
        <v>1511</v>
      </c>
      <c r="B513" s="0" t="n">
        <v>11</v>
      </c>
      <c r="C513" s="0" t="s">
        <v>11</v>
      </c>
      <c r="D513" s="0" t="n">
        <v>57.69</v>
      </c>
      <c r="E513" s="0" t="s">
        <v>6</v>
      </c>
    </row>
    <row r="514" customFormat="false" ht="15" hidden="false" customHeight="false" outlineLevel="0" collapsed="false">
      <c r="A514" s="0" t="n">
        <v>1512</v>
      </c>
      <c r="B514" s="0" t="n">
        <v>8</v>
      </c>
      <c r="C514" s="0" t="s">
        <v>8</v>
      </c>
      <c r="D514" s="0" t="n">
        <v>3256.08</v>
      </c>
      <c r="E514" s="0" t="s">
        <v>9</v>
      </c>
    </row>
    <row r="515" customFormat="false" ht="15" hidden="false" customHeight="false" outlineLevel="0" collapsed="false">
      <c r="A515" s="0" t="n">
        <v>1513</v>
      </c>
      <c r="B515" s="0" t="n">
        <v>9</v>
      </c>
      <c r="C515" s="0" t="s">
        <v>10</v>
      </c>
      <c r="D515" s="0" t="n">
        <v>4129.37</v>
      </c>
      <c r="E515" s="0" t="s">
        <v>6</v>
      </c>
    </row>
    <row r="516" customFormat="false" ht="15" hidden="false" customHeight="false" outlineLevel="0" collapsed="false">
      <c r="A516" s="0" t="n">
        <v>1514</v>
      </c>
      <c r="B516" s="0" t="n">
        <v>10</v>
      </c>
      <c r="C516" s="0" t="s">
        <v>7</v>
      </c>
      <c r="D516" s="0" t="n">
        <v>2684.05</v>
      </c>
      <c r="E516" s="0" t="s">
        <v>9</v>
      </c>
    </row>
    <row r="517" customFormat="false" ht="15" hidden="false" customHeight="false" outlineLevel="0" collapsed="false">
      <c r="A517" s="0" t="n">
        <v>1515</v>
      </c>
      <c r="B517" s="0" t="n">
        <v>12</v>
      </c>
      <c r="C517" s="0" t="s">
        <v>12</v>
      </c>
      <c r="D517" s="0" t="n">
        <v>4239.91</v>
      </c>
      <c r="E517" s="0" t="s">
        <v>6</v>
      </c>
    </row>
    <row r="518" customFormat="false" ht="15" hidden="false" customHeight="false" outlineLevel="0" collapsed="false">
      <c r="A518" s="0" t="n">
        <v>1516</v>
      </c>
      <c r="B518" s="0" t="n">
        <v>2</v>
      </c>
      <c r="C518" s="0" t="s">
        <v>10</v>
      </c>
      <c r="D518" s="0" t="n">
        <v>382.53</v>
      </c>
      <c r="E518" s="0" t="s">
        <v>9</v>
      </c>
    </row>
    <row r="519" customFormat="false" ht="15" hidden="false" customHeight="false" outlineLevel="0" collapsed="false">
      <c r="A519" s="0" t="n">
        <v>1517</v>
      </c>
      <c r="B519" s="0" t="n">
        <v>8</v>
      </c>
      <c r="C519" s="0" t="s">
        <v>7</v>
      </c>
      <c r="D519" s="0" t="n">
        <v>3563.57</v>
      </c>
      <c r="E519" s="0" t="s">
        <v>6</v>
      </c>
    </row>
    <row r="520" customFormat="false" ht="15" hidden="false" customHeight="false" outlineLevel="0" collapsed="false">
      <c r="A520" s="0" t="n">
        <v>1518</v>
      </c>
      <c r="B520" s="0" t="n">
        <v>5</v>
      </c>
      <c r="C520" s="0" t="s">
        <v>10</v>
      </c>
      <c r="D520" s="0" t="n">
        <v>682.09</v>
      </c>
      <c r="E520" s="0" t="s">
        <v>6</v>
      </c>
    </row>
    <row r="521" customFormat="false" ht="15" hidden="false" customHeight="false" outlineLevel="0" collapsed="false">
      <c r="A521" s="0" t="n">
        <v>1519</v>
      </c>
      <c r="B521" s="0" t="n">
        <v>1</v>
      </c>
      <c r="C521" s="0" t="s">
        <v>12</v>
      </c>
      <c r="D521" s="0" t="n">
        <v>4684.92</v>
      </c>
      <c r="E521" s="0" t="s">
        <v>6</v>
      </c>
    </row>
    <row r="522" customFormat="false" ht="15" hidden="false" customHeight="false" outlineLevel="0" collapsed="false">
      <c r="A522" s="0" t="n">
        <v>1520</v>
      </c>
      <c r="B522" s="0" t="n">
        <v>8</v>
      </c>
      <c r="C522" s="0" t="s">
        <v>10</v>
      </c>
      <c r="D522" s="0" t="n">
        <v>2836.4</v>
      </c>
      <c r="E522" s="0" t="s">
        <v>6</v>
      </c>
    </row>
    <row r="523" customFormat="false" ht="15" hidden="false" customHeight="false" outlineLevel="0" collapsed="false">
      <c r="A523" s="0" t="n">
        <v>1521</v>
      </c>
      <c r="B523" s="0" t="n">
        <v>6</v>
      </c>
      <c r="C523" s="0" t="s">
        <v>10</v>
      </c>
      <c r="D523" s="0" t="n">
        <v>976.12</v>
      </c>
      <c r="E523" s="0" t="s">
        <v>6</v>
      </c>
    </row>
    <row r="524" customFormat="false" ht="15" hidden="false" customHeight="false" outlineLevel="0" collapsed="false">
      <c r="A524" s="0" t="n">
        <v>1522</v>
      </c>
      <c r="B524" s="0" t="n">
        <v>1</v>
      </c>
      <c r="C524" s="0" t="s">
        <v>11</v>
      </c>
      <c r="D524" s="0" t="n">
        <v>2208.72</v>
      </c>
      <c r="E524" s="0" t="s">
        <v>9</v>
      </c>
    </row>
    <row r="525" customFormat="false" ht="15" hidden="false" customHeight="false" outlineLevel="0" collapsed="false">
      <c r="A525" s="0" t="n">
        <v>1523</v>
      </c>
      <c r="B525" s="0" t="n">
        <v>10</v>
      </c>
      <c r="C525" s="0" t="s">
        <v>8</v>
      </c>
      <c r="D525" s="0" t="n">
        <v>4563.72</v>
      </c>
      <c r="E525" s="0" t="s">
        <v>6</v>
      </c>
    </row>
    <row r="526" customFormat="false" ht="15" hidden="false" customHeight="false" outlineLevel="0" collapsed="false">
      <c r="A526" s="0" t="n">
        <v>1524</v>
      </c>
      <c r="B526" s="0" t="n">
        <v>5</v>
      </c>
      <c r="C526" s="0" t="s">
        <v>12</v>
      </c>
      <c r="D526" s="0" t="n">
        <v>3133.75</v>
      </c>
      <c r="E526" s="0" t="s">
        <v>9</v>
      </c>
    </row>
    <row r="527" customFormat="false" ht="15" hidden="false" customHeight="false" outlineLevel="0" collapsed="false">
      <c r="A527" s="0" t="n">
        <v>1525</v>
      </c>
      <c r="B527" s="0" t="n">
        <v>5</v>
      </c>
      <c r="C527" s="0" t="s">
        <v>5</v>
      </c>
      <c r="D527" s="0" t="n">
        <v>2390.86</v>
      </c>
      <c r="E527" s="0" t="s">
        <v>6</v>
      </c>
    </row>
    <row r="528" customFormat="false" ht="15" hidden="false" customHeight="false" outlineLevel="0" collapsed="false">
      <c r="A528" s="0" t="n">
        <v>1526</v>
      </c>
      <c r="B528" s="0" t="n">
        <v>2</v>
      </c>
      <c r="C528" s="0" t="s">
        <v>12</v>
      </c>
      <c r="D528" s="0" t="n">
        <v>2773.35</v>
      </c>
      <c r="E528" s="0" t="s">
        <v>6</v>
      </c>
    </row>
    <row r="529" customFormat="false" ht="15" hidden="false" customHeight="false" outlineLevel="0" collapsed="false">
      <c r="A529" s="0" t="n">
        <v>1527</v>
      </c>
      <c r="B529" s="0" t="n">
        <v>9</v>
      </c>
      <c r="C529" s="0" t="s">
        <v>8</v>
      </c>
      <c r="D529" s="0" t="n">
        <v>1750.16</v>
      </c>
      <c r="E529" s="0" t="s">
        <v>6</v>
      </c>
    </row>
    <row r="530" customFormat="false" ht="15" hidden="false" customHeight="false" outlineLevel="0" collapsed="false">
      <c r="A530" s="0" t="n">
        <v>1528</v>
      </c>
      <c r="B530" s="0" t="n">
        <v>3</v>
      </c>
      <c r="C530" s="0" t="s">
        <v>8</v>
      </c>
      <c r="D530" s="0" t="n">
        <v>2379.67</v>
      </c>
      <c r="E530" s="0" t="s">
        <v>6</v>
      </c>
    </row>
    <row r="531" customFormat="false" ht="15" hidden="false" customHeight="false" outlineLevel="0" collapsed="false">
      <c r="A531" s="0" t="n">
        <v>1529</v>
      </c>
      <c r="B531" s="0" t="n">
        <v>2</v>
      </c>
      <c r="C531" s="0" t="s">
        <v>12</v>
      </c>
      <c r="D531" s="0" t="n">
        <v>4259.99</v>
      </c>
      <c r="E531" s="0" t="s">
        <v>6</v>
      </c>
    </row>
    <row r="532" customFormat="false" ht="15" hidden="false" customHeight="false" outlineLevel="0" collapsed="false">
      <c r="A532" s="0" t="n">
        <v>1530</v>
      </c>
      <c r="B532" s="0" t="n">
        <v>8</v>
      </c>
      <c r="C532" s="0" t="s">
        <v>10</v>
      </c>
      <c r="D532" s="0" t="n">
        <v>2554.04</v>
      </c>
      <c r="E532" s="0" t="s">
        <v>6</v>
      </c>
    </row>
    <row r="533" customFormat="false" ht="15" hidden="false" customHeight="false" outlineLevel="0" collapsed="false">
      <c r="A533" s="0" t="n">
        <v>1531</v>
      </c>
      <c r="B533" s="0" t="n">
        <v>1</v>
      </c>
      <c r="C533" s="0" t="s">
        <v>5</v>
      </c>
      <c r="D533" s="0" t="n">
        <v>1159.66</v>
      </c>
      <c r="E533" s="0" t="s">
        <v>6</v>
      </c>
    </row>
    <row r="534" customFormat="false" ht="15" hidden="false" customHeight="false" outlineLevel="0" collapsed="false">
      <c r="A534" s="0" t="n">
        <v>1532</v>
      </c>
      <c r="B534" s="0" t="n">
        <v>3</v>
      </c>
      <c r="C534" s="0" t="s">
        <v>5</v>
      </c>
      <c r="D534" s="0" t="n">
        <v>1443.48</v>
      </c>
      <c r="E534" s="0" t="s">
        <v>6</v>
      </c>
    </row>
    <row r="535" customFormat="false" ht="15" hidden="false" customHeight="false" outlineLevel="0" collapsed="false">
      <c r="A535" s="0" t="n">
        <v>1533</v>
      </c>
      <c r="B535" s="0" t="n">
        <v>6</v>
      </c>
      <c r="C535" s="0" t="s">
        <v>11</v>
      </c>
      <c r="D535" s="0" t="n">
        <v>2905.4</v>
      </c>
      <c r="E535" s="0" t="s">
        <v>6</v>
      </c>
    </row>
    <row r="536" customFormat="false" ht="15" hidden="false" customHeight="false" outlineLevel="0" collapsed="false">
      <c r="A536" s="0" t="n">
        <v>1534</v>
      </c>
      <c r="B536" s="0" t="n">
        <v>8</v>
      </c>
      <c r="C536" s="0" t="s">
        <v>7</v>
      </c>
      <c r="D536" s="0" t="n">
        <v>3356.73</v>
      </c>
      <c r="E536" s="0" t="s">
        <v>9</v>
      </c>
    </row>
    <row r="537" customFormat="false" ht="15" hidden="false" customHeight="false" outlineLevel="0" collapsed="false">
      <c r="A537" s="0" t="n">
        <v>1535</v>
      </c>
      <c r="B537" s="0" t="n">
        <v>1</v>
      </c>
      <c r="C537" s="0" t="s">
        <v>7</v>
      </c>
      <c r="D537" s="0" t="n">
        <v>4606.26</v>
      </c>
      <c r="E537" s="0" t="s">
        <v>6</v>
      </c>
    </row>
    <row r="538" customFormat="false" ht="15" hidden="false" customHeight="false" outlineLevel="0" collapsed="false">
      <c r="A538" s="0" t="n">
        <v>1536</v>
      </c>
      <c r="B538" s="0" t="n">
        <v>11</v>
      </c>
      <c r="C538" s="0" t="s">
        <v>10</v>
      </c>
      <c r="D538" s="0" t="n">
        <v>3870.59</v>
      </c>
      <c r="E538" s="0" t="s">
        <v>6</v>
      </c>
    </row>
    <row r="539" customFormat="false" ht="15" hidden="false" customHeight="false" outlineLevel="0" collapsed="false">
      <c r="A539" s="0" t="n">
        <v>1537</v>
      </c>
      <c r="B539" s="0" t="n">
        <v>5</v>
      </c>
      <c r="C539" s="0" t="s">
        <v>7</v>
      </c>
      <c r="D539" s="0" t="n">
        <v>1541.64</v>
      </c>
      <c r="E539" s="0" t="s">
        <v>6</v>
      </c>
    </row>
    <row r="540" customFormat="false" ht="15" hidden="false" customHeight="false" outlineLevel="0" collapsed="false">
      <c r="A540" s="0" t="n">
        <v>1538</v>
      </c>
      <c r="B540" s="0" t="n">
        <v>1</v>
      </c>
      <c r="C540" s="0" t="s">
        <v>12</v>
      </c>
      <c r="D540" s="0" t="n">
        <v>4816.6</v>
      </c>
      <c r="E540" s="0" t="s">
        <v>6</v>
      </c>
    </row>
    <row r="541" customFormat="false" ht="15" hidden="false" customHeight="false" outlineLevel="0" collapsed="false">
      <c r="A541" s="0" t="n">
        <v>1539</v>
      </c>
      <c r="B541" s="0" t="n">
        <v>7</v>
      </c>
      <c r="C541" s="0" t="s">
        <v>10</v>
      </c>
      <c r="D541" s="0" t="n">
        <v>239</v>
      </c>
      <c r="E541" s="0" t="s">
        <v>9</v>
      </c>
    </row>
    <row r="542" customFormat="false" ht="15" hidden="false" customHeight="false" outlineLevel="0" collapsed="false">
      <c r="A542" s="0" t="n">
        <v>1540</v>
      </c>
      <c r="B542" s="0" t="n">
        <v>4</v>
      </c>
      <c r="C542" s="0" t="s">
        <v>10</v>
      </c>
      <c r="D542" s="0" t="n">
        <v>405.6</v>
      </c>
      <c r="E542" s="0" t="s">
        <v>9</v>
      </c>
    </row>
    <row r="543" customFormat="false" ht="15" hidden="false" customHeight="false" outlineLevel="0" collapsed="false">
      <c r="A543" s="0" t="n">
        <v>1541</v>
      </c>
      <c r="B543" s="0" t="n">
        <v>1</v>
      </c>
      <c r="C543" s="0" t="s">
        <v>11</v>
      </c>
      <c r="D543" s="0" t="n">
        <v>4710.17</v>
      </c>
      <c r="E543" s="0" t="s">
        <v>6</v>
      </c>
    </row>
    <row r="544" customFormat="false" ht="15" hidden="false" customHeight="false" outlineLevel="0" collapsed="false">
      <c r="A544" s="0" t="n">
        <v>1542</v>
      </c>
      <c r="B544" s="0" t="n">
        <v>7</v>
      </c>
      <c r="C544" s="0" t="s">
        <v>10</v>
      </c>
      <c r="D544" s="0" t="n">
        <v>1754.04</v>
      </c>
      <c r="E544" s="0" t="s">
        <v>9</v>
      </c>
    </row>
    <row r="545" customFormat="false" ht="15" hidden="false" customHeight="false" outlineLevel="0" collapsed="false">
      <c r="A545" s="0" t="n">
        <v>1543</v>
      </c>
      <c r="B545" s="0" t="n">
        <v>12</v>
      </c>
      <c r="C545" s="0" t="s">
        <v>8</v>
      </c>
      <c r="D545" s="0" t="n">
        <v>4644.91</v>
      </c>
      <c r="E545" s="0" t="s">
        <v>6</v>
      </c>
    </row>
    <row r="546" customFormat="false" ht="15" hidden="false" customHeight="false" outlineLevel="0" collapsed="false">
      <c r="A546" s="0" t="n">
        <v>1544</v>
      </c>
      <c r="B546" s="0" t="n">
        <v>9</v>
      </c>
      <c r="C546" s="0" t="s">
        <v>12</v>
      </c>
      <c r="D546" s="0" t="n">
        <v>3747.69</v>
      </c>
      <c r="E546" s="0" t="s">
        <v>9</v>
      </c>
    </row>
    <row r="547" customFormat="false" ht="15" hidden="false" customHeight="false" outlineLevel="0" collapsed="false">
      <c r="A547" s="0" t="n">
        <v>1545</v>
      </c>
      <c r="B547" s="0" t="n">
        <v>6</v>
      </c>
      <c r="C547" s="0" t="s">
        <v>10</v>
      </c>
      <c r="D547" s="0" t="n">
        <v>1789.7</v>
      </c>
      <c r="E547" s="0" t="s">
        <v>6</v>
      </c>
    </row>
    <row r="548" customFormat="false" ht="15" hidden="false" customHeight="false" outlineLevel="0" collapsed="false">
      <c r="A548" s="0" t="n">
        <v>1546</v>
      </c>
      <c r="B548" s="0" t="n">
        <v>4</v>
      </c>
      <c r="C548" s="0" t="s">
        <v>11</v>
      </c>
      <c r="D548" s="0" t="n">
        <v>4417.18</v>
      </c>
      <c r="E548" s="0" t="s">
        <v>6</v>
      </c>
    </row>
    <row r="549" customFormat="false" ht="15" hidden="false" customHeight="false" outlineLevel="0" collapsed="false">
      <c r="A549" s="0" t="n">
        <v>1547</v>
      </c>
      <c r="B549" s="0" t="n">
        <v>4</v>
      </c>
      <c r="C549" s="0" t="s">
        <v>10</v>
      </c>
      <c r="D549" s="0" t="n">
        <v>802.47</v>
      </c>
      <c r="E549" s="0" t="s">
        <v>6</v>
      </c>
    </row>
    <row r="550" customFormat="false" ht="15" hidden="false" customHeight="false" outlineLevel="0" collapsed="false">
      <c r="A550" s="0" t="n">
        <v>1548</v>
      </c>
      <c r="B550" s="0" t="n">
        <v>4</v>
      </c>
      <c r="C550" s="0" t="s">
        <v>12</v>
      </c>
      <c r="D550" s="0" t="n">
        <v>2859.54</v>
      </c>
      <c r="E550" s="0" t="s">
        <v>9</v>
      </c>
    </row>
    <row r="551" customFormat="false" ht="15" hidden="false" customHeight="false" outlineLevel="0" collapsed="false">
      <c r="A551" s="0" t="n">
        <v>1549</v>
      </c>
      <c r="B551" s="0" t="n">
        <v>9</v>
      </c>
      <c r="C551" s="0" t="s">
        <v>5</v>
      </c>
      <c r="D551" s="0" t="n">
        <v>4117.21</v>
      </c>
      <c r="E551" s="0" t="s">
        <v>9</v>
      </c>
    </row>
    <row r="552" customFormat="false" ht="15" hidden="false" customHeight="false" outlineLevel="0" collapsed="false">
      <c r="A552" s="0" t="n">
        <v>1550</v>
      </c>
      <c r="B552" s="0" t="n">
        <v>3</v>
      </c>
      <c r="C552" s="0" t="s">
        <v>7</v>
      </c>
      <c r="D552" s="0" t="n">
        <v>4170.07</v>
      </c>
      <c r="E552" s="0" t="s">
        <v>9</v>
      </c>
    </row>
    <row r="553" customFormat="false" ht="15" hidden="false" customHeight="false" outlineLevel="0" collapsed="false">
      <c r="A553" s="0" t="n">
        <v>1551</v>
      </c>
      <c r="B553" s="0" t="n">
        <v>10</v>
      </c>
      <c r="C553" s="0" t="s">
        <v>7</v>
      </c>
      <c r="D553" s="0" t="n">
        <v>479.4</v>
      </c>
      <c r="E553" s="0" t="s">
        <v>9</v>
      </c>
    </row>
    <row r="554" customFormat="false" ht="15" hidden="false" customHeight="false" outlineLevel="0" collapsed="false">
      <c r="A554" s="0" t="n">
        <v>1552</v>
      </c>
      <c r="B554" s="0" t="n">
        <v>11</v>
      </c>
      <c r="C554" s="0" t="s">
        <v>8</v>
      </c>
      <c r="D554" s="0" t="n">
        <v>1069.35</v>
      </c>
      <c r="E554" s="0" t="s">
        <v>6</v>
      </c>
    </row>
    <row r="555" customFormat="false" ht="15" hidden="false" customHeight="false" outlineLevel="0" collapsed="false">
      <c r="A555" s="0" t="n">
        <v>1553</v>
      </c>
      <c r="B555" s="0" t="n">
        <v>6</v>
      </c>
      <c r="C555" s="0" t="s">
        <v>11</v>
      </c>
      <c r="D555" s="0" t="n">
        <v>1528.92</v>
      </c>
      <c r="E555" s="0" t="s">
        <v>9</v>
      </c>
    </row>
    <row r="556" customFormat="false" ht="15" hidden="false" customHeight="false" outlineLevel="0" collapsed="false">
      <c r="A556" s="0" t="n">
        <v>1554</v>
      </c>
      <c r="B556" s="0" t="n">
        <v>11</v>
      </c>
      <c r="C556" s="0" t="s">
        <v>5</v>
      </c>
      <c r="D556" s="0" t="n">
        <v>3872.36</v>
      </c>
      <c r="E556" s="0" t="s">
        <v>6</v>
      </c>
    </row>
    <row r="557" customFormat="false" ht="15" hidden="false" customHeight="false" outlineLevel="0" collapsed="false">
      <c r="A557" s="0" t="n">
        <v>1555</v>
      </c>
      <c r="B557" s="0" t="n">
        <v>11</v>
      </c>
      <c r="C557" s="0" t="s">
        <v>11</v>
      </c>
      <c r="D557" s="0" t="n">
        <v>2593.57</v>
      </c>
      <c r="E557" s="0" t="s">
        <v>6</v>
      </c>
    </row>
    <row r="558" customFormat="false" ht="15" hidden="false" customHeight="false" outlineLevel="0" collapsed="false">
      <c r="A558" s="0" t="n">
        <v>1556</v>
      </c>
      <c r="B558" s="0" t="n">
        <v>6</v>
      </c>
      <c r="C558" s="0" t="s">
        <v>5</v>
      </c>
      <c r="D558" s="0" t="n">
        <v>3798.2</v>
      </c>
      <c r="E558" s="0" t="s">
        <v>6</v>
      </c>
    </row>
    <row r="559" customFormat="false" ht="15" hidden="false" customHeight="false" outlineLevel="0" collapsed="false">
      <c r="A559" s="0" t="n">
        <v>1557</v>
      </c>
      <c r="B559" s="0" t="n">
        <v>12</v>
      </c>
      <c r="C559" s="0" t="s">
        <v>12</v>
      </c>
      <c r="D559" s="0" t="n">
        <v>982.26</v>
      </c>
      <c r="E559" s="0" t="s">
        <v>9</v>
      </c>
    </row>
    <row r="560" customFormat="false" ht="15" hidden="false" customHeight="false" outlineLevel="0" collapsed="false">
      <c r="A560" s="0" t="n">
        <v>1558</v>
      </c>
      <c r="B560" s="0" t="n">
        <v>11</v>
      </c>
      <c r="C560" s="0" t="s">
        <v>12</v>
      </c>
      <c r="D560" s="0" t="n">
        <v>3265.38</v>
      </c>
      <c r="E560" s="0" t="s">
        <v>6</v>
      </c>
    </row>
    <row r="561" customFormat="false" ht="15" hidden="false" customHeight="false" outlineLevel="0" collapsed="false">
      <c r="A561" s="0" t="n">
        <v>1559</v>
      </c>
      <c r="B561" s="0" t="n">
        <v>9</v>
      </c>
      <c r="C561" s="0" t="s">
        <v>12</v>
      </c>
      <c r="D561" s="0" t="n">
        <v>1879.28</v>
      </c>
      <c r="E561" s="0" t="s">
        <v>6</v>
      </c>
    </row>
    <row r="562" customFormat="false" ht="15" hidden="false" customHeight="false" outlineLevel="0" collapsed="false">
      <c r="A562" s="0" t="n">
        <v>1560</v>
      </c>
      <c r="B562" s="0" t="n">
        <v>8</v>
      </c>
      <c r="C562" s="0" t="s">
        <v>12</v>
      </c>
      <c r="D562" s="0" t="n">
        <v>3250.94</v>
      </c>
      <c r="E562" s="0" t="s">
        <v>6</v>
      </c>
    </row>
    <row r="563" customFormat="false" ht="15" hidden="false" customHeight="false" outlineLevel="0" collapsed="false">
      <c r="A563" s="0" t="n">
        <v>1561</v>
      </c>
      <c r="B563" s="0" t="n">
        <v>12</v>
      </c>
      <c r="C563" s="0" t="s">
        <v>8</v>
      </c>
      <c r="D563" s="0" t="n">
        <v>2576.8</v>
      </c>
      <c r="E563" s="0" t="s">
        <v>6</v>
      </c>
    </row>
    <row r="564" customFormat="false" ht="15" hidden="false" customHeight="false" outlineLevel="0" collapsed="false">
      <c r="A564" s="0" t="n">
        <v>1562</v>
      </c>
      <c r="B564" s="0" t="n">
        <v>11</v>
      </c>
      <c r="C564" s="0" t="s">
        <v>5</v>
      </c>
      <c r="D564" s="0" t="n">
        <v>2076.96</v>
      </c>
      <c r="E564" s="0" t="s">
        <v>6</v>
      </c>
    </row>
    <row r="565" customFormat="false" ht="15" hidden="false" customHeight="false" outlineLevel="0" collapsed="false">
      <c r="A565" s="0" t="n">
        <v>1563</v>
      </c>
      <c r="B565" s="0" t="n">
        <v>10</v>
      </c>
      <c r="C565" s="0" t="s">
        <v>5</v>
      </c>
      <c r="D565" s="0" t="n">
        <v>2929.52</v>
      </c>
      <c r="E565" s="0" t="s">
        <v>6</v>
      </c>
    </row>
    <row r="566" customFormat="false" ht="15" hidden="false" customHeight="false" outlineLevel="0" collapsed="false">
      <c r="A566" s="0" t="n">
        <v>1564</v>
      </c>
      <c r="B566" s="0" t="n">
        <v>5</v>
      </c>
      <c r="C566" s="0" t="s">
        <v>5</v>
      </c>
      <c r="D566" s="0" t="n">
        <v>1796.57</v>
      </c>
      <c r="E566" s="0" t="s">
        <v>6</v>
      </c>
    </row>
    <row r="567" customFormat="false" ht="15" hidden="false" customHeight="false" outlineLevel="0" collapsed="false">
      <c r="A567" s="0" t="n">
        <v>1565</v>
      </c>
      <c r="B567" s="0" t="n">
        <v>5</v>
      </c>
      <c r="C567" s="0" t="s">
        <v>12</v>
      </c>
      <c r="D567" s="0" t="n">
        <v>4027.26</v>
      </c>
      <c r="E567" s="0" t="s">
        <v>9</v>
      </c>
    </row>
    <row r="568" customFormat="false" ht="15" hidden="false" customHeight="false" outlineLevel="0" collapsed="false">
      <c r="A568" s="0" t="n">
        <v>1566</v>
      </c>
      <c r="B568" s="0" t="n">
        <v>11</v>
      </c>
      <c r="C568" s="0" t="s">
        <v>7</v>
      </c>
      <c r="D568" s="0" t="n">
        <v>1320.18</v>
      </c>
      <c r="E568" s="0" t="s">
        <v>6</v>
      </c>
    </row>
    <row r="569" customFormat="false" ht="15" hidden="false" customHeight="false" outlineLevel="0" collapsed="false">
      <c r="A569" s="0" t="n">
        <v>1567</v>
      </c>
      <c r="B569" s="0" t="n">
        <v>3</v>
      </c>
      <c r="C569" s="0" t="s">
        <v>10</v>
      </c>
      <c r="D569" s="0" t="n">
        <v>4292.24</v>
      </c>
      <c r="E569" s="0" t="s">
        <v>9</v>
      </c>
    </row>
    <row r="570" customFormat="false" ht="15" hidden="false" customHeight="false" outlineLevel="0" collapsed="false">
      <c r="A570" s="0" t="n">
        <v>1568</v>
      </c>
      <c r="B570" s="0" t="n">
        <v>2</v>
      </c>
      <c r="C570" s="0" t="s">
        <v>12</v>
      </c>
      <c r="D570" s="0" t="n">
        <v>4100.81</v>
      </c>
      <c r="E570" s="0" t="s">
        <v>6</v>
      </c>
    </row>
    <row r="571" customFormat="false" ht="15" hidden="false" customHeight="false" outlineLevel="0" collapsed="false">
      <c r="A571" s="0" t="n">
        <v>1569</v>
      </c>
      <c r="B571" s="0" t="n">
        <v>10</v>
      </c>
      <c r="C571" s="0" t="s">
        <v>10</v>
      </c>
      <c r="D571" s="0" t="n">
        <v>2449.28</v>
      </c>
      <c r="E571" s="0" t="s">
        <v>6</v>
      </c>
    </row>
    <row r="572" customFormat="false" ht="15" hidden="false" customHeight="false" outlineLevel="0" collapsed="false">
      <c r="A572" s="0" t="n">
        <v>1570</v>
      </c>
      <c r="B572" s="0" t="n">
        <v>9</v>
      </c>
      <c r="C572" s="0" t="s">
        <v>7</v>
      </c>
      <c r="D572" s="0" t="n">
        <v>2175.63</v>
      </c>
      <c r="E572" s="0" t="s">
        <v>6</v>
      </c>
    </row>
    <row r="573" customFormat="false" ht="15" hidden="false" customHeight="false" outlineLevel="0" collapsed="false">
      <c r="A573" s="0" t="n">
        <v>1571</v>
      </c>
      <c r="B573" s="0" t="n">
        <v>10</v>
      </c>
      <c r="C573" s="0" t="s">
        <v>7</v>
      </c>
      <c r="D573" s="0" t="n">
        <v>1586.13</v>
      </c>
      <c r="E573" s="0" t="s">
        <v>6</v>
      </c>
    </row>
    <row r="574" customFormat="false" ht="15" hidden="false" customHeight="false" outlineLevel="0" collapsed="false">
      <c r="A574" s="0" t="n">
        <v>1572</v>
      </c>
      <c r="B574" s="0" t="n">
        <v>6</v>
      </c>
      <c r="C574" s="0" t="s">
        <v>10</v>
      </c>
      <c r="D574" s="0" t="n">
        <v>4487.38</v>
      </c>
      <c r="E574" s="0" t="s">
        <v>9</v>
      </c>
    </row>
    <row r="575" customFormat="false" ht="15" hidden="false" customHeight="false" outlineLevel="0" collapsed="false">
      <c r="A575" s="0" t="n">
        <v>1573</v>
      </c>
      <c r="B575" s="0" t="n">
        <v>2</v>
      </c>
      <c r="C575" s="0" t="s">
        <v>7</v>
      </c>
      <c r="D575" s="0" t="n">
        <v>4859.18</v>
      </c>
      <c r="E575" s="0" t="s">
        <v>6</v>
      </c>
    </row>
    <row r="576" customFormat="false" ht="15" hidden="false" customHeight="false" outlineLevel="0" collapsed="false">
      <c r="A576" s="0" t="n">
        <v>1574</v>
      </c>
      <c r="B576" s="0" t="n">
        <v>11</v>
      </c>
      <c r="C576" s="0" t="s">
        <v>11</v>
      </c>
      <c r="D576" s="0" t="n">
        <v>2200.16</v>
      </c>
      <c r="E576" s="0" t="s">
        <v>6</v>
      </c>
    </row>
    <row r="577" customFormat="false" ht="15" hidden="false" customHeight="false" outlineLevel="0" collapsed="false">
      <c r="A577" s="0" t="n">
        <v>1575</v>
      </c>
      <c r="B577" s="0" t="n">
        <v>5</v>
      </c>
      <c r="C577" s="0" t="s">
        <v>5</v>
      </c>
      <c r="D577" s="0" t="n">
        <v>360.06</v>
      </c>
      <c r="E577" s="0" t="s">
        <v>6</v>
      </c>
    </row>
    <row r="578" customFormat="false" ht="15" hidden="false" customHeight="false" outlineLevel="0" collapsed="false">
      <c r="A578" s="0" t="n">
        <v>1576</v>
      </c>
      <c r="B578" s="0" t="n">
        <v>10</v>
      </c>
      <c r="C578" s="0" t="s">
        <v>5</v>
      </c>
      <c r="D578" s="0" t="n">
        <v>1753.67</v>
      </c>
      <c r="E578" s="0" t="s">
        <v>6</v>
      </c>
    </row>
    <row r="579" customFormat="false" ht="15" hidden="false" customHeight="false" outlineLevel="0" collapsed="false">
      <c r="A579" s="0" t="n">
        <v>1577</v>
      </c>
      <c r="B579" s="0" t="n">
        <v>10</v>
      </c>
      <c r="C579" s="0" t="s">
        <v>10</v>
      </c>
      <c r="D579" s="0" t="n">
        <v>3142.02</v>
      </c>
      <c r="E579" s="0" t="s">
        <v>6</v>
      </c>
    </row>
    <row r="580" customFormat="false" ht="15" hidden="false" customHeight="false" outlineLevel="0" collapsed="false">
      <c r="A580" s="0" t="n">
        <v>1578</v>
      </c>
      <c r="B580" s="0" t="n">
        <v>7</v>
      </c>
      <c r="C580" s="0" t="s">
        <v>8</v>
      </c>
      <c r="D580" s="0" t="n">
        <v>4959.48</v>
      </c>
      <c r="E580" s="0" t="s">
        <v>6</v>
      </c>
    </row>
    <row r="581" customFormat="false" ht="15" hidden="false" customHeight="false" outlineLevel="0" collapsed="false">
      <c r="A581" s="0" t="n">
        <v>1579</v>
      </c>
      <c r="B581" s="0" t="n">
        <v>3</v>
      </c>
      <c r="C581" s="0" t="s">
        <v>12</v>
      </c>
      <c r="D581" s="0" t="n">
        <v>3131.47</v>
      </c>
      <c r="E581" s="0" t="s">
        <v>6</v>
      </c>
    </row>
    <row r="582" customFormat="false" ht="15" hidden="false" customHeight="false" outlineLevel="0" collapsed="false">
      <c r="A582" s="0" t="n">
        <v>1580</v>
      </c>
      <c r="B582" s="0" t="n">
        <v>4</v>
      </c>
      <c r="C582" s="0" t="s">
        <v>11</v>
      </c>
      <c r="D582" s="0" t="n">
        <v>863.47</v>
      </c>
      <c r="E582" s="0" t="s">
        <v>6</v>
      </c>
    </row>
    <row r="583" customFormat="false" ht="15" hidden="false" customHeight="false" outlineLevel="0" collapsed="false">
      <c r="A583" s="0" t="n">
        <v>1581</v>
      </c>
      <c r="B583" s="0" t="n">
        <v>3</v>
      </c>
      <c r="C583" s="0" t="s">
        <v>7</v>
      </c>
      <c r="D583" s="0" t="n">
        <v>4887.33</v>
      </c>
      <c r="E583" s="0" t="s">
        <v>9</v>
      </c>
    </row>
    <row r="584" customFormat="false" ht="15" hidden="false" customHeight="false" outlineLevel="0" collapsed="false">
      <c r="A584" s="0" t="n">
        <v>1582</v>
      </c>
      <c r="B584" s="0" t="n">
        <v>1</v>
      </c>
      <c r="C584" s="0" t="s">
        <v>8</v>
      </c>
      <c r="D584" s="0" t="n">
        <v>4102.19</v>
      </c>
      <c r="E584" s="0" t="s">
        <v>6</v>
      </c>
    </row>
    <row r="585" customFormat="false" ht="15" hidden="false" customHeight="false" outlineLevel="0" collapsed="false">
      <c r="A585" s="0" t="n">
        <v>1583</v>
      </c>
      <c r="B585" s="0" t="n">
        <v>7</v>
      </c>
      <c r="C585" s="0" t="s">
        <v>7</v>
      </c>
      <c r="D585" s="0" t="n">
        <v>3906.34</v>
      </c>
      <c r="E585" s="0" t="s">
        <v>6</v>
      </c>
    </row>
    <row r="586" customFormat="false" ht="15" hidden="false" customHeight="false" outlineLevel="0" collapsed="false">
      <c r="A586" s="0" t="n">
        <v>1584</v>
      </c>
      <c r="B586" s="0" t="n">
        <v>1</v>
      </c>
      <c r="C586" s="0" t="s">
        <v>8</v>
      </c>
      <c r="D586" s="0" t="n">
        <v>3521.95</v>
      </c>
      <c r="E586" s="0" t="s">
        <v>6</v>
      </c>
    </row>
    <row r="587" customFormat="false" ht="15" hidden="false" customHeight="false" outlineLevel="0" collapsed="false">
      <c r="A587" s="0" t="n">
        <v>1585</v>
      </c>
      <c r="B587" s="0" t="n">
        <v>11</v>
      </c>
      <c r="C587" s="0" t="s">
        <v>12</v>
      </c>
      <c r="D587" s="0" t="n">
        <v>931.48</v>
      </c>
      <c r="E587" s="0" t="s">
        <v>6</v>
      </c>
    </row>
    <row r="588" customFormat="false" ht="15" hidden="false" customHeight="false" outlineLevel="0" collapsed="false">
      <c r="A588" s="0" t="n">
        <v>1586</v>
      </c>
      <c r="B588" s="0" t="n">
        <v>2</v>
      </c>
      <c r="C588" s="0" t="s">
        <v>10</v>
      </c>
      <c r="D588" s="0" t="n">
        <v>1764.98</v>
      </c>
      <c r="E588" s="0" t="s">
        <v>9</v>
      </c>
    </row>
    <row r="589" customFormat="false" ht="15" hidden="false" customHeight="false" outlineLevel="0" collapsed="false">
      <c r="A589" s="0" t="n">
        <v>1587</v>
      </c>
      <c r="B589" s="0" t="n">
        <v>9</v>
      </c>
      <c r="C589" s="0" t="s">
        <v>10</v>
      </c>
      <c r="D589" s="0" t="n">
        <v>784.77</v>
      </c>
      <c r="E589" s="0" t="s">
        <v>6</v>
      </c>
    </row>
    <row r="590" customFormat="false" ht="15" hidden="false" customHeight="false" outlineLevel="0" collapsed="false">
      <c r="A590" s="0" t="n">
        <v>1588</v>
      </c>
      <c r="B590" s="0" t="n">
        <v>4</v>
      </c>
      <c r="C590" s="0" t="s">
        <v>10</v>
      </c>
      <c r="D590" s="0" t="n">
        <v>2435.02</v>
      </c>
      <c r="E590" s="0" t="s">
        <v>9</v>
      </c>
    </row>
    <row r="591" customFormat="false" ht="15" hidden="false" customHeight="false" outlineLevel="0" collapsed="false">
      <c r="A591" s="0" t="n">
        <v>1589</v>
      </c>
      <c r="B591" s="0" t="n">
        <v>11</v>
      </c>
      <c r="C591" s="0" t="s">
        <v>8</v>
      </c>
      <c r="D591" s="0" t="n">
        <v>4422.66</v>
      </c>
      <c r="E591" s="0" t="s">
        <v>6</v>
      </c>
    </row>
    <row r="592" customFormat="false" ht="15" hidden="false" customHeight="false" outlineLevel="0" collapsed="false">
      <c r="A592" s="0" t="n">
        <v>1590</v>
      </c>
      <c r="B592" s="0" t="n">
        <v>10</v>
      </c>
      <c r="C592" s="0" t="s">
        <v>11</v>
      </c>
      <c r="D592" s="0" t="n">
        <v>4114.72</v>
      </c>
      <c r="E592" s="0" t="s">
        <v>6</v>
      </c>
    </row>
    <row r="593" customFormat="false" ht="15" hidden="false" customHeight="false" outlineLevel="0" collapsed="false">
      <c r="A593" s="0" t="n">
        <v>1591</v>
      </c>
      <c r="B593" s="0" t="n">
        <v>2</v>
      </c>
      <c r="C593" s="0" t="s">
        <v>10</v>
      </c>
      <c r="D593" s="0" t="n">
        <v>877.36</v>
      </c>
      <c r="E593" s="0" t="s">
        <v>6</v>
      </c>
    </row>
    <row r="594" customFormat="false" ht="15" hidden="false" customHeight="false" outlineLevel="0" collapsed="false">
      <c r="A594" s="0" t="n">
        <v>1592</v>
      </c>
      <c r="B594" s="0" t="n">
        <v>8</v>
      </c>
      <c r="C594" s="0" t="s">
        <v>8</v>
      </c>
      <c r="D594" s="0" t="n">
        <v>3854.24</v>
      </c>
      <c r="E594" s="0" t="s">
        <v>6</v>
      </c>
    </row>
    <row r="595" customFormat="false" ht="15" hidden="false" customHeight="false" outlineLevel="0" collapsed="false">
      <c r="A595" s="0" t="n">
        <v>1593</v>
      </c>
      <c r="B595" s="0" t="n">
        <v>2</v>
      </c>
      <c r="C595" s="0" t="s">
        <v>12</v>
      </c>
      <c r="D595" s="0" t="n">
        <v>4190.4</v>
      </c>
      <c r="E595" s="0" t="s">
        <v>6</v>
      </c>
    </row>
    <row r="596" customFormat="false" ht="15" hidden="false" customHeight="false" outlineLevel="0" collapsed="false">
      <c r="A596" s="0" t="n">
        <v>1594</v>
      </c>
      <c r="B596" s="0" t="n">
        <v>12</v>
      </c>
      <c r="C596" s="0" t="s">
        <v>12</v>
      </c>
      <c r="D596" s="0" t="n">
        <v>2795.84</v>
      </c>
      <c r="E596" s="0" t="s">
        <v>9</v>
      </c>
    </row>
    <row r="597" customFormat="false" ht="15" hidden="false" customHeight="false" outlineLevel="0" collapsed="false">
      <c r="A597" s="0" t="n">
        <v>1595</v>
      </c>
      <c r="B597" s="0" t="n">
        <v>1</v>
      </c>
      <c r="C597" s="0" t="s">
        <v>11</v>
      </c>
      <c r="D597" s="0" t="n">
        <v>466.35</v>
      </c>
      <c r="E597" s="0" t="s">
        <v>6</v>
      </c>
    </row>
    <row r="598" customFormat="false" ht="15" hidden="false" customHeight="false" outlineLevel="0" collapsed="false">
      <c r="A598" s="0" t="n">
        <v>1596</v>
      </c>
      <c r="B598" s="0" t="n">
        <v>9</v>
      </c>
      <c r="C598" s="0" t="s">
        <v>7</v>
      </c>
      <c r="D598" s="0" t="n">
        <v>1197.09</v>
      </c>
      <c r="E598" s="0" t="s">
        <v>9</v>
      </c>
    </row>
    <row r="599" customFormat="false" ht="15" hidden="false" customHeight="false" outlineLevel="0" collapsed="false">
      <c r="A599" s="0" t="n">
        <v>1597</v>
      </c>
      <c r="B599" s="0" t="n">
        <v>10</v>
      </c>
      <c r="C599" s="0" t="s">
        <v>10</v>
      </c>
      <c r="D599" s="0" t="n">
        <v>3707.15</v>
      </c>
      <c r="E599" s="0" t="s">
        <v>6</v>
      </c>
    </row>
    <row r="600" customFormat="false" ht="15" hidden="false" customHeight="false" outlineLevel="0" collapsed="false">
      <c r="A600" s="0" t="n">
        <v>1598</v>
      </c>
      <c r="B600" s="0" t="n">
        <v>4</v>
      </c>
      <c r="C600" s="0" t="s">
        <v>10</v>
      </c>
      <c r="D600" s="0" t="n">
        <v>4433.03</v>
      </c>
      <c r="E600" s="0" t="s">
        <v>6</v>
      </c>
    </row>
    <row r="601" customFormat="false" ht="15" hidden="false" customHeight="false" outlineLevel="0" collapsed="false">
      <c r="A601" s="0" t="n">
        <v>1599</v>
      </c>
      <c r="B601" s="0" t="n">
        <v>2</v>
      </c>
      <c r="C601" s="0" t="s">
        <v>12</v>
      </c>
      <c r="D601" s="0" t="n">
        <v>2353.36</v>
      </c>
      <c r="E601" s="0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2</v>
      </c>
      <c r="B1" s="0" t="s">
        <v>13</v>
      </c>
      <c r="C1" s="0" t="s">
        <v>14</v>
      </c>
      <c r="D1" s="0" t="s">
        <v>15</v>
      </c>
      <c r="E1" s="0" t="s">
        <v>16</v>
      </c>
      <c r="F1" s="0" t="s">
        <v>17</v>
      </c>
      <c r="G1" s="0" t="s">
        <v>18</v>
      </c>
      <c r="H1" s="0" t="s">
        <v>19</v>
      </c>
      <c r="I1" s="0" t="s">
        <v>20</v>
      </c>
      <c r="J1" s="0" t="s">
        <v>21</v>
      </c>
      <c r="K1" s="0" t="s">
        <v>22</v>
      </c>
      <c r="L1" s="0" t="s">
        <v>23</v>
      </c>
      <c r="M1" s="0" t="s">
        <v>24</v>
      </c>
      <c r="N1" s="0" t="s">
        <v>25</v>
      </c>
      <c r="O1" s="0" t="s">
        <v>26</v>
      </c>
      <c r="P1" s="0" t="s">
        <v>27</v>
      </c>
      <c r="Q1" s="0" t="s">
        <v>28</v>
      </c>
    </row>
    <row r="2" customFormat="false" ht="15" hidden="false" customHeight="false" outlineLevel="0" collapsed="false">
      <c r="A2" s="0" t="s">
        <v>8</v>
      </c>
      <c r="B2" s="0" t="n">
        <f aca="false">SUMIFS(Transactions!$D$2:$D$601,Transactions!$C$2:$C$601,$A2,Transactions!$B$2:$B$601,1,Transactions!$E$2:$E$601,"yes")</f>
        <v>25204.54</v>
      </c>
      <c r="C2" s="0" t="n">
        <f aca="false">SUMIFS(Transactions!$D$2:$D$601,Transactions!$C$2:$C$601,$A2,Transactions!$B$2:$B$601,2,Transactions!$E$2:$E$601,"yes")</f>
        <v>28432.88</v>
      </c>
      <c r="D2" s="0" t="n">
        <f aca="false">SUMIFS(Transactions!$D$2:$D$601,Transactions!$C$2:$C$601,$A2,Transactions!$B$2:$B$601,3,Transactions!$E$2:$E$601,"yes")</f>
        <v>24805.8</v>
      </c>
      <c r="E2" s="0" t="n">
        <f aca="false">SUMIFS(Transactions!$D$2:$D$601,Transactions!$C$2:$C$601,$A2,Transactions!$B$2:$B$601,4,Transactions!$E$2:$E$601,"yes")</f>
        <v>11377.48</v>
      </c>
      <c r="F2" s="0" t="n">
        <f aca="false">SUMIFS(Transactions!$D$2:$D$601,Transactions!$C$2:$C$601,$A2,Transactions!$B$2:$B$601,5,Transactions!$E$2:$E$601,"yes")</f>
        <v>7354.93</v>
      </c>
      <c r="G2" s="0" t="n">
        <f aca="false">SUMIFS(Transactions!$D$2:$D$601,Transactions!$C$2:$C$601,$A2,Transactions!$B$2:$B$601,6,Transactions!$E$2:$E$601,"yes")</f>
        <v>6415.97</v>
      </c>
      <c r="H2" s="0" t="n">
        <f aca="false">SUMIFS(Transactions!$D$2:$D$601,Transactions!$C$2:$C$601,$A2,Transactions!$B$2:$B$601,7,Transactions!$E$2:$E$601,"yes")</f>
        <v>6948.87</v>
      </c>
      <c r="I2" s="0" t="n">
        <f aca="false">SUMIFS(Transactions!$D$2:$D$601,Transactions!$C$2:$C$601,$A2,Transactions!$B$2:$B$601,8,Transactions!$E$2:$E$601,"yes")</f>
        <v>17124.89</v>
      </c>
      <c r="J2" s="0" t="n">
        <f aca="false">SUMIFS(Transactions!$D$2:$D$601,Transactions!$C$2:$C$601,$A2,Transactions!$B$2:$B$601,9,Transactions!$E$2:$E$601,"yes")</f>
        <v>2595.49</v>
      </c>
      <c r="K2" s="0" t="n">
        <f aca="false">SUMIFS(Transactions!$D$2:$D$601,Transactions!$C$2:$C$601,$A2,Transactions!$B$2:$B$601,10,Transactions!$E$2:$E$601,"yes")</f>
        <v>10954</v>
      </c>
      <c r="L2" s="0" t="n">
        <f aca="false">SUMIFS(Transactions!$D$2:$D$601,Transactions!$C$2:$C$601,$A2,Transactions!$B$2:$B$601,11,Transactions!$E$2:$E$601,"yes")</f>
        <v>25306.55</v>
      </c>
      <c r="M2" s="0" t="n">
        <f aca="false">SUMIFS(Transactions!$D$2:$D$601,Transactions!$C$2:$C$601,$A2,Transactions!$B$2:$B$601,12,Transactions!$E$2:$E$601,"yes")</f>
        <v>27314.28</v>
      </c>
      <c r="N2" s="0" t="n">
        <f aca="false">SUM(B2:M2)</f>
        <v>193835.68</v>
      </c>
      <c r="O2" s="0" t="n">
        <v>40000</v>
      </c>
      <c r="P2" s="0" t="n">
        <f aca="false">N2-O2</f>
        <v>153835.68</v>
      </c>
      <c r="Q2" s="0" t="str">
        <f aca="false">IF(P2&gt;0,"over",IF(P2&gt;-0.1*O2,"near","under"))</f>
        <v>over</v>
      </c>
    </row>
    <row r="3" customFormat="false" ht="15" hidden="false" customHeight="false" outlineLevel="0" collapsed="false">
      <c r="A3" s="0" t="s">
        <v>12</v>
      </c>
      <c r="B3" s="0" t="n">
        <f aca="false">SUMIFS(Transactions!$D$2:$D$601,Transactions!$C$2:$C$601,$A3,Transactions!$B$2:$B$601,1,Transactions!$E$2:$E$601,"yes")</f>
        <v>17493.88</v>
      </c>
      <c r="C3" s="0" t="n">
        <f aca="false">SUMIFS(Transactions!$D$2:$D$601,Transactions!$C$2:$C$601,$A3,Transactions!$B$2:$B$601,2,Transactions!$E$2:$E$601,"yes")</f>
        <v>25744.35</v>
      </c>
      <c r="D3" s="0" t="n">
        <f aca="false">SUMIFS(Transactions!$D$2:$D$601,Transactions!$C$2:$C$601,$A3,Transactions!$B$2:$B$601,3,Transactions!$E$2:$E$601,"yes")</f>
        <v>18973.85</v>
      </c>
      <c r="E3" s="0" t="n">
        <f aca="false">SUMIFS(Transactions!$D$2:$D$601,Transactions!$C$2:$C$601,$A3,Transactions!$B$2:$B$601,4,Transactions!$E$2:$E$601,"yes")</f>
        <v>18550.86</v>
      </c>
      <c r="F3" s="0" t="n">
        <f aca="false">SUMIFS(Transactions!$D$2:$D$601,Transactions!$C$2:$C$601,$A3,Transactions!$B$2:$B$601,5,Transactions!$E$2:$E$601,"yes")</f>
        <v>19193.74</v>
      </c>
      <c r="G3" s="0" t="n">
        <f aca="false">SUMIFS(Transactions!$D$2:$D$601,Transactions!$C$2:$C$601,$A3,Transactions!$B$2:$B$601,6,Transactions!$E$2:$E$601,"yes")</f>
        <v>23630.48</v>
      </c>
      <c r="H3" s="0" t="n">
        <f aca="false">SUMIFS(Transactions!$D$2:$D$601,Transactions!$C$2:$C$601,$A3,Transactions!$B$2:$B$601,7,Transactions!$E$2:$E$601,"yes")</f>
        <v>12612.95</v>
      </c>
      <c r="I3" s="0" t="n">
        <f aca="false">SUMIFS(Transactions!$D$2:$D$601,Transactions!$C$2:$C$601,$A3,Transactions!$B$2:$B$601,8,Transactions!$E$2:$E$601,"yes")</f>
        <v>16514.16</v>
      </c>
      <c r="J3" s="0" t="n">
        <f aca="false">SUMIFS(Transactions!$D$2:$D$601,Transactions!$C$2:$C$601,$A3,Transactions!$B$2:$B$601,9,Transactions!$E$2:$E$601,"yes")</f>
        <v>14335.05</v>
      </c>
      <c r="K3" s="0" t="n">
        <f aca="false">SUMIFS(Transactions!$D$2:$D$601,Transactions!$C$2:$C$601,$A3,Transactions!$B$2:$B$601,10,Transactions!$E$2:$E$601,"yes")</f>
        <v>16746.57</v>
      </c>
      <c r="L3" s="0" t="n">
        <f aca="false">SUMIFS(Transactions!$D$2:$D$601,Transactions!$C$2:$C$601,$A3,Transactions!$B$2:$B$601,11,Transactions!$E$2:$E$601,"yes")</f>
        <v>15803.22</v>
      </c>
      <c r="M3" s="0" t="n">
        <f aca="false">SUMIFS(Transactions!$D$2:$D$601,Transactions!$C$2:$C$601,$A3,Transactions!$B$2:$B$601,12,Transactions!$E$2:$E$601,"yes")</f>
        <v>18066.34</v>
      </c>
      <c r="N3" s="0" t="n">
        <f aca="false">SUM(B3:M3)</f>
        <v>217665.45</v>
      </c>
      <c r="O3" s="0" t="n">
        <v>120000</v>
      </c>
      <c r="P3" s="0" t="n">
        <f aca="false">N3-O3</f>
        <v>97665.45</v>
      </c>
      <c r="Q3" s="0" t="str">
        <f aca="false">IF(P3&gt;0,"over",IF(P3&gt;-0.1*O3,"near","under"))</f>
        <v>over</v>
      </c>
    </row>
    <row r="4" customFormat="false" ht="15" hidden="false" customHeight="false" outlineLevel="0" collapsed="false">
      <c r="A4" s="0" t="s">
        <v>11</v>
      </c>
      <c r="B4" s="0" t="n">
        <f aca="false">SUMIFS(Transactions!$D$2:$D$601,Transactions!$C$2:$C$601,$A4,Transactions!$B$2:$B$601,1,Transactions!$E$2:$E$601,"yes")</f>
        <v>15906.42</v>
      </c>
      <c r="C4" s="0" t="n">
        <f aca="false">SUMIFS(Transactions!$D$2:$D$601,Transactions!$C$2:$C$601,$A4,Transactions!$B$2:$B$601,2,Transactions!$E$2:$E$601,"yes")</f>
        <v>9703.09</v>
      </c>
      <c r="D4" s="0" t="n">
        <f aca="false">SUMIFS(Transactions!$D$2:$D$601,Transactions!$C$2:$C$601,$A4,Transactions!$B$2:$B$601,3,Transactions!$E$2:$E$601,"yes")</f>
        <v>16508.38</v>
      </c>
      <c r="E4" s="0" t="n">
        <f aca="false">SUMIFS(Transactions!$D$2:$D$601,Transactions!$C$2:$C$601,$A4,Transactions!$B$2:$B$601,4,Transactions!$E$2:$E$601,"yes")</f>
        <v>25358.88</v>
      </c>
      <c r="F4" s="0" t="n">
        <f aca="false">SUMIFS(Transactions!$D$2:$D$601,Transactions!$C$2:$C$601,$A4,Transactions!$B$2:$B$601,5,Transactions!$E$2:$E$601,"yes")</f>
        <v>8549.47</v>
      </c>
      <c r="G4" s="0" t="n">
        <f aca="false">SUMIFS(Transactions!$D$2:$D$601,Transactions!$C$2:$C$601,$A4,Transactions!$B$2:$B$601,6,Transactions!$E$2:$E$601,"yes")</f>
        <v>26518.3</v>
      </c>
      <c r="H4" s="0" t="n">
        <f aca="false">SUMIFS(Transactions!$D$2:$D$601,Transactions!$C$2:$C$601,$A4,Transactions!$B$2:$B$601,7,Transactions!$E$2:$E$601,"yes")</f>
        <v>11195.59</v>
      </c>
      <c r="I4" s="0" t="n">
        <f aca="false">SUMIFS(Transactions!$D$2:$D$601,Transactions!$C$2:$C$601,$A4,Transactions!$B$2:$B$601,8,Transactions!$E$2:$E$601,"yes")</f>
        <v>21203.93</v>
      </c>
      <c r="J4" s="0" t="n">
        <f aca="false">SUMIFS(Transactions!$D$2:$D$601,Transactions!$C$2:$C$601,$A4,Transactions!$B$2:$B$601,9,Transactions!$E$2:$E$601,"yes")</f>
        <v>20061.74</v>
      </c>
      <c r="K4" s="0" t="n">
        <f aca="false">SUMIFS(Transactions!$D$2:$D$601,Transactions!$C$2:$C$601,$A4,Transactions!$B$2:$B$601,10,Transactions!$E$2:$E$601,"yes")</f>
        <v>11382.34</v>
      </c>
      <c r="L4" s="0" t="n">
        <f aca="false">SUMIFS(Transactions!$D$2:$D$601,Transactions!$C$2:$C$601,$A4,Transactions!$B$2:$B$601,11,Transactions!$E$2:$E$601,"yes")</f>
        <v>10446.28</v>
      </c>
      <c r="M4" s="0" t="n">
        <f aca="false">SUMIFS(Transactions!$D$2:$D$601,Transactions!$C$2:$C$601,$A4,Transactions!$B$2:$B$601,12,Transactions!$E$2:$E$601,"yes")</f>
        <v>24029.63</v>
      </c>
      <c r="N4" s="0" t="n">
        <f aca="false">SUM(B4:M4)</f>
        <v>200864.05</v>
      </c>
      <c r="O4" s="0" t="n">
        <v>40000</v>
      </c>
      <c r="P4" s="0" t="n">
        <f aca="false">N4-O4</f>
        <v>160864.05</v>
      </c>
      <c r="Q4" s="0" t="str">
        <f aca="false">IF(P4&gt;0,"over",IF(P4&gt;-0.1*O4,"near","under"))</f>
        <v>over</v>
      </c>
    </row>
    <row r="5" customFormat="false" ht="15" hidden="false" customHeight="false" outlineLevel="0" collapsed="false">
      <c r="A5" s="0" t="s">
        <v>7</v>
      </c>
      <c r="B5" s="0" t="n">
        <f aca="false">SUMIFS(Transactions!$D$2:$D$601,Transactions!$C$2:$C$601,$A5,Transactions!$B$2:$B$601,1,Transactions!$E$2:$E$601,"yes")</f>
        <v>7238.46</v>
      </c>
      <c r="C5" s="0" t="n">
        <f aca="false">SUMIFS(Transactions!$D$2:$D$601,Transactions!$C$2:$C$601,$A5,Transactions!$B$2:$B$601,2,Transactions!$E$2:$E$601,"yes")</f>
        <v>20774.59</v>
      </c>
      <c r="D5" s="0" t="n">
        <f aca="false">SUMIFS(Transactions!$D$2:$D$601,Transactions!$C$2:$C$601,$A5,Transactions!$B$2:$B$601,3,Transactions!$E$2:$E$601,"yes")</f>
        <v>13537.86</v>
      </c>
      <c r="E5" s="0" t="n">
        <f aca="false">SUMIFS(Transactions!$D$2:$D$601,Transactions!$C$2:$C$601,$A5,Transactions!$B$2:$B$601,4,Transactions!$E$2:$E$601,"yes")</f>
        <v>5243.37</v>
      </c>
      <c r="F5" s="0" t="n">
        <f aca="false">SUMIFS(Transactions!$D$2:$D$601,Transactions!$C$2:$C$601,$A5,Transactions!$B$2:$B$601,5,Transactions!$E$2:$E$601,"yes")</f>
        <v>20872.56</v>
      </c>
      <c r="G5" s="0" t="n">
        <f aca="false">SUMIFS(Transactions!$D$2:$D$601,Transactions!$C$2:$C$601,$A5,Transactions!$B$2:$B$601,6,Transactions!$E$2:$E$601,"yes")</f>
        <v>11301.05</v>
      </c>
      <c r="H5" s="0" t="n">
        <f aca="false">SUMIFS(Transactions!$D$2:$D$601,Transactions!$C$2:$C$601,$A5,Transactions!$B$2:$B$601,7,Transactions!$E$2:$E$601,"yes")</f>
        <v>24749.26</v>
      </c>
      <c r="I5" s="0" t="n">
        <f aca="false">SUMIFS(Transactions!$D$2:$D$601,Transactions!$C$2:$C$601,$A5,Transactions!$B$2:$B$601,8,Transactions!$E$2:$E$601,"yes")</f>
        <v>12189.95</v>
      </c>
      <c r="J5" s="0" t="n">
        <f aca="false">SUMIFS(Transactions!$D$2:$D$601,Transactions!$C$2:$C$601,$A5,Transactions!$B$2:$B$601,9,Transactions!$E$2:$E$601,"yes")</f>
        <v>15329.91</v>
      </c>
      <c r="K5" s="0" t="n">
        <f aca="false">SUMIFS(Transactions!$D$2:$D$601,Transactions!$C$2:$C$601,$A5,Transactions!$B$2:$B$601,10,Transactions!$E$2:$E$601,"yes")</f>
        <v>11177.52</v>
      </c>
      <c r="L5" s="0" t="n">
        <f aca="false">SUMIFS(Transactions!$D$2:$D$601,Transactions!$C$2:$C$601,$A5,Transactions!$B$2:$B$601,11,Transactions!$E$2:$E$601,"yes")</f>
        <v>18880.22</v>
      </c>
      <c r="M5" s="0" t="n">
        <f aca="false">SUMIFS(Transactions!$D$2:$D$601,Transactions!$C$2:$C$601,$A5,Transactions!$B$2:$B$601,12,Transactions!$E$2:$E$601,"yes")</f>
        <v>3509.97</v>
      </c>
      <c r="N5" s="0" t="n">
        <f aca="false">SUM(B5:M5)</f>
        <v>164804.72</v>
      </c>
      <c r="O5" s="0" t="n">
        <v>60000</v>
      </c>
      <c r="P5" s="0" t="n">
        <f aca="false">N5-O5</f>
        <v>104804.72</v>
      </c>
      <c r="Q5" s="0" t="str">
        <f aca="false">IF(P5&gt;0,"over",IF(P5&gt;-0.1*O5,"near","under"))</f>
        <v>over</v>
      </c>
    </row>
    <row r="6" customFormat="false" ht="15" hidden="false" customHeight="false" outlineLevel="0" collapsed="false">
      <c r="A6" s="0" t="s">
        <v>5</v>
      </c>
      <c r="B6" s="0" t="n">
        <f aca="false">SUMIFS(Transactions!$D$2:$D$601,Transactions!$C$2:$C$601,$A6,Transactions!$B$2:$B$601,1,Transactions!$E$2:$E$601,"yes")</f>
        <v>9014.56</v>
      </c>
      <c r="C6" s="0" t="n">
        <f aca="false">SUMIFS(Transactions!$D$2:$D$601,Transactions!$C$2:$C$601,$A6,Transactions!$B$2:$B$601,2,Transactions!$E$2:$E$601,"yes")</f>
        <v>10758.97</v>
      </c>
      <c r="D6" s="0" t="n">
        <f aca="false">SUMIFS(Transactions!$D$2:$D$601,Transactions!$C$2:$C$601,$A6,Transactions!$B$2:$B$601,3,Transactions!$E$2:$E$601,"yes")</f>
        <v>8975.83</v>
      </c>
      <c r="E6" s="0" t="n">
        <f aca="false">SUMIFS(Transactions!$D$2:$D$601,Transactions!$C$2:$C$601,$A6,Transactions!$B$2:$B$601,4,Transactions!$E$2:$E$601,"yes")</f>
        <v>21178.81</v>
      </c>
      <c r="F6" s="0" t="n">
        <f aca="false">SUMIFS(Transactions!$D$2:$D$601,Transactions!$C$2:$C$601,$A6,Transactions!$B$2:$B$601,5,Transactions!$E$2:$E$601,"yes")</f>
        <v>18808.72</v>
      </c>
      <c r="G6" s="0" t="n">
        <f aca="false">SUMIFS(Transactions!$D$2:$D$601,Transactions!$C$2:$C$601,$A6,Transactions!$B$2:$B$601,6,Transactions!$E$2:$E$601,"yes")</f>
        <v>10337.81</v>
      </c>
      <c r="H6" s="0" t="n">
        <f aca="false">SUMIFS(Transactions!$D$2:$D$601,Transactions!$C$2:$C$601,$A6,Transactions!$B$2:$B$601,7,Transactions!$E$2:$E$601,"yes")</f>
        <v>11111.76</v>
      </c>
      <c r="I6" s="0" t="n">
        <f aca="false">SUMIFS(Transactions!$D$2:$D$601,Transactions!$C$2:$C$601,$A6,Transactions!$B$2:$B$601,8,Transactions!$E$2:$E$601,"yes")</f>
        <v>14477.12</v>
      </c>
      <c r="J6" s="0" t="n">
        <f aca="false">SUMIFS(Transactions!$D$2:$D$601,Transactions!$C$2:$C$601,$A6,Transactions!$B$2:$B$601,9,Transactions!$E$2:$E$601,"yes")</f>
        <v>7047.57</v>
      </c>
      <c r="K6" s="0" t="n">
        <f aca="false">SUMIFS(Transactions!$D$2:$D$601,Transactions!$C$2:$C$601,$A6,Transactions!$B$2:$B$601,10,Transactions!$E$2:$E$601,"yes")</f>
        <v>18252.99</v>
      </c>
      <c r="L6" s="0" t="n">
        <f aca="false">SUMIFS(Transactions!$D$2:$D$601,Transactions!$C$2:$C$601,$A6,Transactions!$B$2:$B$601,11,Transactions!$E$2:$E$601,"yes")</f>
        <v>16009.64</v>
      </c>
      <c r="M6" s="0" t="n">
        <f aca="false">SUMIFS(Transactions!$D$2:$D$601,Transactions!$C$2:$C$601,$A6,Transactions!$B$2:$B$601,12,Transactions!$E$2:$E$601,"yes")</f>
        <v>17024.78</v>
      </c>
      <c r="N6" s="0" t="n">
        <f aca="false">SUM(B6:M6)</f>
        <v>162998.56</v>
      </c>
      <c r="O6" s="0" t="n">
        <v>120000</v>
      </c>
      <c r="P6" s="0" t="n">
        <f aca="false">N6-O6</f>
        <v>42998.56</v>
      </c>
      <c r="Q6" s="0" t="str">
        <f aca="false">IF(P6&gt;0,"over",IF(P6&gt;-0.1*O6,"near","under"))</f>
        <v>over</v>
      </c>
    </row>
    <row r="7" customFormat="false" ht="15" hidden="false" customHeight="false" outlineLevel="0" collapsed="false">
      <c r="A7" s="0" t="s">
        <v>10</v>
      </c>
      <c r="B7" s="0" t="n">
        <f aca="false">SUMIFS(Transactions!$D$2:$D$601,Transactions!$C$2:$C$601,$A7,Transactions!$B$2:$B$601,1,Transactions!$E$2:$E$601,"yes")</f>
        <v>10991.62</v>
      </c>
      <c r="C7" s="0" t="n">
        <f aca="false">SUMIFS(Transactions!$D$2:$D$601,Transactions!$C$2:$C$601,$A7,Transactions!$B$2:$B$601,2,Transactions!$E$2:$E$601,"yes")</f>
        <v>1571.72</v>
      </c>
      <c r="D7" s="0" t="n">
        <f aca="false">SUMIFS(Transactions!$D$2:$D$601,Transactions!$C$2:$C$601,$A7,Transactions!$B$2:$B$601,3,Transactions!$E$2:$E$601,"yes")</f>
        <v>6385.92</v>
      </c>
      <c r="E7" s="0" t="n">
        <f aca="false">SUMIFS(Transactions!$D$2:$D$601,Transactions!$C$2:$C$601,$A7,Transactions!$B$2:$B$601,4,Transactions!$E$2:$E$601,"yes")</f>
        <v>21741.3</v>
      </c>
      <c r="F7" s="0" t="n">
        <f aca="false">SUMIFS(Transactions!$D$2:$D$601,Transactions!$C$2:$C$601,$A7,Transactions!$B$2:$B$601,5,Transactions!$E$2:$E$601,"yes")</f>
        <v>8405.64</v>
      </c>
      <c r="G7" s="0" t="n">
        <f aca="false">SUMIFS(Transactions!$D$2:$D$601,Transactions!$C$2:$C$601,$A7,Transactions!$B$2:$B$601,6,Transactions!$E$2:$E$601,"yes")</f>
        <v>27138.67</v>
      </c>
      <c r="H7" s="0" t="n">
        <f aca="false">SUMIFS(Transactions!$D$2:$D$601,Transactions!$C$2:$C$601,$A7,Transactions!$B$2:$B$601,7,Transactions!$E$2:$E$601,"yes")</f>
        <v>23579.84</v>
      </c>
      <c r="I7" s="0" t="n">
        <f aca="false">SUMIFS(Transactions!$D$2:$D$601,Transactions!$C$2:$C$601,$A7,Transactions!$B$2:$B$601,8,Transactions!$E$2:$E$601,"yes")</f>
        <v>9870.99</v>
      </c>
      <c r="J7" s="0" t="n">
        <f aca="false">SUMIFS(Transactions!$D$2:$D$601,Transactions!$C$2:$C$601,$A7,Transactions!$B$2:$B$601,9,Transactions!$E$2:$E$601,"yes")</f>
        <v>18709.57</v>
      </c>
      <c r="K7" s="0" t="n">
        <f aca="false">SUMIFS(Transactions!$D$2:$D$601,Transactions!$C$2:$C$601,$A7,Transactions!$B$2:$B$601,10,Transactions!$E$2:$E$601,"yes")</f>
        <v>19080.17</v>
      </c>
      <c r="L7" s="0" t="n">
        <f aca="false">SUMIFS(Transactions!$D$2:$D$601,Transactions!$C$2:$C$601,$A7,Transactions!$B$2:$B$601,11,Transactions!$E$2:$E$601,"yes")</f>
        <v>16560.77</v>
      </c>
      <c r="M7" s="0" t="n">
        <f aca="false">SUMIFS(Transactions!$D$2:$D$601,Transactions!$C$2:$C$601,$A7,Transactions!$B$2:$B$601,12,Transactions!$E$2:$E$601,"yes")</f>
        <v>10439.79</v>
      </c>
      <c r="N7" s="0" t="n">
        <f aca="false">SUM(B7:M7)</f>
        <v>174476</v>
      </c>
      <c r="O7" s="0" t="n">
        <v>60000</v>
      </c>
      <c r="P7" s="0" t="n">
        <f aca="false">N7-O7</f>
        <v>114476</v>
      </c>
      <c r="Q7" s="0" t="str">
        <f aca="false">IF(P7&gt;0,"over",IF(P7&gt;-0.1*O7,"near","under"))</f>
        <v>over</v>
      </c>
    </row>
    <row r="8" customFormat="false" ht="15" hidden="false" customHeight="false" outlineLevel="0" collapsed="false">
      <c r="A8" s="0" t="s">
        <v>25</v>
      </c>
      <c r="B8" s="0" t="n">
        <f aca="false">SUM(B2:B7)</f>
        <v>85849.48</v>
      </c>
      <c r="C8" s="0" t="n">
        <f aca="false">SUM(C2:C7)</f>
        <v>96985.6</v>
      </c>
      <c r="D8" s="0" t="n">
        <f aca="false">SUM(D2:D7)</f>
        <v>89187.64</v>
      </c>
      <c r="E8" s="0" t="n">
        <f aca="false">SUM(E2:E7)</f>
        <v>103450.7</v>
      </c>
      <c r="F8" s="0" t="n">
        <f aca="false">SUM(F2:F7)</f>
        <v>83185.06</v>
      </c>
      <c r="G8" s="0" t="n">
        <f aca="false">SUM(G2:G7)</f>
        <v>105342.28</v>
      </c>
      <c r="H8" s="0" t="n">
        <f aca="false">SUM(H2:H7)</f>
        <v>90198.27</v>
      </c>
      <c r="I8" s="0" t="n">
        <f aca="false">SUM(I2:I7)</f>
        <v>91381.04</v>
      </c>
      <c r="J8" s="0" t="n">
        <f aca="false">SUM(J2:J7)</f>
        <v>78079.33</v>
      </c>
      <c r="K8" s="0" t="n">
        <f aca="false">SUM(K2:K7)</f>
        <v>87593.59</v>
      </c>
      <c r="L8" s="0" t="n">
        <f aca="false">SUM(L2:L7)</f>
        <v>103006.68</v>
      </c>
      <c r="M8" s="0" t="n">
        <f aca="false">SUM(M2:M7)</f>
        <v>100384.79</v>
      </c>
      <c r="N8" s="0" t="n">
        <f aca="false">SUM(N2:N7)</f>
        <v>1114644.46</v>
      </c>
      <c r="O8" s="0" t="n">
        <f aca="false">SUM(O2:O7)</f>
        <v>440000</v>
      </c>
      <c r="P8" s="0" t="n">
        <f aca="false">SUM(P2:P7)</f>
        <v>674644.46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2026-10-23T18:21:24Z</dcterms:created>
  <dc:creator>openpyxl</dc:creator>
  <dc:description/>
  <dc:language>en-US</dc:language>
  <cp:lastModifiedBy/>
  <dcterms:modified xsi:type="dcterms:W3CDTF">2026-10-23T18:21:24Z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