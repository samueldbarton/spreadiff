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ance1" sheetId="1" state="visible" r:id="rId3"/>
    <sheet name="Instance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Author:
</t>
        </r>
        <r>
          <rPr>
            <sz val="11"/>
            <color rgb="FF000000"/>
            <rFont val="Tahoma"/>
            <family val="0"/>
            <charset val="1"/>
          </rPr>
          <t xml:space="preserve">Round to the nearest integer. If equidistant from two integers, then round to the nearest even integer.</t>
        </r>
      </text>
    </comment>
  </commentList>
</comments>
</file>

<file path=xl/sharedStrings.xml><?xml version="1.0" encoding="utf-8"?>
<sst xmlns="http://schemas.openxmlformats.org/spreadsheetml/2006/main" count="55" uniqueCount="39">
  <si>
    <t xml:space="preserve">Basic Operators and Functions</t>
  </si>
  <si>
    <t xml:space="preserve">Excel</t>
  </si>
  <si>
    <t xml:space="preserve">Melody</t>
  </si>
  <si>
    <t xml:space="preserve">Pass/Fail</t>
  </si>
  <si>
    <t xml:space="preserve">x1</t>
  </si>
  <si>
    <t xml:space="preserve">y1 (x1+x2)</t>
  </si>
  <si>
    <t xml:space="preserve">x2</t>
  </si>
  <si>
    <t xml:space="preserve">y2 (x1-x2)</t>
  </si>
  <si>
    <t xml:space="preserve">x3</t>
  </si>
  <si>
    <t xml:space="preserve">y3 (x1*x2)</t>
  </si>
  <si>
    <t xml:space="preserve">x4</t>
  </si>
  <si>
    <t xml:space="preserve">y4 (x1/x2)</t>
  </si>
  <si>
    <t xml:space="preserve">x5</t>
  </si>
  <si>
    <t xml:space="preserve">y5 (abs(x3))</t>
  </si>
  <si>
    <t xml:space="preserve">x6</t>
  </si>
  <si>
    <t xml:space="preserve">y6 (ceil(x4))</t>
  </si>
  <si>
    <t xml:space="preserve">x7</t>
  </si>
  <si>
    <t xml:space="preserve">y7 (floor(x4))</t>
  </si>
  <si>
    <t xml:space="preserve">y8 (round(x4))</t>
  </si>
  <si>
    <t xml:space="preserve">y9 (mod(x5,x6))</t>
  </si>
  <si>
    <t xml:space="preserve">y10 (pow(x5,x6))</t>
  </si>
  <si>
    <t xml:space="preserve">y12 (sqrt(x7))</t>
  </si>
  <si>
    <t xml:space="preserve">Trignometric Functions</t>
  </si>
  <si>
    <t xml:space="preserve">y1 (sin(x1))</t>
  </si>
  <si>
    <t xml:space="preserve">y2 (cos(x1))</t>
  </si>
  <si>
    <t xml:space="preserve">y3 (tan(x1))</t>
  </si>
  <si>
    <t xml:space="preserve">y4 (asin(x2))</t>
  </si>
  <si>
    <t xml:space="preserve">y5 (acos(x2))</t>
  </si>
  <si>
    <t xml:space="preserve">y6 (atan(x2))</t>
  </si>
  <si>
    <t xml:space="preserve">y7 (atan2(x2,x3))</t>
  </si>
  <si>
    <t xml:space="preserve">Stat Functions</t>
  </si>
  <si>
    <t xml:space="preserve">y1 (avg(x1))</t>
  </si>
  <si>
    <t xml:space="preserve">y2 (max(x1))</t>
  </si>
  <si>
    <t xml:space="preserve">y3 (min(x1))</t>
  </si>
  <si>
    <t xml:space="preserve">y4 (sum(x2))</t>
  </si>
  <si>
    <t xml:space="preserve">y5 (std(x2))</t>
  </si>
  <si>
    <t xml:space="preserve">y6 (var(x2))</t>
  </si>
  <si>
    <t xml:space="preserve">y7 (min(x2,..,x7))</t>
  </si>
  <si>
    <t xml:space="preserve">y8 (min(x2,..,x7))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</si>
</sst>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CC"/>
      <name val="Calibri"/>
      <family val="2"/>
      <charset val="1"/>
    </font>
    <font>
      <sz val="11"/>
      <color rgb="FF0000CC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11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0000"/>
        </patternFill>
      </fill>
    </dxf>
    <dxf>
      <fill>
        <patternFill>
          <bgColor rgb="FF66FF33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FF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0.57"/>
    <col collapsed="false" customWidth="true" hidden="false" outlineLevel="0" max="4" min="4" style="1" width="18.14"/>
    <col collapsed="false" customWidth="true" hidden="false" outlineLevel="0" max="5" min="5" style="1" width="15.29"/>
    <col collapsed="false" customWidth="true" hidden="false" outlineLevel="0" max="6" min="6" style="1" width="14.42"/>
    <col collapsed="false" customWidth="true" hidden="false" outlineLevel="0" max="7" min="7" style="1" width="11.85"/>
  </cols>
  <sheetData>
    <row r="1" customFormat="false" ht="17.35" hidden="false" customHeight="false" outlineLevel="0" collapsed="false">
      <c r="B1" s="2" t="s">
        <v>0</v>
      </c>
      <c r="C1" s="2"/>
      <c r="D1" s="2"/>
    </row>
    <row r="2" customFormat="false" ht="15" hidden="false" customHeight="false" outlineLevel="0" collapsed="false">
      <c r="D2" s="3"/>
      <c r="E2" s="4" t="s">
        <v>1</v>
      </c>
      <c r="F2" s="4" t="s">
        <v>2</v>
      </c>
      <c r="G2" s="4" t="s">
        <v>3</v>
      </c>
    </row>
    <row r="3" customFormat="false" ht="15" hidden="false" customHeight="false" outlineLevel="0" collapsed="false">
      <c r="A3" s="5" t="s">
        <v>4</v>
      </c>
      <c r="B3" s="6" t="n">
        <v>4</v>
      </c>
      <c r="D3" s="7" t="s">
        <v>5</v>
      </c>
      <c r="E3" s="8" t="n">
        <f aca="false">B3+B4</f>
        <v>6</v>
      </c>
      <c r="F3" s="8"/>
      <c r="G3" s="9"/>
    </row>
    <row r="4" customFormat="false" ht="15" hidden="false" customHeight="false" outlineLevel="0" collapsed="false">
      <c r="A4" s="5" t="s">
        <v>6</v>
      </c>
      <c r="B4" s="6" t="n">
        <v>2</v>
      </c>
      <c r="D4" s="3" t="s">
        <v>7</v>
      </c>
      <c r="E4" s="8" t="n">
        <f aca="false">B3-B4</f>
        <v>2</v>
      </c>
      <c r="F4" s="8"/>
      <c r="G4" s="9"/>
    </row>
    <row r="5" customFormat="false" ht="15" hidden="false" customHeight="false" outlineLevel="0" collapsed="false">
      <c r="A5" s="5" t="s">
        <v>8</v>
      </c>
      <c r="B5" s="6" t="n">
        <v>-2.3</v>
      </c>
      <c r="D5" s="3" t="s">
        <v>9</v>
      </c>
      <c r="E5" s="8" t="n">
        <f aca="false">B3*B4</f>
        <v>8</v>
      </c>
      <c r="F5" s="8"/>
      <c r="G5" s="9"/>
    </row>
    <row r="6" customFormat="false" ht="15" hidden="false" customHeight="false" outlineLevel="0" collapsed="false">
      <c r="A6" s="5" t="s">
        <v>10</v>
      </c>
      <c r="B6" s="6" t="n">
        <v>3.5</v>
      </c>
      <c r="D6" s="3" t="s">
        <v>11</v>
      </c>
      <c r="E6" s="8" t="n">
        <f aca="false">B3/B4</f>
        <v>2</v>
      </c>
      <c r="F6" s="8"/>
      <c r="G6" s="9"/>
    </row>
    <row r="7" customFormat="false" ht="15" hidden="false" customHeight="false" outlineLevel="0" collapsed="false">
      <c r="A7" s="5" t="s">
        <v>12</v>
      </c>
      <c r="B7" s="6" t="n">
        <v>3</v>
      </c>
      <c r="D7" s="3" t="s">
        <v>13</v>
      </c>
      <c r="E7" s="8" t="n">
        <f aca="false">ABS(B5)</f>
        <v>2.3</v>
      </c>
      <c r="F7" s="8"/>
      <c r="G7" s="9"/>
    </row>
    <row r="8" customFormat="false" ht="15" hidden="false" customHeight="false" outlineLevel="0" collapsed="false">
      <c r="A8" s="5" t="s">
        <v>14</v>
      </c>
      <c r="B8" s="6" t="n">
        <v>2</v>
      </c>
      <c r="D8" s="3" t="s">
        <v>15</v>
      </c>
      <c r="E8" s="8" t="n">
        <f aca="false">CEILING(B6,1)</f>
        <v>4</v>
      </c>
      <c r="F8" s="8"/>
      <c r="G8" s="9"/>
    </row>
    <row r="9" customFormat="false" ht="15" hidden="false" customHeight="false" outlineLevel="0" collapsed="false">
      <c r="A9" s="5" t="s">
        <v>16</v>
      </c>
      <c r="B9" s="6" t="n">
        <v>25</v>
      </c>
      <c r="D9" s="3" t="s">
        <v>17</v>
      </c>
      <c r="E9" s="8" t="n">
        <f aca="false">FLOOR(B6,1)</f>
        <v>3</v>
      </c>
      <c r="F9" s="8"/>
      <c r="G9" s="9"/>
    </row>
    <row r="10" customFormat="false" ht="15" hidden="false" customHeight="false" outlineLevel="0" collapsed="false">
      <c r="A10" s="6"/>
      <c r="B10" s="6"/>
      <c r="D10" s="3" t="s">
        <v>18</v>
      </c>
      <c r="E10" s="8" t="n">
        <f aca="false">IF(B6= (ROUNDUP(B6,0) + ROUNDDOWN(B6,0))/2, MROUND(B6,2),ROUND(B6,0))</f>
        <v>4</v>
      </c>
      <c r="F10" s="8"/>
      <c r="G10" s="9"/>
    </row>
    <row r="11" customFormat="false" ht="15" hidden="false" customHeight="false" outlineLevel="0" collapsed="false">
      <c r="D11" s="3" t="s">
        <v>19</v>
      </c>
      <c r="E11" s="8" t="n">
        <f aca="false">MOD(B7,B8)</f>
        <v>1</v>
      </c>
      <c r="F11" s="8"/>
      <c r="G11" s="9"/>
    </row>
    <row r="12" customFormat="false" ht="15" hidden="false" customHeight="false" outlineLevel="0" collapsed="false">
      <c r="D12" s="3" t="s">
        <v>20</v>
      </c>
      <c r="E12" s="8" t="n">
        <f aca="false">POWER(B7,B8)</f>
        <v>9</v>
      </c>
      <c r="F12" s="8"/>
      <c r="G12" s="9"/>
    </row>
    <row r="13" customFormat="false" ht="15" hidden="false" customHeight="false" outlineLevel="0" collapsed="false">
      <c r="D13" s="3"/>
      <c r="E13" s="8"/>
      <c r="F13" s="8"/>
      <c r="G13" s="9"/>
    </row>
    <row r="14" customFormat="false" ht="15" hidden="false" customHeight="false" outlineLevel="0" collapsed="false">
      <c r="D14" s="3" t="s">
        <v>21</v>
      </c>
      <c r="E14" s="8" t="n">
        <f aca="false">SQRT(B9)</f>
        <v>5</v>
      </c>
      <c r="F14" s="8"/>
      <c r="G14" s="9"/>
    </row>
    <row r="15" customFormat="false" ht="15" hidden="false" customHeight="false" outlineLevel="0" collapsed="false">
      <c r="D15" s="3"/>
      <c r="E15" s="8"/>
      <c r="F15" s="8"/>
      <c r="G15" s="9"/>
    </row>
    <row r="16" customFormat="false" ht="15" hidden="false" customHeight="false" outlineLevel="0" collapsed="false">
      <c r="E16" s="10"/>
      <c r="F16" s="10"/>
      <c r="G16" s="9"/>
    </row>
    <row r="17" customFormat="false" ht="17.35" hidden="false" customHeight="false" outlineLevel="0" collapsed="false">
      <c r="B17" s="2" t="s">
        <v>22</v>
      </c>
      <c r="C17" s="2"/>
      <c r="D17" s="2"/>
    </row>
    <row r="18" customFormat="false" ht="15" hidden="false" customHeight="false" outlineLevel="0" collapsed="false">
      <c r="D18" s="3"/>
      <c r="E18" s="4" t="s">
        <v>1</v>
      </c>
      <c r="F18" s="4" t="s">
        <v>2</v>
      </c>
      <c r="G18" s="4" t="s">
        <v>3</v>
      </c>
    </row>
    <row r="19" customFormat="false" ht="15" hidden="false" customHeight="false" outlineLevel="0" collapsed="false">
      <c r="A19" s="5" t="s">
        <v>4</v>
      </c>
      <c r="B19" s="6" t="n">
        <f aca="false">(PI()/4)*1.5</f>
        <v>1.17809724509617</v>
      </c>
      <c r="D19" s="3" t="s">
        <v>23</v>
      </c>
      <c r="E19" s="8" t="n">
        <f aca="false">SIN(B19)</f>
        <v>0.923879532511287</v>
      </c>
      <c r="F19" s="8"/>
      <c r="G19" s="9"/>
    </row>
    <row r="20" customFormat="false" ht="15" hidden="false" customHeight="false" outlineLevel="0" collapsed="false">
      <c r="A20" s="5" t="s">
        <v>6</v>
      </c>
      <c r="B20" s="6" t="n">
        <v>0.5</v>
      </c>
      <c r="D20" s="3" t="s">
        <v>24</v>
      </c>
      <c r="E20" s="8" t="n">
        <f aca="false">COS(B19)</f>
        <v>0.38268343236509</v>
      </c>
      <c r="F20" s="8"/>
      <c r="G20" s="9"/>
    </row>
    <row r="21" customFormat="false" ht="15" hidden="false" customHeight="false" outlineLevel="0" collapsed="false">
      <c r="A21" s="5" t="s">
        <v>8</v>
      </c>
      <c r="B21" s="6" t="n">
        <v>0.5</v>
      </c>
      <c r="D21" s="3" t="s">
        <v>25</v>
      </c>
      <c r="E21" s="8" t="n">
        <f aca="false">TAN(B19)</f>
        <v>2.4142135623731</v>
      </c>
      <c r="F21" s="8"/>
      <c r="G21" s="9"/>
    </row>
    <row r="22" customFormat="false" ht="15" hidden="false" customHeight="false" outlineLevel="0" collapsed="false">
      <c r="A22" s="5"/>
      <c r="B22" s="6"/>
      <c r="D22" s="3" t="s">
        <v>26</v>
      </c>
      <c r="E22" s="8" t="n">
        <f aca="false">ASIN(B20)</f>
        <v>0.523598775598299</v>
      </c>
      <c r="F22" s="8"/>
      <c r="G22" s="9"/>
    </row>
    <row r="23" customFormat="false" ht="15" hidden="false" customHeight="false" outlineLevel="0" collapsed="false">
      <c r="A23" s="5"/>
      <c r="B23" s="6"/>
      <c r="D23" s="3" t="s">
        <v>27</v>
      </c>
      <c r="E23" s="8" t="n">
        <f aca="false">ACOS(B20)</f>
        <v>1.0471975511966</v>
      </c>
      <c r="F23" s="8"/>
      <c r="G23" s="9"/>
    </row>
    <row r="24" customFormat="false" ht="15" hidden="false" customHeight="false" outlineLevel="0" collapsed="false">
      <c r="A24" s="5"/>
      <c r="B24" s="6"/>
      <c r="D24" s="3" t="s">
        <v>28</v>
      </c>
      <c r="E24" s="8" t="n">
        <f aca="false">ATAN(B20)</f>
        <v>0.463647609000806</v>
      </c>
      <c r="F24" s="8"/>
      <c r="G24" s="9"/>
    </row>
    <row r="25" customFormat="false" ht="15" hidden="false" customHeight="false" outlineLevel="0" collapsed="false">
      <c r="A25" s="5"/>
      <c r="B25" s="6"/>
      <c r="D25" s="3" t="s">
        <v>29</v>
      </c>
      <c r="E25" s="8" t="n">
        <f aca="false">ATAN2(B20,B21)</f>
        <v>0.785398163397448</v>
      </c>
      <c r="F25" s="8"/>
      <c r="G25" s="9"/>
    </row>
    <row r="26" customFormat="false" ht="15" hidden="false" customHeight="false" outlineLevel="0" collapsed="false">
      <c r="A26" s="6"/>
      <c r="B26" s="6"/>
      <c r="D26" s="3"/>
      <c r="E26" s="8"/>
      <c r="F26" s="8"/>
      <c r="G26" s="9"/>
    </row>
    <row r="27" customFormat="false" ht="15" hidden="false" customHeight="false" outlineLevel="0" collapsed="false">
      <c r="D27" s="3"/>
      <c r="E27" s="8"/>
      <c r="F27" s="8"/>
      <c r="G27" s="9"/>
    </row>
    <row r="28" customFormat="false" ht="17.35" hidden="false" customHeight="false" outlineLevel="0" collapsed="false">
      <c r="B28" s="2" t="s">
        <v>30</v>
      </c>
      <c r="D28" s="3"/>
      <c r="E28" s="8"/>
      <c r="F28" s="8"/>
      <c r="G28" s="9"/>
    </row>
    <row r="29" customFormat="false" ht="15" hidden="false" customHeight="false" outlineLevel="0" collapsed="false">
      <c r="D29" s="3"/>
      <c r="E29" s="4" t="s">
        <v>1</v>
      </c>
      <c r="F29" s="4" t="s">
        <v>2</v>
      </c>
      <c r="G29" s="4" t="s">
        <v>3</v>
      </c>
    </row>
    <row r="30" customFormat="false" ht="15" hidden="false" customHeight="false" outlineLevel="0" collapsed="false">
      <c r="A30" s="5" t="s">
        <v>4</v>
      </c>
      <c r="B30" s="6" t="n">
        <v>1</v>
      </c>
      <c r="D30" s="3" t="s">
        <v>31</v>
      </c>
      <c r="E30" s="8" t="n">
        <f aca="false">AVERAGE(B30:B39)</f>
        <v>6.255</v>
      </c>
      <c r="F30" s="8"/>
      <c r="G30" s="9"/>
    </row>
    <row r="31" customFormat="false" ht="15" hidden="false" customHeight="false" outlineLevel="0" collapsed="false">
      <c r="B31" s="1" t="n">
        <v>2</v>
      </c>
      <c r="D31" s="3" t="s">
        <v>32</v>
      </c>
      <c r="E31" s="8" t="n">
        <f aca="false">MAX(B30:B39)</f>
        <v>11.96</v>
      </c>
      <c r="F31" s="8"/>
      <c r="G31" s="9"/>
    </row>
    <row r="32" customFormat="false" ht="15" hidden="false" customHeight="false" outlineLevel="0" collapsed="false">
      <c r="B32" s="1" t="n">
        <v>3</v>
      </c>
      <c r="D32" s="3" t="s">
        <v>33</v>
      </c>
      <c r="E32" s="8" t="n">
        <f aca="false">MIN(B30:B39)</f>
        <v>1</v>
      </c>
      <c r="F32" s="8"/>
      <c r="G32" s="9"/>
    </row>
    <row r="33" customFormat="false" ht="15" hidden="false" customHeight="false" outlineLevel="0" collapsed="false">
      <c r="A33" s="5"/>
      <c r="B33" s="6" t="n">
        <v>4</v>
      </c>
      <c r="D33" s="3" t="s">
        <v>34</v>
      </c>
      <c r="E33" s="8" t="n">
        <f aca="false">SUM(B30:B39)</f>
        <v>62.55</v>
      </c>
      <c r="F33" s="8"/>
      <c r="G33" s="9"/>
    </row>
    <row r="34" customFormat="false" ht="15" hidden="false" customHeight="false" outlineLevel="0" collapsed="false">
      <c r="A34" s="5"/>
      <c r="B34" s="6" t="n">
        <v>5</v>
      </c>
      <c r="D34" s="3" t="s">
        <v>35</v>
      </c>
      <c r="E34" s="8" t="n">
        <f aca="false">STDEV(B30:B39)</f>
        <v>3.88643581361295</v>
      </c>
      <c r="F34" s="8"/>
      <c r="G34" s="9"/>
    </row>
    <row r="35" customFormat="false" ht="15" hidden="false" customHeight="false" outlineLevel="0" collapsed="false">
      <c r="A35" s="5"/>
      <c r="B35" s="6" t="n">
        <v>6</v>
      </c>
      <c r="D35" s="3" t="s">
        <v>36</v>
      </c>
      <c r="E35" s="8" t="n">
        <f aca="false">VAR(B30:B39)</f>
        <v>15.1043833333333</v>
      </c>
      <c r="F35" s="8"/>
      <c r="G35" s="9"/>
    </row>
    <row r="36" customFormat="false" ht="15" hidden="false" customHeight="false" outlineLevel="0" collapsed="false">
      <c r="A36" s="5"/>
      <c r="B36" s="6" t="n">
        <v>10.59</v>
      </c>
      <c r="D36" s="3"/>
      <c r="E36" s="8"/>
      <c r="F36" s="8"/>
      <c r="G36" s="9"/>
    </row>
    <row r="37" customFormat="false" ht="15" hidden="false" customHeight="false" outlineLevel="0" collapsed="false">
      <c r="B37" s="6" t="n">
        <v>11.96</v>
      </c>
    </row>
    <row r="38" customFormat="false" ht="15" hidden="false" customHeight="false" outlineLevel="0" collapsed="false">
      <c r="B38" s="6" t="n">
        <v>9</v>
      </c>
    </row>
    <row r="39" customFormat="false" ht="15" hidden="false" customHeight="false" outlineLevel="0" collapsed="false">
      <c r="B39" s="6" t="n">
        <v>10</v>
      </c>
      <c r="E39" s="10"/>
    </row>
    <row r="40" customFormat="false" ht="15" hidden="false" customHeight="false" outlineLevel="0" collapsed="false">
      <c r="A40" s="5" t="s">
        <v>6</v>
      </c>
      <c r="B40" s="6" t="n">
        <v>2</v>
      </c>
      <c r="D40" s="3" t="s">
        <v>37</v>
      </c>
      <c r="E40" s="8" t="n">
        <f aca="false">MIN(B40:B45)</f>
        <v>2</v>
      </c>
    </row>
    <row r="41" customFormat="false" ht="15" hidden="false" customHeight="false" outlineLevel="0" collapsed="false">
      <c r="A41" s="5" t="s">
        <v>8</v>
      </c>
      <c r="B41" s="6" t="n">
        <v>4</v>
      </c>
      <c r="D41" s="3" t="s">
        <v>38</v>
      </c>
      <c r="E41" s="8" t="n">
        <f aca="false">MAX(B40:B45)</f>
        <v>12</v>
      </c>
    </row>
    <row r="42" customFormat="false" ht="15" hidden="false" customHeight="false" outlineLevel="0" collapsed="false">
      <c r="A42" s="5" t="s">
        <v>10</v>
      </c>
      <c r="B42" s="6" t="n">
        <v>9.22</v>
      </c>
      <c r="D42" s="3"/>
      <c r="E42" s="8"/>
    </row>
    <row r="43" customFormat="false" ht="15" hidden="false" customHeight="false" outlineLevel="0" collapsed="false">
      <c r="A43" s="5" t="s">
        <v>12</v>
      </c>
      <c r="B43" s="6" t="n">
        <v>8</v>
      </c>
      <c r="D43" s="3"/>
      <c r="E43" s="3"/>
    </row>
    <row r="44" customFormat="false" ht="15" hidden="false" customHeight="false" outlineLevel="0" collapsed="false">
      <c r="A44" s="5" t="s">
        <v>14</v>
      </c>
      <c r="B44" s="6" t="n">
        <v>10</v>
      </c>
      <c r="D44" s="3"/>
      <c r="E44" s="3"/>
    </row>
    <row r="45" customFormat="false" ht="15" hidden="false" customHeight="false" outlineLevel="0" collapsed="false">
      <c r="A45" s="5" t="s">
        <v>16</v>
      </c>
      <c r="B45" s="6" t="n">
        <v>12</v>
      </c>
    </row>
  </sheetData>
  <conditionalFormatting sqref="G3:G12 G14 G19:G25 G30:G36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2026-10-23T18:24:04Z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