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Report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">
      <c r="A1" s="2" t="inlineStr">
        <is>
          <t>sku</t>
        </is>
      </c>
      <c r="B1" s="2" t="inlineStr">
        <is>
          <t>name</t>
        </is>
      </c>
      <c r="C1" s="2" t="inlineStr">
        <is>
          <t>price</t>
        </is>
      </c>
      <c r="D1" s="2" t="inlineStr">
        <is>
          <t>cost</t>
        </is>
      </c>
      <c r="E1" s="2" t="inlineStr">
        <is>
          <t>margin</t>
        </is>
      </c>
    </row>
    <row r="2" ht="15" customHeight="1" s="1">
      <c r="A2" s="2" t="inlineStr">
        <is>
          <t>SKU-0000</t>
        </is>
      </c>
      <c r="B2" s="2" t="inlineStr">
        <is>
          <t>Item 0</t>
        </is>
      </c>
      <c r="C2" s="2" t="n">
        <v>188.76</v>
      </c>
      <c r="D2" s="2" t="n">
        <v>131.51</v>
      </c>
      <c r="E2" s="2">
        <f>(C2-D2)/C2</f>
        <v/>
      </c>
    </row>
    <row r="3" ht="15" customHeight="1" s="1">
      <c r="A3" s="2" t="inlineStr">
        <is>
          <t>SKU-0001</t>
        </is>
      </c>
      <c r="B3" s="2" t="inlineStr">
        <is>
          <t>Item 1</t>
        </is>
      </c>
      <c r="C3" s="2" t="n">
        <v>239.58</v>
      </c>
      <c r="D3" s="2" t="n">
        <v>186.15</v>
      </c>
      <c r="E3" s="2">
        <f>(C3-D3)/C3</f>
        <v/>
      </c>
    </row>
    <row r="4" ht="15" customHeight="1" s="1">
      <c r="A4" s="2" t="inlineStr">
        <is>
          <t>SKU-0002</t>
        </is>
      </c>
      <c r="B4" s="2" t="inlineStr">
        <is>
          <t>Item 2</t>
        </is>
      </c>
      <c r="C4" s="2" t="n">
        <v>223.27</v>
      </c>
      <c r="D4" s="2" t="n">
        <v>171.68</v>
      </c>
      <c r="E4" s="2">
        <f>(C4-D4)/C4</f>
        <v/>
      </c>
    </row>
    <row r="5" ht="15" customHeight="1" s="1">
      <c r="A5" s="2" t="inlineStr">
        <is>
          <t>SKU-0003</t>
        </is>
      </c>
      <c r="B5" s="2" t="inlineStr">
        <is>
          <t>Item 3</t>
        </is>
      </c>
      <c r="C5" s="2" t="n">
        <v>13.56</v>
      </c>
      <c r="D5" s="2" t="n">
        <v>7.95</v>
      </c>
      <c r="E5" s="2">
        <f>(C5-D5)/C5</f>
        <v/>
      </c>
    </row>
    <row r="6" ht="15" customHeight="1" s="1">
      <c r="A6" s="2" t="inlineStr">
        <is>
          <t>SKU-0004</t>
        </is>
      </c>
      <c r="B6" s="2" t="inlineStr">
        <is>
          <t>Item 4</t>
        </is>
      </c>
      <c r="C6" s="2" t="n">
        <v>283.29</v>
      </c>
      <c r="D6" s="2" t="n">
        <v>186.86</v>
      </c>
      <c r="E6" s="2">
        <f>(C6-D6)/C6</f>
        <v/>
      </c>
    </row>
    <row r="7" ht="15" customHeight="1" s="1">
      <c r="A7" s="2" t="inlineStr">
        <is>
          <t>SKU-0005</t>
        </is>
      </c>
      <c r="B7" s="2" t="inlineStr">
        <is>
          <t>Item 5</t>
        </is>
      </c>
      <c r="C7" s="2" t="n">
        <v>270.77</v>
      </c>
      <c r="D7" s="2" t="n">
        <v>120.57</v>
      </c>
      <c r="E7" s="2">
        <f>(C7-D7)/C7</f>
        <v/>
      </c>
    </row>
    <row r="8" ht="15" customHeight="1" s="1">
      <c r="A8" s="2" t="inlineStr">
        <is>
          <t>SKU-0006</t>
        </is>
      </c>
      <c r="B8" s="2" t="inlineStr">
        <is>
          <t>Item 6</t>
        </is>
      </c>
      <c r="C8" s="2" t="n">
        <v>143.38</v>
      </c>
      <c r="D8" s="2" t="n">
        <v>71.48999999999999</v>
      </c>
      <c r="E8" s="2">
        <f>(C8-D8)/C8</f>
        <v/>
      </c>
    </row>
    <row r="9" ht="15" customHeight="1" s="1">
      <c r="A9" s="2" t="inlineStr">
        <is>
          <t>SKU-0007</t>
        </is>
      </c>
      <c r="B9" s="2" t="inlineStr">
        <is>
          <t>Item 7</t>
        </is>
      </c>
      <c r="C9" s="2" t="n">
        <v>99</v>
      </c>
      <c r="D9" s="2" t="n">
        <v>104.14</v>
      </c>
      <c r="E9" s="2">
        <f>(C9-D9)/C9</f>
        <v/>
      </c>
    </row>
    <row r="10" ht="15" customHeight="1" s="1">
      <c r="A10" s="2" t="inlineStr">
        <is>
          <t>SKU-0008</t>
        </is>
      </c>
      <c r="B10" s="2" t="inlineStr">
        <is>
          <t>Item 8</t>
        </is>
      </c>
      <c r="C10" s="2" t="n">
        <v>8.869999999999999</v>
      </c>
      <c r="D10" s="2" t="n">
        <v>4.32</v>
      </c>
      <c r="E10" s="2">
        <f>(C10-D10)/C10</f>
        <v/>
      </c>
    </row>
    <row r="11" ht="15" customHeight="1" s="1">
      <c r="A11" s="2" t="inlineStr">
        <is>
          <t>SKU-0009</t>
        </is>
      </c>
      <c r="B11" s="2" t="inlineStr">
        <is>
          <t>Item 9</t>
        </is>
      </c>
      <c r="C11" s="2" t="n">
        <v>87.45</v>
      </c>
      <c r="D11" s="2" t="n">
        <v>67.03</v>
      </c>
      <c r="E11" s="2">
        <f>(C11-D11)/C11</f>
        <v/>
      </c>
    </row>
    <row r="12" ht="15" customHeight="1" s="1">
      <c r="A12" s="2" t="inlineStr">
        <is>
          <t>SKU-0010</t>
        </is>
      </c>
      <c r="B12" s="2" t="inlineStr">
        <is>
          <t>Item 10</t>
        </is>
      </c>
      <c r="C12" s="2" t="n">
        <v>230.89</v>
      </c>
      <c r="D12" s="2" t="n">
        <v>107.1</v>
      </c>
      <c r="E12" s="2">
        <f>(C12-D12)/C12</f>
        <v/>
      </c>
    </row>
    <row r="13" ht="15" customHeight="1" s="1">
      <c r="A13" s="2" t="inlineStr">
        <is>
          <t>SKU-0011</t>
        </is>
      </c>
      <c r="B13" s="2" t="inlineStr">
        <is>
          <t>Item 11</t>
        </is>
      </c>
      <c r="C13" s="2" t="n">
        <v>240.16</v>
      </c>
      <c r="D13" s="2" t="n">
        <v>109.39</v>
      </c>
      <c r="E13" s="2">
        <f>(C13-D13)/C13</f>
        <v/>
      </c>
    </row>
    <row r="14" ht="15" customHeight="1" s="1">
      <c r="A14" s="2" t="inlineStr">
        <is>
          <t>SKU-0012</t>
        </is>
      </c>
      <c r="B14" s="2" t="inlineStr">
        <is>
          <t>Item 12</t>
        </is>
      </c>
      <c r="C14" s="2" t="n">
        <v>187.15</v>
      </c>
      <c r="D14" s="2" t="n">
        <v>84.34</v>
      </c>
      <c r="E14" s="2">
        <f>(C14-D14)/C14</f>
        <v/>
      </c>
    </row>
    <row r="15" ht="15" customHeight="1" s="1">
      <c r="A15" s="2" t="inlineStr">
        <is>
          <t>SKU-0013</t>
        </is>
      </c>
      <c r="B15" s="2" t="inlineStr">
        <is>
          <t>Item 13</t>
        </is>
      </c>
      <c r="C15" s="2" t="n">
        <v>5.52</v>
      </c>
      <c r="D15" s="2" t="n">
        <v>4.13</v>
      </c>
      <c r="E15" s="2">
        <f>(C15-D15)/C15</f>
        <v/>
      </c>
    </row>
    <row r="16" ht="15" customHeight="1" s="1">
      <c r="A16" s="2" t="inlineStr">
        <is>
          <t>SKU-0014</t>
        </is>
      </c>
      <c r="B16" s="2" t="inlineStr">
        <is>
          <t>Item 14</t>
        </is>
      </c>
      <c r="C16" s="2" t="n">
        <v>66.79000000000001</v>
      </c>
      <c r="D16" s="2" t="n">
        <v>32.47</v>
      </c>
      <c r="E16" s="2">
        <f>(C16-D16)/C16</f>
        <v/>
      </c>
    </row>
    <row r="17" ht="15" customHeight="1" s="1">
      <c r="A17" s="2" t="inlineStr">
        <is>
          <t>SKU-0015</t>
        </is>
      </c>
      <c r="B17" s="2" t="inlineStr">
        <is>
          <t>Item 15</t>
        </is>
      </c>
      <c r="C17" s="2" t="n">
        <v>294.81</v>
      </c>
      <c r="D17" s="2" t="n">
        <v>220.8</v>
      </c>
      <c r="E17" s="2">
        <f>(C17-D17)/C17</f>
        <v/>
      </c>
    </row>
    <row r="18" ht="15" customHeight="1" s="1">
      <c r="A18" s="2" t="inlineStr">
        <is>
          <t>SKU-0016</t>
        </is>
      </c>
      <c r="B18" s="2" t="inlineStr">
        <is>
          <t>Item 16</t>
        </is>
      </c>
      <c r="C18" s="2" t="n">
        <v>90.34999999999999</v>
      </c>
      <c r="D18" s="2" t="n">
        <v>70.89</v>
      </c>
      <c r="E18" s="2">
        <f>(C18-D18)/C18</f>
        <v/>
      </c>
    </row>
    <row r="19" ht="15" customHeight="1" s="1">
      <c r="A19" s="2" t="inlineStr">
        <is>
          <t>SKU-0017</t>
        </is>
      </c>
      <c r="B19" s="2" t="inlineStr">
        <is>
          <t>Item 17</t>
        </is>
      </c>
      <c r="C19" s="2" t="n">
        <v>164.07</v>
      </c>
      <c r="D19" s="2" t="n">
        <v>110.11</v>
      </c>
      <c r="E19" s="2">
        <f>(C19-D19)/C19</f>
        <v/>
      </c>
    </row>
    <row r="20" ht="15" customHeight="1" s="1">
      <c r="A20" s="2" t="inlineStr">
        <is>
          <t>SKU-0018</t>
        </is>
      </c>
      <c r="B20" s="2" t="inlineStr">
        <is>
          <t>Item 18</t>
        </is>
      </c>
      <c r="C20" s="2" t="n">
        <v>65.41</v>
      </c>
      <c r="D20" s="2" t="n">
        <v>50.78</v>
      </c>
      <c r="E20" s="2">
        <f>(C20-D20)/C20</f>
        <v/>
      </c>
    </row>
    <row r="21" ht="15" customHeight="1" s="1">
      <c r="A21" s="2" t="inlineStr">
        <is>
          <t>SKU-0019</t>
        </is>
      </c>
      <c r="B21" s="2" t="inlineStr">
        <is>
          <t>Item 19</t>
        </is>
      </c>
      <c r="C21" s="2" t="n">
        <v>208.74</v>
      </c>
      <c r="D21" s="2" t="n">
        <v>164.2</v>
      </c>
      <c r="E21" s="2">
        <f>(C21-D21)/C21</f>
        <v/>
      </c>
    </row>
    <row r="22" ht="15" customHeight="1" s="1">
      <c r="A22" s="2" t="inlineStr">
        <is>
          <t>SKU-0020</t>
        </is>
      </c>
      <c r="B22" s="2" t="inlineStr">
        <is>
          <t>Item 20</t>
        </is>
      </c>
      <c r="C22" s="2" t="n">
        <v>268.65</v>
      </c>
      <c r="D22" s="2" t="n">
        <v>139.57</v>
      </c>
      <c r="E22" s="2">
        <f>(C22-D22)/C22</f>
        <v/>
      </c>
    </row>
    <row r="23" ht="15" customHeight="1" s="1">
      <c r="A23" s="2" t="inlineStr">
        <is>
          <t>SKU-0021</t>
        </is>
      </c>
      <c r="B23" s="2" t="inlineStr">
        <is>
          <t>Item 21</t>
        </is>
      </c>
      <c r="C23" s="2" t="n">
        <v>111.55</v>
      </c>
      <c r="D23" s="2" t="n">
        <v>52.02</v>
      </c>
      <c r="E23" s="2">
        <f>(C23-D23)/C23</f>
        <v/>
      </c>
    </row>
    <row r="24" ht="15" customHeight="1" s="1">
      <c r="A24" s="2" t="inlineStr">
        <is>
          <t>SKU-0022</t>
        </is>
      </c>
      <c r="B24" s="2" t="inlineStr">
        <is>
          <t>Item 22</t>
        </is>
      </c>
      <c r="C24" s="2" t="n">
        <v>47.98</v>
      </c>
      <c r="D24" s="2" t="n">
        <v>20.44</v>
      </c>
      <c r="E24" s="2">
        <f>(C24-D24)/C24</f>
        <v/>
      </c>
    </row>
    <row r="25" ht="15" customHeight="1" s="1">
      <c r="A25" s="2" t="inlineStr">
        <is>
          <t>SKU-0023</t>
        </is>
      </c>
      <c r="B25" s="2" t="inlineStr">
        <is>
          <t>Item 23</t>
        </is>
      </c>
      <c r="C25" s="2" t="n">
        <v>93.90000000000001</v>
      </c>
      <c r="D25" s="2" t="n">
        <v>60.21</v>
      </c>
      <c r="E25" s="2">
        <f>(C25-D25)/C25</f>
        <v/>
      </c>
    </row>
    <row r="26" ht="15" customHeight="1" s="1">
      <c r="A26" s="2" t="inlineStr">
        <is>
          <t>SKU-0024</t>
        </is>
      </c>
      <c r="B26" s="2" t="inlineStr">
        <is>
          <t>Item 24</t>
        </is>
      </c>
      <c r="C26" s="2" t="n">
        <v>6</v>
      </c>
      <c r="D26" s="2" t="n">
        <v>4.03</v>
      </c>
      <c r="E26" s="2">
        <f>(C26-D26)/C26</f>
        <v/>
      </c>
    </row>
    <row r="27" ht="15" customHeight="1" s="1">
      <c r="A27" s="2" t="inlineStr">
        <is>
          <t>SKU-0025</t>
        </is>
      </c>
      <c r="B27" s="2" t="inlineStr">
        <is>
          <t>Item 25</t>
        </is>
      </c>
      <c r="C27" s="2" t="n">
        <v>104.68</v>
      </c>
      <c r="D27" s="2" t="n">
        <v>54.85</v>
      </c>
      <c r="E27" s="2">
        <f>(C27-D27)/C27</f>
        <v/>
      </c>
    </row>
    <row r="28" ht="15" customHeight="1" s="1">
      <c r="A28" s="2" t="inlineStr">
        <is>
          <t>SKU-0026</t>
        </is>
      </c>
      <c r="B28" s="2" t="inlineStr">
        <is>
          <t>Item 26</t>
        </is>
      </c>
      <c r="C28" s="2" t="n">
        <v>246.46</v>
      </c>
      <c r="D28" s="2" t="n">
        <v>145.98</v>
      </c>
      <c r="E28" s="2">
        <f>(C28-D28)/C28</f>
        <v/>
      </c>
    </row>
    <row r="29" ht="15" customHeight="1" s="1">
      <c r="A29" s="2" t="inlineStr">
        <is>
          <t>SKU-0027</t>
        </is>
      </c>
      <c r="B29" s="2" t="inlineStr">
        <is>
          <t>Item 27</t>
        </is>
      </c>
      <c r="C29" s="2" t="n">
        <v>98.16</v>
      </c>
      <c r="D29" s="2" t="n">
        <v>58.16</v>
      </c>
      <c r="E29" s="2">
        <f>(C29-D29)/C29</f>
        <v/>
      </c>
    </row>
    <row r="30" ht="15" customHeight="1" s="1">
      <c r="A30" s="2" t="inlineStr">
        <is>
          <t>SKU-0028</t>
        </is>
      </c>
      <c r="B30" s="2" t="inlineStr">
        <is>
          <t>Item 28</t>
        </is>
      </c>
      <c r="C30" s="2" t="n">
        <v>212.88</v>
      </c>
      <c r="D30" s="2" t="n">
        <v>90.01000000000001</v>
      </c>
      <c r="E30" s="2">
        <f>(C30-D30)/C30</f>
        <v/>
      </c>
    </row>
    <row r="31" ht="15" customHeight="1" s="1">
      <c r="A31" s="2" t="inlineStr">
        <is>
          <t>SKU-0029</t>
        </is>
      </c>
      <c r="B31" s="2" t="inlineStr">
        <is>
          <t>Item 29</t>
        </is>
      </c>
      <c r="C31" s="2" t="n">
        <v>292.65</v>
      </c>
      <c r="D31" s="2" t="n">
        <v>119.74</v>
      </c>
      <c r="E31" s="2">
        <f>(C31-D31)/C31</f>
        <v/>
      </c>
    </row>
    <row r="32" ht="15" customHeight="1" s="1">
      <c r="A32" s="2" t="inlineStr">
        <is>
          <t>SKU-0030</t>
        </is>
      </c>
      <c r="B32" s="2" t="inlineStr">
        <is>
          <t>Item 30</t>
        </is>
      </c>
      <c r="C32" s="2" t="n">
        <v>226.19</v>
      </c>
      <c r="D32" s="2" t="n">
        <v>166.92</v>
      </c>
      <c r="E32" s="2">
        <f>(C32-D32)/C32</f>
        <v/>
      </c>
    </row>
    <row r="33" ht="15" customHeight="1" s="1">
      <c r="A33" s="2" t="inlineStr">
        <is>
          <t>SKU-0031</t>
        </is>
      </c>
      <c r="B33" s="2" t="inlineStr">
        <is>
          <t>Item 31</t>
        </is>
      </c>
      <c r="C33" s="2" t="n">
        <v>10.33</v>
      </c>
      <c r="D33" s="2" t="n">
        <v>7.39</v>
      </c>
      <c r="E33" s="2">
        <f>(C33-D33)/C33</f>
        <v/>
      </c>
    </row>
    <row r="34" ht="15" customHeight="1" s="1">
      <c r="A34" s="2" t="inlineStr">
        <is>
          <t>SKU-0032</t>
        </is>
      </c>
      <c r="B34" s="2" t="inlineStr">
        <is>
          <t>Item 32</t>
        </is>
      </c>
      <c r="C34" s="2" t="n">
        <v>113.02</v>
      </c>
      <c r="D34" s="2" t="n">
        <v>71.36</v>
      </c>
      <c r="E34" s="2">
        <f>(C34-D34)/C34</f>
        <v/>
      </c>
    </row>
    <row r="35" ht="15" customHeight="1" s="1">
      <c r="A35" s="2" t="inlineStr">
        <is>
          <t>SKU-0033</t>
        </is>
      </c>
      <c r="B35" s="2" t="inlineStr">
        <is>
          <t>Item 33</t>
        </is>
      </c>
      <c r="C35" s="2" t="n">
        <v>7.68</v>
      </c>
      <c r="D35" s="2" t="n">
        <v>3.22</v>
      </c>
      <c r="E35" s="2">
        <f>(C35-D35)/C35</f>
        <v/>
      </c>
    </row>
    <row r="36" ht="15" customHeight="1" s="1">
      <c r="A36" s="2" t="inlineStr">
        <is>
          <t>SKU-0034</t>
        </is>
      </c>
      <c r="B36" s="2" t="inlineStr">
        <is>
          <t>Item 34</t>
        </is>
      </c>
      <c r="C36" s="2" t="n">
        <v>58.37</v>
      </c>
      <c r="D36" s="2" t="n">
        <v>45.65</v>
      </c>
      <c r="E36" s="2">
        <f>(C36-D36)/C36</f>
        <v/>
      </c>
    </row>
    <row r="37" ht="15" customHeight="1" s="1">
      <c r="A37" s="2" t="inlineStr">
        <is>
          <t>SKU-0035</t>
        </is>
      </c>
      <c r="B37" s="2" t="inlineStr">
        <is>
          <t>Item 35</t>
        </is>
      </c>
      <c r="C37" s="2" t="n">
        <v>62.97</v>
      </c>
      <c r="D37" s="2" t="n">
        <v>44.22</v>
      </c>
      <c r="E37" s="2">
        <f>(C37-D37)/C37</f>
        <v/>
      </c>
    </row>
    <row r="38" ht="15" customHeight="1" s="1">
      <c r="A38" s="2" t="inlineStr">
        <is>
          <t>SKU-0036</t>
        </is>
      </c>
      <c r="B38" s="2" t="inlineStr">
        <is>
          <t>Item 36</t>
        </is>
      </c>
      <c r="C38" s="2" t="n">
        <v>279.25</v>
      </c>
      <c r="D38" s="2" t="n">
        <v>216.93</v>
      </c>
      <c r="E38" s="2">
        <f>(C38-D38)/C38</f>
        <v/>
      </c>
    </row>
    <row r="39" ht="15" customHeight="1" s="1">
      <c r="A39" s="2" t="inlineStr">
        <is>
          <t>SKU-0037</t>
        </is>
      </c>
      <c r="B39" s="2" t="inlineStr">
        <is>
          <t>Item 37</t>
        </is>
      </c>
      <c r="C39" s="2" t="n">
        <v>106.59</v>
      </c>
      <c r="D39" s="2" t="n">
        <v>57.76</v>
      </c>
      <c r="E39" s="2">
        <f>(C39-D39)/C39</f>
        <v/>
      </c>
    </row>
    <row r="40" ht="15" customHeight="1" s="1">
      <c r="A40" s="2" t="inlineStr">
        <is>
          <t>SKU-0038</t>
        </is>
      </c>
      <c r="B40" s="2" t="inlineStr">
        <is>
          <t>Item 38</t>
        </is>
      </c>
      <c r="C40" s="2" t="n">
        <v>159.79</v>
      </c>
      <c r="D40" s="2" t="n">
        <v>113.49</v>
      </c>
      <c r="E40" s="2">
        <f>(C40-D40)/C40</f>
        <v/>
      </c>
    </row>
    <row r="41" ht="15" customHeight="1" s="1">
      <c r="A41" s="2" t="inlineStr">
        <is>
          <t>SKU-0039</t>
        </is>
      </c>
      <c r="B41" s="2" t="inlineStr">
        <is>
          <t>Item 39</t>
        </is>
      </c>
      <c r="C41" s="2" t="n">
        <v>36.88</v>
      </c>
      <c r="D41" s="2" t="n">
        <v>25.79</v>
      </c>
      <c r="E41" s="2">
        <f>(C41-D41)/C41</f>
        <v/>
      </c>
    </row>
    <row r="42" ht="15" customHeight="1" s="1">
      <c r="A42" s="2" t="inlineStr">
        <is>
          <t>SKU-0040</t>
        </is>
      </c>
      <c r="B42" s="2" t="inlineStr">
        <is>
          <t>Item 40</t>
        </is>
      </c>
      <c r="C42" s="2" t="n">
        <v>240.18</v>
      </c>
      <c r="D42" s="2" t="n">
        <v>178.66</v>
      </c>
      <c r="E42" s="2">
        <f>(C42-D42)/C42</f>
        <v/>
      </c>
    </row>
    <row r="43" ht="15" customHeight="1" s="1">
      <c r="A43" s="2" t="inlineStr">
        <is>
          <t>SKU-0041</t>
        </is>
      </c>
      <c r="B43" s="2" t="inlineStr">
        <is>
          <t>Item 41</t>
        </is>
      </c>
      <c r="C43" s="2" t="n">
        <v>15.81</v>
      </c>
      <c r="D43" s="2" t="n">
        <v>12.31</v>
      </c>
      <c r="E43" s="2">
        <f>(C43-D43)/C43</f>
        <v/>
      </c>
    </row>
    <row r="44" ht="15" customHeight="1" s="1">
      <c r="A44" s="2" t="inlineStr">
        <is>
          <t>SKU-0042</t>
        </is>
      </c>
      <c r="B44" s="2" t="inlineStr">
        <is>
          <t>Item 42</t>
        </is>
      </c>
      <c r="C44" s="2" t="n">
        <v>31.9</v>
      </c>
      <c r="D44" s="2" t="n">
        <v>17.11</v>
      </c>
      <c r="E44" s="2">
        <f>(C44-D44)/C44</f>
        <v/>
      </c>
    </row>
    <row r="45" ht="15" customHeight="1" s="1">
      <c r="A45" s="2" t="inlineStr">
        <is>
          <t>SKU-0043</t>
        </is>
      </c>
      <c r="B45" s="2" t="inlineStr">
        <is>
          <t>Item 43</t>
        </is>
      </c>
      <c r="C45" s="2" t="n">
        <v>185.19</v>
      </c>
      <c r="D45" s="2" t="n">
        <v>142.08</v>
      </c>
      <c r="E45" s="2">
        <f>(C45-D45)/C45</f>
        <v/>
      </c>
    </row>
    <row r="46" ht="15" customHeight="1" s="1">
      <c r="A46" s="2" t="inlineStr">
        <is>
          <t>SKU-0044</t>
        </is>
      </c>
      <c r="B46" s="2" t="inlineStr">
        <is>
          <t>Item 44</t>
        </is>
      </c>
      <c r="C46" s="2" t="n">
        <v>105.29</v>
      </c>
      <c r="D46" s="2" t="n">
        <v>81.04000000000001</v>
      </c>
      <c r="E46" s="2">
        <f>(C46-D46)/C46</f>
        <v/>
      </c>
    </row>
    <row r="47" ht="15" customHeight="1" s="1">
      <c r="A47" s="2" t="inlineStr">
        <is>
          <t>SKU-0045</t>
        </is>
      </c>
      <c r="B47" s="2" t="inlineStr">
        <is>
          <t>Item 45</t>
        </is>
      </c>
      <c r="C47" s="2" t="n">
        <v>165.82</v>
      </c>
      <c r="D47" s="2" t="n">
        <v>87.05</v>
      </c>
      <c r="E47" s="2">
        <f>(C47-D47)/C47</f>
        <v/>
      </c>
    </row>
    <row r="48" ht="15" customHeight="1" s="1">
      <c r="A48" s="2" t="inlineStr">
        <is>
          <t>SKU-0046</t>
        </is>
      </c>
      <c r="B48" s="2" t="inlineStr">
        <is>
          <t>Item 46</t>
        </is>
      </c>
      <c r="C48" s="2" t="n">
        <v>98.45999999999999</v>
      </c>
      <c r="D48" s="2" t="n">
        <v>46.37</v>
      </c>
      <c r="E48" s="2">
        <f>(C48-D48)/C48</f>
        <v/>
      </c>
    </row>
    <row r="49" ht="15" customHeight="1" s="1">
      <c r="A49" s="2" t="inlineStr">
        <is>
          <t>SKU-0047</t>
        </is>
      </c>
      <c r="B49" s="2" t="inlineStr">
        <is>
          <t>Item 47</t>
        </is>
      </c>
      <c r="C49" s="2" t="n">
        <v>28.07</v>
      </c>
      <c r="D49" s="2" t="n">
        <v>12.9</v>
      </c>
      <c r="E49" s="2">
        <f>(C49-D49)/C49</f>
        <v/>
      </c>
    </row>
    <row r="50" ht="15" customHeight="1" s="1">
      <c r="A50" s="2" t="inlineStr">
        <is>
          <t>SKU-0048</t>
        </is>
      </c>
      <c r="B50" s="2" t="inlineStr">
        <is>
          <t>Item 48</t>
        </is>
      </c>
      <c r="C50" s="2" t="n">
        <v>208.31</v>
      </c>
      <c r="D50" s="2" t="n">
        <v>166.38</v>
      </c>
      <c r="E50" s="2">
        <f>(C50-D50)/C50</f>
        <v/>
      </c>
    </row>
    <row r="51" ht="15" customHeight="1" s="1">
      <c r="A51" s="2" t="inlineStr">
        <is>
          <t>SKU-0049</t>
        </is>
      </c>
      <c r="B51" s="2" t="inlineStr">
        <is>
          <t>Item 49</t>
        </is>
      </c>
      <c r="C51" s="2" t="n">
        <v>52.65</v>
      </c>
      <c r="D51" s="2" t="n">
        <v>22.08</v>
      </c>
      <c r="E51" s="2">
        <f>(C51-D51)/C51</f>
        <v/>
      </c>
    </row>
    <row r="52" ht="15" customHeight="1" s="1">
      <c r="A52" s="2" t="inlineStr">
        <is>
          <t>SKU-0050</t>
        </is>
      </c>
      <c r="B52" s="2" t="inlineStr">
        <is>
          <t>Item 50</t>
        </is>
      </c>
      <c r="C52" s="2" t="n">
        <v>296.08</v>
      </c>
      <c r="D52" s="2" t="n">
        <v>181.62</v>
      </c>
      <c r="E52" s="2">
        <f>(C52-D52)/C52</f>
        <v/>
      </c>
    </row>
    <row r="53" ht="15" customHeight="1" s="1">
      <c r="A53" s="2" t="inlineStr">
        <is>
          <t>SKU-0051</t>
        </is>
      </c>
      <c r="B53" s="2" t="inlineStr">
        <is>
          <t>Item 51</t>
        </is>
      </c>
      <c r="C53" s="2" t="n">
        <v>124.74</v>
      </c>
      <c r="D53" s="2" t="n">
        <v>61.74</v>
      </c>
      <c r="E53" s="2">
        <f>(C53-D53)/C53</f>
        <v/>
      </c>
    </row>
    <row r="54" ht="15" customHeight="1" s="1">
      <c r="A54" s="2" t="inlineStr">
        <is>
          <t>SKU-0052</t>
        </is>
      </c>
      <c r="B54" s="2" t="inlineStr">
        <is>
          <t>Item 52</t>
        </is>
      </c>
      <c r="C54" s="2" t="n">
        <v>180.22</v>
      </c>
      <c r="D54" s="2" t="n">
        <v>131.65</v>
      </c>
      <c r="E54" s="2">
        <f>(C54-D54)/C54</f>
        <v/>
      </c>
    </row>
    <row r="55" ht="15" customHeight="1" s="1">
      <c r="A55" s="2" t="inlineStr">
        <is>
          <t>SKU-0053</t>
        </is>
      </c>
      <c r="B55" s="2" t="inlineStr">
        <is>
          <t>Item 53</t>
        </is>
      </c>
      <c r="C55" s="2" t="n">
        <v>139.42</v>
      </c>
      <c r="D55" s="2" t="n">
        <v>79.29000000000001</v>
      </c>
      <c r="E55" s="2">
        <f>(C55-D55)/C55</f>
        <v/>
      </c>
    </row>
    <row r="56" ht="15" customHeight="1" s="1">
      <c r="A56" s="2" t="inlineStr">
        <is>
          <t>SKU-0054</t>
        </is>
      </c>
      <c r="B56" s="2" t="inlineStr">
        <is>
          <t>Item 54</t>
        </is>
      </c>
      <c r="C56" s="2" t="n">
        <v>21.43</v>
      </c>
      <c r="D56" s="2" t="n">
        <v>16.42</v>
      </c>
      <c r="E56" s="2">
        <f>(C56-D56)/C56</f>
        <v/>
      </c>
    </row>
    <row r="57" ht="15" customHeight="1" s="1">
      <c r="A57" s="2" t="inlineStr">
        <is>
          <t>SKU-0055</t>
        </is>
      </c>
      <c r="B57" s="2" t="inlineStr">
        <is>
          <t>Item 55</t>
        </is>
      </c>
      <c r="C57" s="2" t="n">
        <v>14.65</v>
      </c>
      <c r="D57" s="2" t="n">
        <v>8.75</v>
      </c>
      <c r="E57" s="2">
        <f>(C57-D57)/C57</f>
        <v/>
      </c>
    </row>
    <row r="58" ht="15" customHeight="1" s="1">
      <c r="A58" s="2" t="inlineStr">
        <is>
          <t>SKU-0056</t>
        </is>
      </c>
      <c r="B58" s="2" t="inlineStr">
        <is>
          <t>Item 56</t>
        </is>
      </c>
      <c r="C58" s="2" t="n">
        <v>252.34</v>
      </c>
      <c r="D58" s="2" t="n">
        <v>114.12</v>
      </c>
      <c r="E58" s="2">
        <f>(C58-D58)/C58</f>
        <v/>
      </c>
    </row>
    <row r="59" ht="15" customHeight="1" s="1">
      <c r="A59" s="2" t="inlineStr">
        <is>
          <t>SKU-0057</t>
        </is>
      </c>
      <c r="B59" s="2" t="inlineStr">
        <is>
          <t>Item 57</t>
        </is>
      </c>
      <c r="C59" s="2" t="n">
        <v>220.84</v>
      </c>
      <c r="D59" s="2" t="n">
        <v>172.24</v>
      </c>
      <c r="E59" s="2">
        <f>(C59-D59)/C59</f>
        <v/>
      </c>
    </row>
    <row r="60" ht="15" customHeight="1" s="1">
      <c r="A60" s="2" t="inlineStr">
        <is>
          <t>SKU-0058</t>
        </is>
      </c>
      <c r="B60" s="2" t="inlineStr">
        <is>
          <t>Item 58</t>
        </is>
      </c>
      <c r="C60" s="2" t="n">
        <v>190.97</v>
      </c>
      <c r="D60" s="2" t="n">
        <v>136.58</v>
      </c>
      <c r="E60" s="2">
        <f>(C60-D60)/C60</f>
        <v/>
      </c>
    </row>
    <row r="61" ht="15" customHeight="1" s="1">
      <c r="A61" s="2" t="inlineStr">
        <is>
          <t>SKU-0059</t>
        </is>
      </c>
      <c r="B61" s="2" t="inlineStr">
        <is>
          <t>Item 59</t>
        </is>
      </c>
      <c r="C61" s="2" t="n">
        <v>36.46</v>
      </c>
      <c r="D61" s="2" t="n">
        <v>20.92</v>
      </c>
      <c r="E61" s="2">
        <f>(C61-D61)/C61</f>
        <v/>
      </c>
    </row>
    <row r="62" ht="15" customHeight="1" s="1">
      <c r="A62" s="2" t="inlineStr">
        <is>
          <t>SKU-0060</t>
        </is>
      </c>
      <c r="B62" s="2" t="inlineStr">
        <is>
          <t>Item 60</t>
        </is>
      </c>
      <c r="C62" s="2" t="n">
        <v>49.03</v>
      </c>
      <c r="D62" s="2" t="n">
        <v>36.18</v>
      </c>
      <c r="E62" s="2">
        <f>(C62-D62)/C62</f>
        <v/>
      </c>
    </row>
    <row r="63" ht="15" customHeight="1" s="1">
      <c r="A63" s="2" t="inlineStr">
        <is>
          <t>SKU-0061</t>
        </is>
      </c>
      <c r="B63" s="2" t="inlineStr">
        <is>
          <t>Item 61</t>
        </is>
      </c>
      <c r="C63" s="2" t="n">
        <v>91.97</v>
      </c>
      <c r="D63" s="2" t="n">
        <v>53.46</v>
      </c>
      <c r="E63" s="2">
        <f>(C63-D63)/C63</f>
        <v/>
      </c>
    </row>
    <row r="64" ht="15" customHeight="1" s="1">
      <c r="A64" s="2" t="inlineStr">
        <is>
          <t>SKU-0062</t>
        </is>
      </c>
      <c r="B64" s="2" t="inlineStr">
        <is>
          <t>Item 62</t>
        </is>
      </c>
      <c r="C64" s="2" t="n">
        <v>299.79</v>
      </c>
      <c r="D64" s="2" t="n">
        <v>222.11</v>
      </c>
      <c r="E64" s="2">
        <f>(C64-D64)/C64</f>
        <v/>
      </c>
    </row>
    <row r="65" ht="15" customHeight="1" s="1">
      <c r="A65" s="2" t="inlineStr">
        <is>
          <t>SKU-0063</t>
        </is>
      </c>
      <c r="B65" s="2" t="inlineStr">
        <is>
          <t>Item 63</t>
        </is>
      </c>
      <c r="C65" s="2" t="n">
        <v>292.92</v>
      </c>
      <c r="D65" s="2" t="n">
        <v>170.31</v>
      </c>
      <c r="E65" s="2">
        <f>(C65-D65)/C65</f>
        <v/>
      </c>
    </row>
    <row r="66" ht="15" customHeight="1" s="1">
      <c r="A66" s="2" t="inlineStr">
        <is>
          <t>SKU-0064</t>
        </is>
      </c>
      <c r="B66" s="2" t="inlineStr">
        <is>
          <t>Item 64</t>
        </is>
      </c>
      <c r="C66" s="2" t="n">
        <v>149.01</v>
      </c>
      <c r="D66" s="2" t="n">
        <v>103.09</v>
      </c>
      <c r="E66" s="2">
        <f>(C66-D66)/C66</f>
        <v/>
      </c>
    </row>
    <row r="67" ht="15" customHeight="1" s="1">
      <c r="A67" s="2" t="inlineStr">
        <is>
          <t>SKU-0065</t>
        </is>
      </c>
      <c r="B67" s="2" t="inlineStr">
        <is>
          <t>Item 65</t>
        </is>
      </c>
      <c r="C67" s="2" t="n">
        <v>146.32</v>
      </c>
      <c r="D67" s="2" t="n">
        <v>75.56</v>
      </c>
      <c r="E67" s="2">
        <f>(C67-D67)/C67</f>
        <v/>
      </c>
    </row>
    <row r="68" ht="15" customHeight="1" s="1">
      <c r="A68" s="2" t="inlineStr">
        <is>
          <t>SKU-0066</t>
        </is>
      </c>
      <c r="B68" s="2" t="inlineStr">
        <is>
          <t>Item 66</t>
        </is>
      </c>
      <c r="C68" s="2" t="n">
        <v>124.12</v>
      </c>
      <c r="D68" s="2" t="n">
        <v>56.92</v>
      </c>
      <c r="E68" s="2">
        <f>(C68-D68)/C68</f>
        <v/>
      </c>
    </row>
    <row r="69" ht="15" customHeight="1" s="1">
      <c r="A69" s="2" t="inlineStr">
        <is>
          <t>SKU-0067</t>
        </is>
      </c>
      <c r="B69" s="2" t="inlineStr">
        <is>
          <t>Item 67</t>
        </is>
      </c>
      <c r="C69" s="2" t="n">
        <v>116.22</v>
      </c>
      <c r="D69" s="2" t="n">
        <v>92.44</v>
      </c>
      <c r="E69" s="2">
        <f>(C69-D69)/C69</f>
        <v/>
      </c>
    </row>
    <row r="70" ht="15" customHeight="1" s="1">
      <c r="A70" s="2" t="inlineStr">
        <is>
          <t>SKU-0068</t>
        </is>
      </c>
      <c r="B70" s="2" t="inlineStr">
        <is>
          <t>Item 68</t>
        </is>
      </c>
      <c r="C70" s="2" t="n">
        <v>288.15</v>
      </c>
      <c r="D70" s="2" t="n">
        <v>187.52</v>
      </c>
      <c r="E70" s="2">
        <f>(C70-D70)/C70</f>
        <v/>
      </c>
    </row>
    <row r="71" ht="15" customHeight="1" s="1">
      <c r="A71" s="2" t="inlineStr">
        <is>
          <t>SKU-0069</t>
        </is>
      </c>
      <c r="B71" s="2" t="inlineStr">
        <is>
          <t>Item 69</t>
        </is>
      </c>
      <c r="C71" s="2" t="n">
        <v>152.3</v>
      </c>
      <c r="D71" s="2" t="n">
        <v>81.54000000000001</v>
      </c>
      <c r="E71" s="2">
        <f>(C71-D71)/C71</f>
        <v/>
      </c>
    </row>
    <row r="72" ht="15" customHeight="1" s="1">
      <c r="A72" s="2" t="inlineStr">
        <is>
          <t>SKU-0070</t>
        </is>
      </c>
      <c r="B72" s="2" t="inlineStr">
        <is>
          <t>Item 70</t>
        </is>
      </c>
      <c r="C72" s="2" t="n">
        <v>31.3</v>
      </c>
      <c r="D72" s="2" t="n">
        <v>15.93</v>
      </c>
      <c r="E72" s="2">
        <f>(C72-D72)/C72</f>
        <v/>
      </c>
    </row>
    <row r="73" ht="15" customHeight="1" s="1">
      <c r="A73" s="2" t="inlineStr">
        <is>
          <t>SKU-0071</t>
        </is>
      </c>
      <c r="B73" s="2" t="inlineStr">
        <is>
          <t>Item 71</t>
        </is>
      </c>
      <c r="C73" s="2" t="n">
        <v>235.7</v>
      </c>
      <c r="D73" s="2" t="n">
        <v>176.06</v>
      </c>
      <c r="E73" s="2">
        <f>(C73-D73)/C73</f>
        <v/>
      </c>
    </row>
    <row r="74" ht="15" customHeight="1" s="1">
      <c r="A74" s="2" t="inlineStr">
        <is>
          <t>SKU-0072</t>
        </is>
      </c>
      <c r="B74" s="2" t="inlineStr">
        <is>
          <t>Item 72</t>
        </is>
      </c>
      <c r="C74" s="2" t="n">
        <v>111.59</v>
      </c>
      <c r="D74" s="2" t="n">
        <v>79.72</v>
      </c>
      <c r="E74" s="2">
        <f>(C74-D74)/C74</f>
        <v/>
      </c>
    </row>
    <row r="75" ht="15" customHeight="1" s="1">
      <c r="A75" s="2" t="inlineStr">
        <is>
          <t>SKU-0073</t>
        </is>
      </c>
      <c r="B75" s="2" t="inlineStr">
        <is>
          <t>Item 73</t>
        </is>
      </c>
      <c r="C75" s="2" t="n">
        <v>233.59</v>
      </c>
      <c r="D75" s="2" t="n">
        <v>158.34</v>
      </c>
      <c r="E75" s="2">
        <f>(C75-D75)/C75</f>
        <v/>
      </c>
    </row>
    <row r="76" ht="15" customHeight="1" s="1">
      <c r="A76" s="2" t="inlineStr">
        <is>
          <t>SKU-0074</t>
        </is>
      </c>
      <c r="B76" s="2" t="inlineStr">
        <is>
          <t>Item 74</t>
        </is>
      </c>
      <c r="C76" s="2" t="n">
        <v>200.89</v>
      </c>
      <c r="D76" s="2" t="n">
        <v>141.4</v>
      </c>
      <c r="E76" s="2">
        <f>(C76-D76)/C76</f>
        <v/>
      </c>
    </row>
    <row r="77" ht="15" customHeight="1" s="1">
      <c r="A77" s="2" t="inlineStr">
        <is>
          <t>SKU-0075</t>
        </is>
      </c>
      <c r="B77" s="2" t="inlineStr">
        <is>
          <t>Item 75</t>
        </is>
      </c>
      <c r="C77" s="2" t="n">
        <v>112.21</v>
      </c>
      <c r="D77" s="2" t="n">
        <v>76.5</v>
      </c>
      <c r="E77" s="2">
        <f>(C77-D77)/C77</f>
        <v/>
      </c>
    </row>
    <row r="78" ht="15" customHeight="1" s="1">
      <c r="A78" s="2" t="inlineStr">
        <is>
          <t>SKU-0076</t>
        </is>
      </c>
      <c r="B78" s="2" t="inlineStr">
        <is>
          <t>Item 76</t>
        </is>
      </c>
      <c r="C78" s="2" t="n">
        <v>87.84999999999999</v>
      </c>
      <c r="D78" s="2" t="n">
        <v>52.21</v>
      </c>
      <c r="E78" s="2">
        <f>(C78-D78)/C78</f>
        <v/>
      </c>
    </row>
    <row r="79" ht="15" customHeight="1" s="1">
      <c r="A79" s="2" t="inlineStr">
        <is>
          <t>SKU-0077</t>
        </is>
      </c>
      <c r="B79" s="2" t="inlineStr">
        <is>
          <t>Item 77</t>
        </is>
      </c>
      <c r="C79" s="2" t="n">
        <v>232.08</v>
      </c>
      <c r="D79" s="2" t="n">
        <v>156.97</v>
      </c>
      <c r="E79" s="2">
        <f>(C79-D79)/C79</f>
        <v/>
      </c>
    </row>
    <row r="80" ht="15" customHeight="1" s="1">
      <c r="A80" s="2" t="inlineStr">
        <is>
          <t>SKU-0078</t>
        </is>
      </c>
      <c r="B80" s="2" t="inlineStr">
        <is>
          <t>Item 78</t>
        </is>
      </c>
      <c r="C80" s="2" t="n">
        <v>91.69</v>
      </c>
      <c r="D80" s="2" t="n">
        <v>71.34999999999999</v>
      </c>
      <c r="E80" s="2">
        <f>(C80-D80)/C80</f>
        <v/>
      </c>
    </row>
    <row r="81" ht="15" customHeight="1" s="1">
      <c r="A81" s="2" t="inlineStr">
        <is>
          <t>SKU-0079</t>
        </is>
      </c>
      <c r="B81" s="2" t="inlineStr">
        <is>
          <t>Item 79</t>
        </is>
      </c>
      <c r="C81" s="2" t="n">
        <v>196.66</v>
      </c>
      <c r="D81" s="2" t="n">
        <v>124.34</v>
      </c>
      <c r="E81" s="2">
        <f>(C81-D81)/C81</f>
        <v/>
      </c>
    </row>
    <row r="82" ht="15" customHeight="1" s="1">
      <c r="A82" s="2" t="inlineStr">
        <is>
          <t>SKU-0080</t>
        </is>
      </c>
      <c r="B82" s="2" t="inlineStr">
        <is>
          <t>Item 80</t>
        </is>
      </c>
      <c r="C82" s="2" t="n">
        <v>8.42</v>
      </c>
      <c r="D82" s="2" t="n">
        <v>5.21</v>
      </c>
      <c r="E82" s="2">
        <f>(C82-D82)/C82</f>
        <v/>
      </c>
    </row>
    <row r="83" ht="15" customHeight="1" s="1">
      <c r="A83" s="2" t="inlineStr">
        <is>
          <t>SKU-0081</t>
        </is>
      </c>
      <c r="B83" s="2" t="inlineStr">
        <is>
          <t>Item 81</t>
        </is>
      </c>
      <c r="C83" s="2" t="n">
        <v>78.95</v>
      </c>
      <c r="D83" s="2" t="n">
        <v>52.79</v>
      </c>
      <c r="E83" s="2">
        <f>(C83-D83)/C83</f>
        <v/>
      </c>
    </row>
    <row r="84" ht="15" customHeight="1" s="1">
      <c r="A84" s="2" t="inlineStr">
        <is>
          <t>SKU-0082</t>
        </is>
      </c>
      <c r="B84" s="2" t="inlineStr">
        <is>
          <t>Item 82</t>
        </is>
      </c>
      <c r="C84" s="2" t="n">
        <v>141.57</v>
      </c>
      <c r="D84" s="2" t="n">
        <v>102.87</v>
      </c>
      <c r="E84" s="2">
        <f>(C84-D84)/C84</f>
        <v/>
      </c>
    </row>
    <row r="85" ht="15" customHeight="1" s="1">
      <c r="A85" s="2" t="inlineStr">
        <is>
          <t>SKU-0083</t>
        </is>
      </c>
      <c r="B85" s="2" t="inlineStr">
        <is>
          <t>Item 83</t>
        </is>
      </c>
      <c r="C85" s="2" t="n">
        <v>195.99</v>
      </c>
      <c r="D85" s="2" t="n">
        <v>140.93</v>
      </c>
      <c r="E85" s="2">
        <f>(C85-D85)/C85</f>
        <v/>
      </c>
    </row>
    <row r="86" ht="15" customHeight="1" s="1">
      <c r="A86" s="2" t="inlineStr">
        <is>
          <t>SKU-0084</t>
        </is>
      </c>
      <c r="B86" s="2" t="inlineStr">
        <is>
          <t>Item 84</t>
        </is>
      </c>
      <c r="C86" s="2" t="n">
        <v>107.63</v>
      </c>
      <c r="D86" s="2" t="n">
        <v>70.78</v>
      </c>
      <c r="E86" s="2">
        <f>(C86-D86)/C86</f>
        <v/>
      </c>
    </row>
    <row r="87" ht="15" customHeight="1" s="1">
      <c r="A87" s="2" t="inlineStr">
        <is>
          <t>SKU-0085</t>
        </is>
      </c>
      <c r="B87" s="2" t="inlineStr">
        <is>
          <t>Item 85</t>
        </is>
      </c>
      <c r="C87" s="2" t="n">
        <v>222.66</v>
      </c>
      <c r="D87" s="2" t="n">
        <v>162.83</v>
      </c>
      <c r="E87" s="2">
        <f>(C87-D87)/C87</f>
        <v/>
      </c>
    </row>
    <row r="88" ht="15" customHeight="1" s="1">
      <c r="A88" s="2" t="inlineStr">
        <is>
          <t>SKU-0086</t>
        </is>
      </c>
      <c r="B88" s="2" t="inlineStr">
        <is>
          <t>Item 86</t>
        </is>
      </c>
      <c r="C88" s="2" t="n">
        <v>108.26</v>
      </c>
      <c r="D88" s="2" t="n">
        <v>79.8</v>
      </c>
      <c r="E88" s="2">
        <f>(C88-D88)/C88</f>
        <v/>
      </c>
    </row>
    <row r="89" ht="15" customHeight="1" s="1">
      <c r="A89" s="2" t="inlineStr">
        <is>
          <t>SKU-0087</t>
        </is>
      </c>
      <c r="B89" s="2" t="inlineStr">
        <is>
          <t>Item 87</t>
        </is>
      </c>
      <c r="C89" s="2" t="n">
        <v>261.62</v>
      </c>
      <c r="D89" s="2" t="n">
        <v>176.68</v>
      </c>
      <c r="E89" s="2">
        <f>(C89-D89)/C89</f>
        <v/>
      </c>
    </row>
    <row r="90" ht="15" customHeight="1" s="1">
      <c r="A90" s="2" t="inlineStr">
        <is>
          <t>SKU-0088</t>
        </is>
      </c>
      <c r="B90" s="2" t="inlineStr">
        <is>
          <t>Item 88</t>
        </is>
      </c>
      <c r="C90" s="2" t="n">
        <v>292.96</v>
      </c>
      <c r="D90" s="2" t="n">
        <v>229.27</v>
      </c>
      <c r="E90" s="2">
        <f>(C90-D90)/C90</f>
        <v/>
      </c>
    </row>
    <row r="91" ht="15" customHeight="1" s="1">
      <c r="A91" s="2" t="inlineStr">
        <is>
          <t>SKU-0089</t>
        </is>
      </c>
      <c r="B91" s="2" t="inlineStr">
        <is>
          <t>Item 89</t>
        </is>
      </c>
      <c r="C91" s="2" t="n">
        <v>157.85</v>
      </c>
      <c r="D91" s="2" t="n">
        <v>96.56</v>
      </c>
      <c r="E91" s="2">
        <f>(C91-D91)/C91</f>
        <v/>
      </c>
    </row>
    <row r="92" ht="15" customHeight="1" s="1">
      <c r="A92" s="2" t="inlineStr">
        <is>
          <t>SKU-0090</t>
        </is>
      </c>
      <c r="B92" s="2" t="inlineStr">
        <is>
          <t>Item 90</t>
        </is>
      </c>
      <c r="C92" s="2" t="n">
        <v>54.02</v>
      </c>
      <c r="D92" s="2" t="n">
        <v>39.69</v>
      </c>
      <c r="E92" s="2">
        <f>(C92-D92)/C92</f>
        <v/>
      </c>
    </row>
    <row r="93" ht="15" customHeight="1" s="1">
      <c r="A93" s="2" t="inlineStr">
        <is>
          <t>SKU-0091</t>
        </is>
      </c>
      <c r="B93" s="2" t="inlineStr">
        <is>
          <t>Item 91</t>
        </is>
      </c>
      <c r="C93" s="2" t="n">
        <v>281.53</v>
      </c>
      <c r="D93" s="2" t="n">
        <v>166.35</v>
      </c>
      <c r="E93" s="2">
        <f>(C93-D93)/C93</f>
        <v/>
      </c>
    </row>
    <row r="94" ht="15" customHeight="1" s="1">
      <c r="A94" s="2" t="inlineStr">
        <is>
          <t>SKU-0092</t>
        </is>
      </c>
      <c r="B94" s="2" t="inlineStr">
        <is>
          <t>Item 92</t>
        </is>
      </c>
      <c r="C94" s="2" t="n">
        <v>208.97</v>
      </c>
      <c r="D94" s="2" t="n">
        <v>143.75</v>
      </c>
      <c r="E94" s="2">
        <f>(C94-D94)/C94</f>
        <v/>
      </c>
    </row>
    <row r="95" ht="15" customHeight="1" s="1">
      <c r="A95" s="2" t="inlineStr">
        <is>
          <t>SKU-0093</t>
        </is>
      </c>
      <c r="B95" s="2" t="inlineStr">
        <is>
          <t>Item 93</t>
        </is>
      </c>
      <c r="C95" s="2" t="n">
        <v>220.45</v>
      </c>
      <c r="D95" s="2" t="n">
        <v>103.33</v>
      </c>
      <c r="E95" s="2">
        <f>(C95-D95)/C95</f>
        <v/>
      </c>
    </row>
    <row r="96" ht="15" customHeight="1" s="1">
      <c r="A96" s="2" t="inlineStr">
        <is>
          <t>SKU-0094</t>
        </is>
      </c>
      <c r="B96" s="2" t="inlineStr">
        <is>
          <t>Item 94</t>
        </is>
      </c>
      <c r="C96" s="2" t="n">
        <v>235.21</v>
      </c>
      <c r="D96" s="2" t="n">
        <v>148.73</v>
      </c>
      <c r="E96" s="2">
        <f>(C96-D96)/C96</f>
        <v/>
      </c>
    </row>
    <row r="97" ht="15" customHeight="1" s="1">
      <c r="A97" s="2" t="inlineStr">
        <is>
          <t>SKU-0095</t>
        </is>
      </c>
      <c r="B97" s="2" t="inlineStr">
        <is>
          <t>Item 95</t>
        </is>
      </c>
      <c r="C97" s="2" t="n">
        <v>201.34</v>
      </c>
      <c r="D97" s="2" t="n">
        <v>114.42</v>
      </c>
      <c r="E97" s="2">
        <f>(C97-D97)/C97</f>
        <v/>
      </c>
    </row>
    <row r="98" ht="15" customHeight="1" s="1">
      <c r="A98" s="2" t="inlineStr">
        <is>
          <t>SKU-0096</t>
        </is>
      </c>
      <c r="B98" s="2" t="inlineStr">
        <is>
          <t>Item 96</t>
        </is>
      </c>
      <c r="C98" s="2" t="n">
        <v>189</v>
      </c>
      <c r="D98" s="2" t="n">
        <v>134.17</v>
      </c>
      <c r="E98" s="2">
        <f>(C98-D98)/C98</f>
        <v/>
      </c>
    </row>
    <row r="99" ht="15" customHeight="1" s="1">
      <c r="A99" s="2" t="inlineStr">
        <is>
          <t>SKU-0097</t>
        </is>
      </c>
      <c r="B99" s="2" t="inlineStr">
        <is>
          <t>Item 97</t>
        </is>
      </c>
      <c r="C99" s="2" t="n">
        <v>192.88</v>
      </c>
      <c r="D99" s="2" t="n">
        <v>132.73</v>
      </c>
      <c r="E99" s="2">
        <f>(C99-D99)/C99</f>
        <v/>
      </c>
    </row>
    <row r="100" ht="15" customHeight="1" s="1">
      <c r="A100" s="2" t="inlineStr">
        <is>
          <t>SKU-0098</t>
        </is>
      </c>
      <c r="B100" s="2" t="inlineStr">
        <is>
          <t>Item 98</t>
        </is>
      </c>
      <c r="C100" s="2" t="n">
        <v>13.15</v>
      </c>
      <c r="D100" s="2" t="n">
        <v>6.1</v>
      </c>
      <c r="E100" s="2">
        <f>(C100-D100)/C100</f>
        <v/>
      </c>
    </row>
    <row r="101" ht="15" customHeight="1" s="1">
      <c r="A101" s="2" t="inlineStr">
        <is>
          <t>SKU-0099</t>
        </is>
      </c>
      <c r="B101" s="2" t="inlineStr">
        <is>
          <t>Item 99</t>
        </is>
      </c>
      <c r="C101" s="2" t="n">
        <v>135.12</v>
      </c>
      <c r="D101" s="2" t="n">
        <v>89.19</v>
      </c>
      <c r="E101" s="2">
        <f>(C101-D101)/C101</f>
        <v/>
      </c>
    </row>
    <row r="102" ht="15" customHeight="1" s="1">
      <c r="A102" s="2" t="inlineStr">
        <is>
          <t>SKU-0100</t>
        </is>
      </c>
      <c r="B102" s="2" t="inlineStr">
        <is>
          <t>Item 100</t>
        </is>
      </c>
      <c r="C102" s="2" t="n">
        <v>69.62</v>
      </c>
      <c r="D102" s="2" t="n">
        <v>46.95</v>
      </c>
      <c r="E102" s="2">
        <f>(C102-D102)/C102</f>
        <v/>
      </c>
    </row>
    <row r="103" ht="15" customHeight="1" s="1">
      <c r="A103" s="2" t="inlineStr">
        <is>
          <t>SKU-0101</t>
        </is>
      </c>
      <c r="B103" s="2" t="inlineStr">
        <is>
          <t>Item 101</t>
        </is>
      </c>
      <c r="C103" s="2" t="n">
        <v>191.11</v>
      </c>
      <c r="D103" s="2" t="n">
        <v>79.64</v>
      </c>
      <c r="E103" s="2">
        <f>(C103-D103)/C103</f>
        <v/>
      </c>
    </row>
    <row r="104" ht="15" customHeight="1" s="1">
      <c r="A104" s="2" t="inlineStr">
        <is>
          <t>SKU-0102</t>
        </is>
      </c>
      <c r="B104" s="2" t="inlineStr">
        <is>
          <t>Item 102</t>
        </is>
      </c>
      <c r="C104" s="2" t="n">
        <v>144.12</v>
      </c>
      <c r="D104" s="2" t="n">
        <v>70.69</v>
      </c>
      <c r="E104" s="2">
        <f>(C104-D104)/C104</f>
        <v/>
      </c>
    </row>
    <row r="105" ht="15" customHeight="1" s="1">
      <c r="A105" s="2" t="inlineStr">
        <is>
          <t>SKU-0103</t>
        </is>
      </c>
      <c r="B105" s="2" t="inlineStr">
        <is>
          <t>Item 103</t>
        </is>
      </c>
      <c r="C105" s="2" t="n">
        <v>20.97</v>
      </c>
      <c r="D105" s="2" t="n">
        <v>9.51</v>
      </c>
      <c r="E105" s="2">
        <f>(C105-D105)/C105</f>
        <v/>
      </c>
    </row>
    <row r="106" ht="15" customHeight="1" s="1">
      <c r="A106" s="2" t="inlineStr">
        <is>
          <t>SKU-0104</t>
        </is>
      </c>
      <c r="B106" s="2" t="inlineStr">
        <is>
          <t>Item 104</t>
        </is>
      </c>
      <c r="C106" s="2" t="n">
        <v>98.62</v>
      </c>
      <c r="D106" s="2" t="n">
        <v>46.61</v>
      </c>
      <c r="E106" s="2">
        <f>(C106-D106)/C106</f>
        <v/>
      </c>
    </row>
    <row r="107" ht="15" customHeight="1" s="1">
      <c r="A107" s="2" t="inlineStr">
        <is>
          <t>SKU-0105</t>
        </is>
      </c>
      <c r="B107" s="2" t="inlineStr">
        <is>
          <t>Item 105</t>
        </is>
      </c>
      <c r="C107" s="2" t="n">
        <v>62.04</v>
      </c>
      <c r="D107" s="2" t="n">
        <v>25.7</v>
      </c>
      <c r="E107" s="2">
        <f>(C107-D107)/C107</f>
        <v/>
      </c>
    </row>
    <row r="108" ht="15" customHeight="1" s="1">
      <c r="A108" s="2" t="inlineStr">
        <is>
          <t>SKU-0106</t>
        </is>
      </c>
      <c r="B108" s="2" t="inlineStr">
        <is>
          <t>Item 106</t>
        </is>
      </c>
      <c r="C108" s="2" t="n">
        <v>142.27</v>
      </c>
      <c r="D108" s="2" t="n">
        <v>78.55</v>
      </c>
      <c r="E108" s="2">
        <f>(C108-D108)/C108</f>
        <v/>
      </c>
    </row>
    <row r="109" ht="15" customHeight="1" s="1">
      <c r="A109" s="2" t="inlineStr">
        <is>
          <t>SKU-0107</t>
        </is>
      </c>
      <c r="B109" s="2" t="inlineStr">
        <is>
          <t>Item 107</t>
        </is>
      </c>
      <c r="C109" s="2" t="n">
        <v>185.48</v>
      </c>
      <c r="D109" s="2" t="n">
        <v>117.98</v>
      </c>
      <c r="E109" s="2">
        <f>(C109-D109)/C109</f>
        <v/>
      </c>
    </row>
    <row r="110" ht="15" customHeight="1" s="1">
      <c r="A110" s="2" t="inlineStr">
        <is>
          <t>SKU-0108</t>
        </is>
      </c>
      <c r="B110" s="2" t="inlineStr">
        <is>
          <t>Item 108</t>
        </is>
      </c>
      <c r="C110" s="2" t="n">
        <v>75.16</v>
      </c>
      <c r="D110" s="2" t="n">
        <v>57.22</v>
      </c>
      <c r="E110" s="2">
        <f>(C110-D110)/C110</f>
        <v/>
      </c>
    </row>
    <row r="111" ht="15" customHeight="1" s="1">
      <c r="A111" s="2" t="inlineStr">
        <is>
          <t>SKU-0109</t>
        </is>
      </c>
      <c r="B111" s="2" t="inlineStr">
        <is>
          <t>Item 109</t>
        </is>
      </c>
      <c r="C111" s="2" t="n">
        <v>5.19</v>
      </c>
      <c r="D111" s="2" t="n">
        <v>2.92</v>
      </c>
      <c r="E111" s="2">
        <f>(C111-D111)/C111</f>
        <v/>
      </c>
    </row>
    <row r="112" ht="15" customHeight="1" s="1">
      <c r="A112" s="2" t="inlineStr">
        <is>
          <t>SKU-0110</t>
        </is>
      </c>
      <c r="B112" s="2" t="inlineStr">
        <is>
          <t>Item 110</t>
        </is>
      </c>
      <c r="C112" s="2" t="n">
        <v>87.17</v>
      </c>
      <c r="D112" s="2" t="n">
        <v>49.17</v>
      </c>
      <c r="E112" s="2">
        <f>(C112-D112)/C112</f>
        <v/>
      </c>
    </row>
    <row r="113" ht="15" customHeight="1" s="1">
      <c r="A113" s="2" t="inlineStr">
        <is>
          <t>SKU-0111</t>
        </is>
      </c>
      <c r="B113" s="2" t="inlineStr">
        <is>
          <t>Item 111</t>
        </is>
      </c>
      <c r="C113" s="2" t="n">
        <v>38.95</v>
      </c>
      <c r="D113" s="2" t="n">
        <v>28.53</v>
      </c>
      <c r="E113" s="2">
        <f>(C113-D113)/C113</f>
        <v/>
      </c>
    </row>
    <row r="114" ht="15" customHeight="1" s="1">
      <c r="A114" s="2" t="inlineStr">
        <is>
          <t>SKU-0112</t>
        </is>
      </c>
      <c r="B114" s="2" t="inlineStr">
        <is>
          <t>Item 112</t>
        </is>
      </c>
      <c r="C114" s="2" t="n">
        <v>115.29</v>
      </c>
      <c r="D114" s="2" t="n">
        <v>47.78</v>
      </c>
      <c r="E114" s="2">
        <f>(C114-D114)/C114</f>
        <v/>
      </c>
    </row>
    <row r="115" ht="15" customHeight="1" s="1">
      <c r="A115" s="2" t="inlineStr">
        <is>
          <t>SKU-0113</t>
        </is>
      </c>
      <c r="B115" s="2" t="inlineStr">
        <is>
          <t>Item 113</t>
        </is>
      </c>
      <c r="C115" s="2" t="n">
        <v>186</v>
      </c>
      <c r="D115" s="2" t="n">
        <v>81.45</v>
      </c>
      <c r="E115" s="2">
        <f>(C115-D115)/C115</f>
        <v/>
      </c>
    </row>
    <row r="116" ht="15" customHeight="1" s="1">
      <c r="A116" s="2" t="inlineStr">
        <is>
          <t>SKU-0114</t>
        </is>
      </c>
      <c r="B116" s="2" t="inlineStr">
        <is>
          <t>Item 114</t>
        </is>
      </c>
      <c r="C116" s="2" t="n">
        <v>165.84</v>
      </c>
      <c r="D116" s="2" t="n">
        <v>88.84999999999999</v>
      </c>
      <c r="E116" s="2">
        <f>(C116-D116)/C116</f>
        <v/>
      </c>
    </row>
    <row r="117" ht="15" customHeight="1" s="1">
      <c r="A117" s="2" t="inlineStr">
        <is>
          <t>SKU-0115</t>
        </is>
      </c>
      <c r="B117" s="2" t="inlineStr">
        <is>
          <t>Item 115</t>
        </is>
      </c>
      <c r="C117" s="2" t="n">
        <v>176.36</v>
      </c>
      <c r="D117" s="2" t="n">
        <v>138.15</v>
      </c>
      <c r="E117" s="2">
        <f>(C117-D117)/C117</f>
        <v/>
      </c>
    </row>
    <row r="118" ht="15" customHeight="1" s="1">
      <c r="A118" s="2" t="inlineStr">
        <is>
          <t>SKU-0116</t>
        </is>
      </c>
      <c r="B118" s="2" t="inlineStr">
        <is>
          <t>Item 116</t>
        </is>
      </c>
      <c r="C118" s="2" t="n">
        <v>246.46</v>
      </c>
      <c r="D118" s="2" t="n">
        <v>139.9</v>
      </c>
      <c r="E118" s="2">
        <f>(C118-D118)/C118</f>
        <v/>
      </c>
    </row>
    <row r="119" ht="15" customHeight="1" s="1">
      <c r="A119" s="2" t="inlineStr">
        <is>
          <t>SKU-0117</t>
        </is>
      </c>
      <c r="B119" s="2" t="inlineStr">
        <is>
          <t>Item 117</t>
        </is>
      </c>
      <c r="C119" s="2" t="n">
        <v>244.83</v>
      </c>
      <c r="D119" s="2" t="n">
        <v>160.83</v>
      </c>
      <c r="E119" s="2">
        <f>(C119-D119)/C119</f>
        <v/>
      </c>
    </row>
    <row r="120" ht="15" customHeight="1" s="1">
      <c r="A120" s="2" t="inlineStr">
        <is>
          <t>SKU-0118</t>
        </is>
      </c>
      <c r="B120" s="2" t="inlineStr">
        <is>
          <t>Item 118</t>
        </is>
      </c>
      <c r="C120" s="2" t="n">
        <v>113.99</v>
      </c>
      <c r="D120" s="2" t="n">
        <v>52.08</v>
      </c>
      <c r="E120" s="2">
        <f>(C120-D120)/C120</f>
        <v/>
      </c>
    </row>
    <row r="121" ht="15" customHeight="1" s="1">
      <c r="A121" s="2" t="inlineStr">
        <is>
          <t>SKU-0119</t>
        </is>
      </c>
      <c r="B121" s="2" t="inlineStr">
        <is>
          <t>Item 119</t>
        </is>
      </c>
      <c r="C121" s="2" t="n">
        <v>180.8</v>
      </c>
      <c r="D121" s="2" t="n">
        <v>113.1</v>
      </c>
      <c r="E121" s="2">
        <f>(C121-D121)/C121</f>
        <v/>
      </c>
    </row>
    <row r="122" ht="15" customHeight="1" s="1">
      <c r="A122" s="2" t="inlineStr">
        <is>
          <t>SKU-0120</t>
        </is>
      </c>
      <c r="B122" s="2" t="inlineStr">
        <is>
          <t>Item 120</t>
        </is>
      </c>
      <c r="C122" s="2" t="n">
        <v>287.38</v>
      </c>
      <c r="D122" s="2" t="n">
        <v>226.23</v>
      </c>
      <c r="E122" s="2">
        <f>(C122-D122)/C122</f>
        <v/>
      </c>
    </row>
    <row r="123" ht="15" customHeight="1" s="1">
      <c r="A123" s="2" t="inlineStr">
        <is>
          <t>SKU-0121</t>
        </is>
      </c>
      <c r="B123" s="2" t="inlineStr">
        <is>
          <t>Item 121</t>
        </is>
      </c>
      <c r="C123" s="2" t="n">
        <v>184.54</v>
      </c>
      <c r="D123" s="2" t="n">
        <v>99.73</v>
      </c>
      <c r="E123" s="2">
        <f>(C123-D123)/C123</f>
        <v/>
      </c>
    </row>
    <row r="124" ht="15" customHeight="1" s="1">
      <c r="A124" s="2" t="inlineStr">
        <is>
          <t>SKU-0122</t>
        </is>
      </c>
      <c r="B124" s="2" t="inlineStr">
        <is>
          <t>Item 122</t>
        </is>
      </c>
      <c r="C124" s="2" t="n">
        <v>268.57</v>
      </c>
      <c r="D124" s="2" t="n">
        <v>107.53</v>
      </c>
      <c r="E124" s="2">
        <f>(C124-D124)/C124</f>
        <v/>
      </c>
    </row>
    <row r="125" ht="15" customHeight="1" s="1">
      <c r="A125" s="2" t="inlineStr">
        <is>
          <t>SKU-0123</t>
        </is>
      </c>
      <c r="B125" s="2" t="inlineStr">
        <is>
          <t>Item 123</t>
        </is>
      </c>
      <c r="C125" s="2" t="n">
        <v>36.84</v>
      </c>
      <c r="D125" s="2" t="n">
        <v>23.07</v>
      </c>
      <c r="E125" s="2">
        <f>(C125-D125)/C125</f>
        <v/>
      </c>
    </row>
    <row r="126" ht="15" customHeight="1" s="1">
      <c r="A126" s="2" t="inlineStr">
        <is>
          <t>SKU-0124</t>
        </is>
      </c>
      <c r="B126" s="2" t="inlineStr">
        <is>
          <t>Item 124</t>
        </is>
      </c>
      <c r="C126" s="2" t="n">
        <v>186.47</v>
      </c>
      <c r="D126" s="2" t="n">
        <v>85.08</v>
      </c>
      <c r="E126" s="2">
        <f>(C126-D126)/C126</f>
        <v/>
      </c>
    </row>
    <row r="127" ht="15" customHeight="1" s="1">
      <c r="A127" s="2" t="inlineStr">
        <is>
          <t>SKU-0125</t>
        </is>
      </c>
      <c r="B127" s="2" t="inlineStr">
        <is>
          <t>Item 125</t>
        </is>
      </c>
      <c r="C127" s="2" t="n">
        <v>190.69</v>
      </c>
      <c r="D127" s="2" t="n">
        <v>144.26</v>
      </c>
      <c r="E127" s="2">
        <f>(C127-D127)/C127</f>
        <v/>
      </c>
    </row>
    <row r="128" ht="15" customHeight="1" s="1">
      <c r="A128" s="2" t="inlineStr">
        <is>
          <t>SKU-0126</t>
        </is>
      </c>
      <c r="B128" s="2" t="inlineStr">
        <is>
          <t>Item 126</t>
        </is>
      </c>
      <c r="C128" s="2" t="n">
        <v>115.88</v>
      </c>
      <c r="D128" s="2" t="n">
        <v>66.36</v>
      </c>
      <c r="E128" s="2">
        <f>(C128-D128)/C128</f>
        <v/>
      </c>
    </row>
    <row r="129" ht="15" customHeight="1" s="1">
      <c r="A129" s="2" t="inlineStr">
        <is>
          <t>SKU-0127</t>
        </is>
      </c>
      <c r="B129" s="2" t="inlineStr">
        <is>
          <t>Item 127</t>
        </is>
      </c>
      <c r="C129" s="2" t="n">
        <v>71.77</v>
      </c>
      <c r="D129" s="2" t="n">
        <v>37.08</v>
      </c>
      <c r="E129" s="2">
        <f>(C129-D129)/C129</f>
        <v/>
      </c>
    </row>
    <row r="130" ht="15" customHeight="1" s="1">
      <c r="A130" s="2" t="inlineStr">
        <is>
          <t>SKU-0128</t>
        </is>
      </c>
      <c r="B130" s="2" t="inlineStr">
        <is>
          <t>Item 128</t>
        </is>
      </c>
      <c r="C130" s="2" t="n">
        <v>291.87</v>
      </c>
      <c r="D130" s="2" t="n">
        <v>161.09</v>
      </c>
      <c r="E130" s="2">
        <f>(C130-D130)/C130</f>
        <v/>
      </c>
    </row>
    <row r="131" ht="15" customHeight="1" s="1">
      <c r="A131" s="2" t="inlineStr">
        <is>
          <t>SKU-0129</t>
        </is>
      </c>
      <c r="B131" s="2" t="inlineStr">
        <is>
          <t>Item 129</t>
        </is>
      </c>
      <c r="C131" s="2" t="n">
        <v>288.54</v>
      </c>
      <c r="D131" s="2" t="n">
        <v>220.88</v>
      </c>
      <c r="E131" s="2">
        <f>(C131-D131)/C131</f>
        <v/>
      </c>
    </row>
    <row r="132" ht="15" customHeight="1" s="1">
      <c r="A132" s="2" t="inlineStr">
        <is>
          <t>SKU-0130</t>
        </is>
      </c>
      <c r="B132" s="2" t="inlineStr">
        <is>
          <t>Item 130</t>
        </is>
      </c>
      <c r="C132" s="2" t="n">
        <v>180.76</v>
      </c>
      <c r="D132" s="2" t="n">
        <v>91.09</v>
      </c>
      <c r="E132" s="2">
        <f>(C132-D132)/C132</f>
        <v/>
      </c>
    </row>
    <row r="133" ht="15" customHeight="1" s="1">
      <c r="A133" s="2" t="inlineStr">
        <is>
          <t>SKU-0131</t>
        </is>
      </c>
      <c r="B133" s="2" t="inlineStr">
        <is>
          <t>Item 131</t>
        </is>
      </c>
      <c r="C133" s="2" t="n">
        <v>294.39</v>
      </c>
      <c r="D133" s="2" t="n">
        <v>176.2</v>
      </c>
      <c r="E133" s="2">
        <f>(C133-D133)/C133</f>
        <v/>
      </c>
    </row>
    <row r="134" ht="15" customHeight="1" s="1">
      <c r="A134" s="2" t="inlineStr">
        <is>
          <t>SKU-0132</t>
        </is>
      </c>
      <c r="B134" s="2" t="inlineStr">
        <is>
          <t>Item 132</t>
        </is>
      </c>
      <c r="C134" s="2" t="n">
        <v>127.57</v>
      </c>
      <c r="D134" s="2" t="n">
        <v>67.31</v>
      </c>
      <c r="E134" s="2">
        <f>(C134-D134)/C134</f>
        <v/>
      </c>
    </row>
    <row r="135" ht="15" customHeight="1" s="1">
      <c r="A135" s="2" t="inlineStr">
        <is>
          <t>SKU-0133</t>
        </is>
      </c>
      <c r="B135" s="2" t="inlineStr">
        <is>
          <t>Item 133</t>
        </is>
      </c>
      <c r="C135" s="2" t="n">
        <v>295.36</v>
      </c>
      <c r="D135" s="2" t="n">
        <v>176.24</v>
      </c>
      <c r="E135" s="2">
        <f>(C135-D135)/C135</f>
        <v/>
      </c>
    </row>
    <row r="136" ht="15" customHeight="1" s="1">
      <c r="A136" s="2" t="inlineStr">
        <is>
          <t>SKU-0134</t>
        </is>
      </c>
      <c r="B136" s="2" t="inlineStr">
        <is>
          <t>Item 134</t>
        </is>
      </c>
      <c r="C136" s="2" t="n">
        <v>89.48999999999999</v>
      </c>
      <c r="D136" s="2" t="n">
        <v>52.87</v>
      </c>
      <c r="E136" s="2">
        <f>(C136-D136)/C136</f>
        <v/>
      </c>
    </row>
    <row r="137" ht="15" customHeight="1" s="1">
      <c r="A137" s="2" t="inlineStr">
        <is>
          <t>SKU-0135</t>
        </is>
      </c>
      <c r="B137" s="2" t="inlineStr">
        <is>
          <t>Item 135</t>
        </is>
      </c>
      <c r="C137" s="2" t="n">
        <v>40.96</v>
      </c>
      <c r="D137" s="2" t="n">
        <v>26.57</v>
      </c>
      <c r="E137" s="2">
        <f>(C137-D137)/C137</f>
        <v/>
      </c>
    </row>
    <row r="138" ht="15" customHeight="1" s="1">
      <c r="A138" s="2" t="inlineStr">
        <is>
          <t>SKU-0136</t>
        </is>
      </c>
      <c r="B138" s="2" t="inlineStr">
        <is>
          <t>Item 136</t>
        </is>
      </c>
      <c r="C138" s="2" t="n">
        <v>135.82</v>
      </c>
      <c r="D138" s="2" t="n">
        <v>70.25</v>
      </c>
      <c r="E138" s="2">
        <f>(C138-D138)/C138</f>
        <v/>
      </c>
    </row>
    <row r="139" ht="15" customHeight="1" s="1">
      <c r="A139" s="2" t="inlineStr">
        <is>
          <t>SKU-0137</t>
        </is>
      </c>
      <c r="B139" s="2" t="inlineStr">
        <is>
          <t>Item 137</t>
        </is>
      </c>
      <c r="C139" s="2" t="n">
        <v>235.6</v>
      </c>
      <c r="D139" s="2" t="n">
        <v>172.16</v>
      </c>
      <c r="E139" s="2">
        <f>(C139-D139)/C139</f>
        <v/>
      </c>
    </row>
    <row r="140" ht="15" customHeight="1" s="1">
      <c r="A140" s="2" t="inlineStr">
        <is>
          <t>SKU-0138</t>
        </is>
      </c>
      <c r="B140" s="2" t="inlineStr">
        <is>
          <t>Item 138</t>
        </is>
      </c>
      <c r="C140" s="2" t="n">
        <v>8.890000000000001</v>
      </c>
      <c r="D140" s="2" t="n">
        <v>5.45</v>
      </c>
      <c r="E140" s="2">
        <f>(C140-D140)/C140</f>
        <v/>
      </c>
    </row>
    <row r="141" ht="15" customHeight="1" s="1">
      <c r="A141" s="2" t="inlineStr">
        <is>
          <t>SKU-0139</t>
        </is>
      </c>
      <c r="B141" s="2" t="inlineStr">
        <is>
          <t>Item 139</t>
        </is>
      </c>
      <c r="C141" s="2" t="n">
        <v>85.77</v>
      </c>
      <c r="D141" s="2" t="n">
        <v>66.39</v>
      </c>
      <c r="E141" s="2">
        <f>(C141-D141)/C141</f>
        <v/>
      </c>
    </row>
    <row r="142" ht="15" customHeight="1" s="1">
      <c r="A142" s="2" t="inlineStr">
        <is>
          <t>SKU-0140</t>
        </is>
      </c>
      <c r="B142" s="2" t="inlineStr">
        <is>
          <t>Item 140</t>
        </is>
      </c>
      <c r="C142" s="2" t="n">
        <v>235.66</v>
      </c>
      <c r="D142" s="2" t="n">
        <v>117.42</v>
      </c>
      <c r="E142" s="2">
        <f>(C142-D142)/C142</f>
        <v/>
      </c>
    </row>
    <row r="143" ht="15" customHeight="1" s="1">
      <c r="A143" s="2" t="inlineStr">
        <is>
          <t>SKU-0141</t>
        </is>
      </c>
      <c r="B143" s="2" t="inlineStr">
        <is>
          <t>Item 141</t>
        </is>
      </c>
      <c r="C143" s="2" t="n">
        <v>83.97</v>
      </c>
      <c r="D143" s="2" t="n">
        <v>38.79</v>
      </c>
      <c r="E143" s="2">
        <f>(C143-D143)/C143</f>
        <v/>
      </c>
    </row>
    <row r="144" ht="15" customHeight="1" s="1">
      <c r="A144" s="2" t="inlineStr">
        <is>
          <t>SKU-0142</t>
        </is>
      </c>
      <c r="B144" s="2" t="inlineStr">
        <is>
          <t>Item 142</t>
        </is>
      </c>
      <c r="C144" s="2" t="n">
        <v>296.7</v>
      </c>
      <c r="D144" s="2" t="n">
        <v>153.48</v>
      </c>
      <c r="E144" s="2">
        <f>(C144-D144)/C144</f>
        <v/>
      </c>
    </row>
    <row r="145" ht="15" customHeight="1" s="1">
      <c r="A145" s="2" t="inlineStr">
        <is>
          <t>SKU-0143</t>
        </is>
      </c>
      <c r="B145" s="2" t="inlineStr">
        <is>
          <t>Item 143</t>
        </is>
      </c>
      <c r="C145" s="2" t="n">
        <v>184.37</v>
      </c>
      <c r="D145" s="2" t="n">
        <v>108.75</v>
      </c>
      <c r="E145" s="2">
        <f>(C145-D145)/C145</f>
        <v/>
      </c>
    </row>
    <row r="146" ht="15" customHeight="1" s="1">
      <c r="A146" s="2" t="inlineStr">
        <is>
          <t>SKU-0144</t>
        </is>
      </c>
      <c r="B146" s="2" t="inlineStr">
        <is>
          <t>Item 144</t>
        </is>
      </c>
      <c r="C146" s="2" t="n">
        <v>195.24</v>
      </c>
      <c r="D146" s="2" t="n">
        <v>125.25</v>
      </c>
      <c r="E146" s="2">
        <f>(C146-D146)/C146</f>
        <v/>
      </c>
    </row>
    <row r="147" ht="15" customHeight="1" s="1">
      <c r="A147" s="2" t="inlineStr">
        <is>
          <t>SKU-0145</t>
        </is>
      </c>
      <c r="B147" s="2" t="inlineStr">
        <is>
          <t>Item 145</t>
        </is>
      </c>
      <c r="C147" s="2" t="n">
        <v>224.32</v>
      </c>
      <c r="D147" s="2" t="n">
        <v>100.33</v>
      </c>
      <c r="E147" s="2">
        <f>(C147-D147)/C147</f>
        <v/>
      </c>
    </row>
    <row r="148" ht="15" customHeight="1" s="1">
      <c r="A148" s="2" t="inlineStr">
        <is>
          <t>SKU-0146</t>
        </is>
      </c>
      <c r="B148" s="2" t="inlineStr">
        <is>
          <t>Item 146</t>
        </is>
      </c>
      <c r="C148" s="2" t="n">
        <v>229.32</v>
      </c>
      <c r="D148" s="2" t="n">
        <v>119.31</v>
      </c>
      <c r="E148" s="2">
        <f>(C148-D148)/C148</f>
        <v/>
      </c>
    </row>
    <row r="149" ht="15" customHeight="1" s="1">
      <c r="A149" s="2" t="inlineStr">
        <is>
          <t>SKU-0147</t>
        </is>
      </c>
      <c r="B149" s="2" t="inlineStr">
        <is>
          <t>Item 147</t>
        </is>
      </c>
      <c r="C149" s="2" t="n">
        <v>162.38</v>
      </c>
      <c r="D149" s="2" t="n">
        <v>86.78</v>
      </c>
      <c r="E149" s="2">
        <f>(C149-D149)/C149</f>
        <v/>
      </c>
    </row>
    <row r="150" ht="15" customHeight="1" s="1">
      <c r="A150" s="2" t="inlineStr">
        <is>
          <t>SKU-0148</t>
        </is>
      </c>
      <c r="B150" s="2" t="inlineStr">
        <is>
          <t>Item 148</t>
        </is>
      </c>
      <c r="C150" s="2" t="n">
        <v>92.56</v>
      </c>
      <c r="D150" s="2" t="n">
        <v>1</v>
      </c>
      <c r="E150" s="2">
        <f>(C150-D150)/C150</f>
        <v/>
      </c>
    </row>
    <row r="151" ht="15" customHeight="1" s="1">
      <c r="A151" s="2" t="inlineStr">
        <is>
          <t>SKU-0149</t>
        </is>
      </c>
      <c r="B151" s="2" t="inlineStr">
        <is>
          <t>Item 149</t>
        </is>
      </c>
      <c r="C151" s="2" t="n">
        <v>141.98</v>
      </c>
      <c r="D151" s="2" t="n">
        <v>77.3</v>
      </c>
      <c r="E151" s="2">
        <f>(C151-D151)/C151</f>
        <v/>
      </c>
    </row>
    <row r="152" ht="15" customHeight="1" s="1">
      <c r="A152" s="2" t="inlineStr">
        <is>
          <t>SKU-0150</t>
        </is>
      </c>
      <c r="B152" s="2" t="inlineStr">
        <is>
          <t>Item 150</t>
        </is>
      </c>
      <c r="C152" s="2" t="n">
        <v>224.78</v>
      </c>
      <c r="D152" s="2" t="n">
        <v>143.03</v>
      </c>
      <c r="E152" s="2">
        <f>(C152-D152)/C152</f>
        <v/>
      </c>
    </row>
    <row r="153" ht="15" customHeight="1" s="1">
      <c r="A153" s="2" t="inlineStr">
        <is>
          <t>SKU-0151</t>
        </is>
      </c>
      <c r="B153" s="2" t="inlineStr">
        <is>
          <t>Item 151</t>
        </is>
      </c>
      <c r="C153" s="2" t="n">
        <v>15.75</v>
      </c>
      <c r="D153" s="2" t="n">
        <v>7.89</v>
      </c>
      <c r="E153" s="2">
        <f>(C153-D153)/C153</f>
        <v/>
      </c>
    </row>
    <row r="154" ht="15" customHeight="1" s="1">
      <c r="A154" s="2" t="inlineStr">
        <is>
          <t>SKU-0152</t>
        </is>
      </c>
      <c r="B154" s="2" t="inlineStr">
        <is>
          <t>Item 152</t>
        </is>
      </c>
      <c r="C154" s="2" t="n">
        <v>139.41</v>
      </c>
      <c r="D154" s="2" t="n">
        <v>106.88</v>
      </c>
      <c r="E154" s="2">
        <f>(C154-D154)/C154</f>
        <v/>
      </c>
    </row>
    <row r="155" ht="15" customHeight="1" s="1">
      <c r="A155" s="2" t="inlineStr">
        <is>
          <t>SKU-0153</t>
        </is>
      </c>
      <c r="B155" s="2" t="inlineStr">
        <is>
          <t>Item 153</t>
        </is>
      </c>
      <c r="C155" s="2" t="n">
        <v>266.94</v>
      </c>
      <c r="D155" s="2" t="n">
        <v>165.03</v>
      </c>
      <c r="E155" s="2">
        <f>(C155-D155)/C155</f>
        <v/>
      </c>
    </row>
    <row r="156" ht="15" customHeight="1" s="1">
      <c r="A156" s="2" t="inlineStr">
        <is>
          <t>SKU-0154</t>
        </is>
      </c>
      <c r="B156" s="2" t="inlineStr">
        <is>
          <t>Item 154</t>
        </is>
      </c>
      <c r="C156" s="2" t="n">
        <v>9.300000000000001</v>
      </c>
      <c r="D156" s="2" t="n">
        <v>6.62</v>
      </c>
      <c r="E156" s="2">
        <f>(C156-D156)/C156</f>
        <v/>
      </c>
    </row>
    <row r="157" ht="15" customHeight="1" s="1">
      <c r="A157" s="2" t="inlineStr">
        <is>
          <t>SKU-0155</t>
        </is>
      </c>
      <c r="B157" s="2" t="inlineStr">
        <is>
          <t>Item 155</t>
        </is>
      </c>
      <c r="C157" s="2" t="n">
        <v>131.18</v>
      </c>
      <c r="D157" s="2" t="n">
        <v>82.68000000000001</v>
      </c>
      <c r="E157" s="2">
        <f>(C157-D157)/C157</f>
        <v/>
      </c>
    </row>
    <row r="158" ht="15" customHeight="1" s="1">
      <c r="A158" s="2" t="inlineStr">
        <is>
          <t>SKU-0156</t>
        </is>
      </c>
      <c r="B158" s="2" t="inlineStr">
        <is>
          <t>Item 156</t>
        </is>
      </c>
      <c r="C158" s="2" t="n">
        <v>213.91</v>
      </c>
      <c r="D158" s="2" t="n">
        <v>139.66</v>
      </c>
      <c r="E158" s="2">
        <f>(C158-D158)/C158</f>
        <v/>
      </c>
    </row>
    <row r="159" ht="15" customHeight="1" s="1">
      <c r="A159" s="2" t="inlineStr">
        <is>
          <t>SKU-0157</t>
        </is>
      </c>
      <c r="B159" s="2" t="inlineStr">
        <is>
          <t>Item 157</t>
        </is>
      </c>
      <c r="C159" s="2" t="n">
        <v>147.15</v>
      </c>
      <c r="D159" s="2" t="n">
        <v>112.52</v>
      </c>
      <c r="E159" s="2">
        <f>(C159-D159)/C159</f>
        <v/>
      </c>
    </row>
    <row r="160" ht="15" customHeight="1" s="1">
      <c r="A160" s="2" t="inlineStr">
        <is>
          <t>SKU-0158</t>
        </is>
      </c>
      <c r="B160" s="2" t="inlineStr">
        <is>
          <t>Item 158</t>
        </is>
      </c>
      <c r="C160" s="2" t="n">
        <v>118.71</v>
      </c>
      <c r="D160" s="2" t="n">
        <v>66.09</v>
      </c>
      <c r="E160" s="2">
        <f>(C160-D160)/C160</f>
        <v/>
      </c>
    </row>
    <row r="161" ht="15" customHeight="1" s="1">
      <c r="A161" s="2" t="inlineStr">
        <is>
          <t>SKU-0159</t>
        </is>
      </c>
      <c r="B161" s="2" t="inlineStr">
        <is>
          <t>Item 159</t>
        </is>
      </c>
      <c r="C161" s="2" t="n">
        <v>256.31</v>
      </c>
      <c r="D161" s="2" t="n">
        <v>122.67</v>
      </c>
      <c r="E161" s="2">
        <f>(C161-D161)/C161</f>
        <v/>
      </c>
    </row>
    <row r="162" ht="15" customHeight="1" s="1">
      <c r="A162" s="2" t="inlineStr">
        <is>
          <t>SKU-0160</t>
        </is>
      </c>
      <c r="B162" s="2" t="inlineStr">
        <is>
          <t>Item 160</t>
        </is>
      </c>
      <c r="C162" s="2" t="n">
        <v>92.45</v>
      </c>
      <c r="D162" s="2" t="n">
        <v>67.67</v>
      </c>
      <c r="E162" s="2">
        <f>(C162-D162)/C162</f>
        <v/>
      </c>
    </row>
    <row r="163" ht="15" customHeight="1" s="1">
      <c r="A163" s="2" t="inlineStr">
        <is>
          <t>SKU-0161</t>
        </is>
      </c>
      <c r="B163" s="2" t="inlineStr">
        <is>
          <t>Item 161</t>
        </is>
      </c>
      <c r="C163" s="2" t="n">
        <v>24.49</v>
      </c>
      <c r="D163" s="2" t="n">
        <v>17.99</v>
      </c>
      <c r="E163" s="2">
        <f>(C163-D163)/C163</f>
        <v/>
      </c>
    </row>
    <row r="164" ht="15" customHeight="1" s="1">
      <c r="A164" s="2" t="inlineStr">
        <is>
          <t>SKU-0162</t>
        </is>
      </c>
      <c r="B164" s="2" t="inlineStr">
        <is>
          <t>Item 162</t>
        </is>
      </c>
      <c r="C164" s="2" t="n">
        <v>209.91</v>
      </c>
      <c r="D164" s="2" t="n">
        <v>120.31</v>
      </c>
      <c r="E164" s="2">
        <f>(C164-D164)/C164</f>
        <v/>
      </c>
    </row>
    <row r="165" ht="15" customHeight="1" s="1">
      <c r="A165" s="2" t="inlineStr">
        <is>
          <t>SKU-0163</t>
        </is>
      </c>
      <c r="B165" s="2" t="inlineStr">
        <is>
          <t>Item 163</t>
        </is>
      </c>
      <c r="C165" s="2" t="n">
        <v>89.48</v>
      </c>
      <c r="D165" s="2" t="n">
        <v>63.74</v>
      </c>
      <c r="E165" s="2">
        <f>(C165-D165)/C165</f>
        <v/>
      </c>
    </row>
    <row r="166" ht="15" customHeight="1" s="1">
      <c r="A166" s="2" t="inlineStr">
        <is>
          <t>SKU-0164</t>
        </is>
      </c>
      <c r="B166" s="2" t="inlineStr">
        <is>
          <t>Item 164</t>
        </is>
      </c>
      <c r="C166" s="2" t="n">
        <v>273.65</v>
      </c>
      <c r="D166" s="2" t="n">
        <v>125.08</v>
      </c>
      <c r="E166" s="2">
        <f>(C166-D166)/C166</f>
        <v/>
      </c>
    </row>
    <row r="167" ht="15" customHeight="1" s="1">
      <c r="A167" s="2" t="inlineStr">
        <is>
          <t>SKU-0165</t>
        </is>
      </c>
      <c r="B167" s="2" t="inlineStr">
        <is>
          <t>Item 165</t>
        </is>
      </c>
      <c r="C167" s="2" t="n">
        <v>146.13</v>
      </c>
      <c r="D167" s="2" t="n">
        <v>90.55</v>
      </c>
      <c r="E167" s="2">
        <f>(C167-D167)/C167</f>
        <v/>
      </c>
    </row>
    <row r="168" ht="15" customHeight="1" s="1">
      <c r="A168" s="2" t="inlineStr">
        <is>
          <t>SKU-0166</t>
        </is>
      </c>
      <c r="B168" s="2" t="inlineStr">
        <is>
          <t>Item 166</t>
        </is>
      </c>
      <c r="C168" s="2" t="n">
        <v>151.82</v>
      </c>
      <c r="D168" s="2" t="n">
        <v>80.81</v>
      </c>
      <c r="E168" s="2">
        <f>(C168-D168)/C168</f>
        <v/>
      </c>
    </row>
    <row r="169" ht="15" customHeight="1" s="1">
      <c r="A169" s="2" t="inlineStr">
        <is>
          <t>SKU-0167</t>
        </is>
      </c>
      <c r="B169" s="2" t="inlineStr">
        <is>
          <t>Item 167</t>
        </is>
      </c>
      <c r="C169" s="2" t="n">
        <v>50.29</v>
      </c>
      <c r="D169" s="2" t="n">
        <v>31.9</v>
      </c>
      <c r="E169" s="2">
        <f>(C169-D169)/C169</f>
        <v/>
      </c>
    </row>
    <row r="170" ht="15" customHeight="1" s="1">
      <c r="A170" s="2" t="inlineStr">
        <is>
          <t>SKU-0168</t>
        </is>
      </c>
      <c r="B170" s="2" t="inlineStr">
        <is>
          <t>Item 168</t>
        </is>
      </c>
      <c r="C170" s="2" t="n">
        <v>244.49</v>
      </c>
      <c r="D170" s="2" t="n">
        <v>104.49</v>
      </c>
      <c r="E170" s="2">
        <f>(C170-D170)/C170</f>
        <v/>
      </c>
    </row>
    <row r="171" ht="15" customHeight="1" s="1">
      <c r="A171" s="2" t="inlineStr">
        <is>
          <t>SKU-0169</t>
        </is>
      </c>
      <c r="B171" s="2" t="inlineStr">
        <is>
          <t>Item 169</t>
        </is>
      </c>
      <c r="C171" s="2" t="n">
        <v>72.86</v>
      </c>
      <c r="D171" s="2" t="n">
        <v>53.03</v>
      </c>
      <c r="E171" s="2">
        <f>(C171-D171)/C171</f>
        <v/>
      </c>
    </row>
    <row r="172" ht="15" customHeight="1" s="1">
      <c r="A172" s="2" t="inlineStr">
        <is>
          <t>SKU-0170</t>
        </is>
      </c>
      <c r="B172" s="2" t="inlineStr">
        <is>
          <t>Item 170</t>
        </is>
      </c>
      <c r="C172" s="2" t="n">
        <v>238.57</v>
      </c>
      <c r="D172" s="2" t="n">
        <v>158.75</v>
      </c>
      <c r="E172" s="2">
        <f>(C172-D172)/C172</f>
        <v/>
      </c>
    </row>
    <row r="173" ht="15" customHeight="1" s="1">
      <c r="A173" s="2" t="inlineStr">
        <is>
          <t>SKU-0171</t>
        </is>
      </c>
      <c r="B173" s="2" t="inlineStr">
        <is>
          <t>Item 171</t>
        </is>
      </c>
      <c r="C173" s="2" t="n">
        <v>12.54</v>
      </c>
      <c r="D173" s="2" t="n">
        <v>8.640000000000001</v>
      </c>
      <c r="E173" s="2">
        <f>(C173-D173)/C173</f>
        <v/>
      </c>
    </row>
    <row r="174" ht="15" customHeight="1" s="1">
      <c r="A174" s="2" t="inlineStr">
        <is>
          <t>SKU-0172</t>
        </is>
      </c>
      <c r="B174" s="2" t="inlineStr">
        <is>
          <t>Item 172</t>
        </is>
      </c>
      <c r="C174" s="2" t="n">
        <v>293.71</v>
      </c>
      <c r="D174" s="2" t="n">
        <v>234.77</v>
      </c>
      <c r="E174" s="2">
        <f>(C174-D174)/C174</f>
        <v/>
      </c>
    </row>
    <row r="175" ht="15" customHeight="1" s="1">
      <c r="A175" s="2" t="inlineStr">
        <is>
          <t>SKU-0173</t>
        </is>
      </c>
      <c r="B175" s="2" t="inlineStr">
        <is>
          <t>Item 173</t>
        </is>
      </c>
      <c r="C175" s="2" t="n">
        <v>211.87</v>
      </c>
      <c r="D175" s="2" t="n">
        <v>88.89</v>
      </c>
      <c r="E175" s="2">
        <f>(C175-D175)/C175</f>
        <v/>
      </c>
    </row>
    <row r="176" ht="15" customHeight="1" s="1">
      <c r="A176" s="2" t="inlineStr">
        <is>
          <t>SKU-0174</t>
        </is>
      </c>
      <c r="B176" s="2" t="inlineStr">
        <is>
          <t>Item 174</t>
        </is>
      </c>
      <c r="C176" s="2" t="n">
        <v>253.41</v>
      </c>
      <c r="D176" s="2" t="n">
        <v>123.59</v>
      </c>
      <c r="E176" s="2">
        <f>(C176-D176)/C176</f>
        <v/>
      </c>
    </row>
    <row r="177" ht="15" customHeight="1" s="1">
      <c r="A177" s="2" t="inlineStr">
        <is>
          <t>SKU-0175</t>
        </is>
      </c>
      <c r="B177" s="2" t="inlineStr">
        <is>
          <t>Item 175</t>
        </is>
      </c>
      <c r="C177" s="2" t="n">
        <v>195.49</v>
      </c>
      <c r="D177" s="2" t="n">
        <v>152.66</v>
      </c>
      <c r="E177" s="2">
        <f>(C177-D177)/C177</f>
        <v/>
      </c>
    </row>
    <row r="178" ht="15" customHeight="1" s="1">
      <c r="A178" s="2" t="inlineStr">
        <is>
          <t>SKU-0176</t>
        </is>
      </c>
      <c r="B178" s="2" t="inlineStr">
        <is>
          <t>Item 176</t>
        </is>
      </c>
      <c r="C178" s="2" t="n">
        <v>215.17</v>
      </c>
      <c r="D178" s="2" t="n">
        <v>97.65000000000001</v>
      </c>
      <c r="E178" s="2">
        <f>(C178-D178)/C178</f>
        <v/>
      </c>
    </row>
    <row r="179" ht="15" customHeight="1" s="1">
      <c r="A179" s="2" t="inlineStr">
        <is>
          <t>SKU-0177</t>
        </is>
      </c>
      <c r="B179" s="2" t="inlineStr">
        <is>
          <t>Item 177</t>
        </is>
      </c>
      <c r="C179" s="2" t="n">
        <v>91.29000000000001</v>
      </c>
      <c r="D179" s="2" t="n">
        <v>70.04000000000001</v>
      </c>
      <c r="E179" s="2">
        <f>(C179-D179)/C179</f>
        <v/>
      </c>
    </row>
    <row r="180" ht="15" customHeight="1" s="1">
      <c r="A180" s="2" t="inlineStr">
        <is>
          <t>SKU-0178</t>
        </is>
      </c>
      <c r="B180" s="2" t="inlineStr">
        <is>
          <t>Item 178</t>
        </is>
      </c>
      <c r="C180" s="2" t="n">
        <v>49.17</v>
      </c>
      <c r="D180" s="2" t="n">
        <v>31.68</v>
      </c>
      <c r="E180" s="2">
        <f>(C180-D180)/C180</f>
        <v/>
      </c>
    </row>
    <row r="181" ht="15" customHeight="1" s="1">
      <c r="A181" s="2" t="inlineStr">
        <is>
          <t>SKU-0179</t>
        </is>
      </c>
      <c r="B181" s="2" t="inlineStr">
        <is>
          <t>Item 179</t>
        </is>
      </c>
      <c r="C181" s="2" t="n">
        <v>127.11</v>
      </c>
      <c r="D181" s="2" t="n">
        <v>59.04</v>
      </c>
      <c r="E181" s="2">
        <f>(C181-D181)/C181</f>
        <v/>
      </c>
    </row>
    <row r="182" ht="15" customHeight="1" s="1">
      <c r="A182" s="2" t="inlineStr">
        <is>
          <t>SKU-0180</t>
        </is>
      </c>
      <c r="B182" s="2" t="inlineStr">
        <is>
          <t>Item 180</t>
        </is>
      </c>
      <c r="C182" s="2" t="n">
        <v>188.61</v>
      </c>
      <c r="D182" s="2" t="n">
        <v>78.73</v>
      </c>
      <c r="E182" s="2">
        <f>(C182-D182)/C182</f>
        <v/>
      </c>
    </row>
    <row r="183" ht="15" customHeight="1" s="1">
      <c r="A183" s="2" t="inlineStr">
        <is>
          <t>SKU-0181</t>
        </is>
      </c>
      <c r="B183" s="2" t="inlineStr">
        <is>
          <t>Item 181</t>
        </is>
      </c>
      <c r="C183" s="2" t="n">
        <v>36.92</v>
      </c>
      <c r="D183" s="2" t="n">
        <v>20.37</v>
      </c>
      <c r="E183" s="2">
        <f>(C183-D183)/C183</f>
        <v/>
      </c>
    </row>
    <row r="184" ht="15" customHeight="1" s="1">
      <c r="A184" s="2" t="inlineStr">
        <is>
          <t>SKU-0182</t>
        </is>
      </c>
      <c r="B184" s="2" t="inlineStr">
        <is>
          <t>Item 182</t>
        </is>
      </c>
      <c r="C184" s="2" t="n">
        <v>26.24</v>
      </c>
      <c r="D184" s="2" t="n">
        <v>11.1</v>
      </c>
      <c r="E184" s="2">
        <f>(C184-D184)/C184</f>
        <v/>
      </c>
    </row>
    <row r="185" ht="15" customHeight="1" s="1">
      <c r="A185" s="2" t="inlineStr">
        <is>
          <t>SKU-0183</t>
        </is>
      </c>
      <c r="B185" s="2" t="inlineStr">
        <is>
          <t>Item 183</t>
        </is>
      </c>
      <c r="C185" s="2" t="n">
        <v>174.7</v>
      </c>
      <c r="D185" s="2" t="n">
        <v>121.75</v>
      </c>
      <c r="E185" s="2">
        <f>(C185-D185)/C185</f>
        <v/>
      </c>
    </row>
    <row r="186" ht="15" customHeight="1" s="1">
      <c r="A186" s="2" t="inlineStr">
        <is>
          <t>SKU-0184</t>
        </is>
      </c>
      <c r="B186" s="2" t="inlineStr">
        <is>
          <t>Item 184</t>
        </is>
      </c>
      <c r="C186" s="2" t="n">
        <v>264.14</v>
      </c>
      <c r="D186" s="2" t="n">
        <v>119.85</v>
      </c>
      <c r="E186" s="2">
        <f>(C186-D186)/C186</f>
        <v/>
      </c>
    </row>
    <row r="187" ht="15" customHeight="1" s="1">
      <c r="A187" s="2" t="inlineStr">
        <is>
          <t>SKU-0185</t>
        </is>
      </c>
      <c r="B187" s="2" t="inlineStr">
        <is>
          <t>Item 185</t>
        </is>
      </c>
      <c r="C187" s="2" t="n">
        <v>132.34</v>
      </c>
      <c r="D187" s="2" t="n">
        <v>69.59</v>
      </c>
      <c r="E187" s="2">
        <f>(C187-D187)/C187</f>
        <v/>
      </c>
    </row>
    <row r="188" ht="15" customHeight="1" s="1">
      <c r="A188" s="2" t="inlineStr">
        <is>
          <t>SKU-0186</t>
        </is>
      </c>
      <c r="B188" s="2" t="inlineStr">
        <is>
          <t>Item 186</t>
        </is>
      </c>
      <c r="C188" s="2" t="n">
        <v>182.06</v>
      </c>
      <c r="D188" s="2" t="n">
        <v>108.48</v>
      </c>
      <c r="E188" s="2">
        <f>(C188-D188)/C188</f>
        <v/>
      </c>
    </row>
    <row r="189" ht="15" customHeight="1" s="1">
      <c r="A189" s="2" t="inlineStr">
        <is>
          <t>SKU-0187</t>
        </is>
      </c>
      <c r="B189" s="2" t="inlineStr">
        <is>
          <t>Item 187</t>
        </is>
      </c>
      <c r="C189" s="2" t="n">
        <v>281.87</v>
      </c>
      <c r="D189" s="2" t="n">
        <v>154.94</v>
      </c>
      <c r="E189" s="2">
        <f>(C189-D189)/C189</f>
        <v/>
      </c>
    </row>
    <row r="190" ht="15" customHeight="1" s="1">
      <c r="A190" s="2" t="inlineStr">
        <is>
          <t>SKU-0188</t>
        </is>
      </c>
      <c r="B190" s="2" t="inlineStr">
        <is>
          <t>Item 188</t>
        </is>
      </c>
      <c r="C190" s="2" t="n">
        <v>21.45</v>
      </c>
      <c r="D190" s="2" t="n">
        <v>14.56</v>
      </c>
      <c r="E190" s="2">
        <f>(C190-D190)/C190</f>
        <v/>
      </c>
    </row>
    <row r="191" ht="15" customHeight="1" s="1">
      <c r="A191" s="2" t="inlineStr">
        <is>
          <t>SKU-0189</t>
        </is>
      </c>
      <c r="B191" s="2" t="inlineStr">
        <is>
          <t>Item 189</t>
        </is>
      </c>
      <c r="C191" s="2" t="n">
        <v>49.58</v>
      </c>
      <c r="D191" s="2" t="n">
        <v>32.35</v>
      </c>
      <c r="E191" s="2">
        <f>(C191-D191)/C191</f>
        <v/>
      </c>
    </row>
    <row r="192" ht="15" customHeight="1" s="1">
      <c r="A192" s="2" t="inlineStr">
        <is>
          <t>SKU-0190</t>
        </is>
      </c>
      <c r="B192" s="2" t="inlineStr">
        <is>
          <t>Item 190</t>
        </is>
      </c>
      <c r="C192" s="2" t="n">
        <v>154.22</v>
      </c>
      <c r="D192" s="2" t="n">
        <v>117.85</v>
      </c>
      <c r="E192" s="2">
        <f>(C192-D192)/C192</f>
        <v/>
      </c>
    </row>
    <row r="193" ht="15" customHeight="1" s="1">
      <c r="A193" s="2" t="inlineStr">
        <is>
          <t>SKU-0191</t>
        </is>
      </c>
      <c r="B193" s="2" t="inlineStr">
        <is>
          <t>Item 191</t>
        </is>
      </c>
      <c r="C193" s="2" t="n">
        <v>168.69</v>
      </c>
      <c r="D193" s="2" t="n">
        <v>109.37</v>
      </c>
      <c r="E193" s="2">
        <f>(C193-D193)/C193</f>
        <v/>
      </c>
    </row>
    <row r="194" ht="15" customHeight="1" s="1">
      <c r="A194" s="2" t="inlineStr">
        <is>
          <t>SKU-0192</t>
        </is>
      </c>
      <c r="B194" s="2" t="inlineStr">
        <is>
          <t>Item 192</t>
        </is>
      </c>
      <c r="C194" s="2" t="n">
        <v>82.66</v>
      </c>
      <c r="D194" s="2" t="n">
        <v>51.3</v>
      </c>
      <c r="E194" s="2">
        <f>(C194-D194)/C194</f>
        <v/>
      </c>
    </row>
    <row r="195" ht="15" customHeight="1" s="1">
      <c r="A195" s="2" t="inlineStr">
        <is>
          <t>SKU-0193</t>
        </is>
      </c>
      <c r="B195" s="2" t="inlineStr">
        <is>
          <t>Item 193</t>
        </is>
      </c>
      <c r="C195" s="2" t="n">
        <v>79.98999999999999</v>
      </c>
      <c r="D195" s="2" t="n">
        <v>56.01</v>
      </c>
      <c r="E195" s="2">
        <f>(C195-D195)/C195</f>
        <v/>
      </c>
    </row>
    <row r="196" ht="15" customHeight="1" s="1">
      <c r="A196" s="2" t="inlineStr">
        <is>
          <t>SKU-0194</t>
        </is>
      </c>
      <c r="B196" s="2" t="inlineStr">
        <is>
          <t>Item 194</t>
        </is>
      </c>
      <c r="C196" s="2" t="n">
        <v>157.51</v>
      </c>
      <c r="D196" s="2" t="n">
        <v>71.43000000000001</v>
      </c>
      <c r="E196" s="2">
        <f>(C196-D196)/C196</f>
        <v/>
      </c>
    </row>
    <row r="197" ht="15" customHeight="1" s="1">
      <c r="A197" s="2" t="inlineStr">
        <is>
          <t>SKU-0195</t>
        </is>
      </c>
      <c r="B197" s="2" t="inlineStr">
        <is>
          <t>Item 195</t>
        </is>
      </c>
      <c r="C197" s="2" t="n">
        <v>74.15000000000001</v>
      </c>
      <c r="D197" s="2" t="n">
        <v>40.67</v>
      </c>
      <c r="E197" s="2">
        <f>(C197-D197)/C197</f>
        <v/>
      </c>
    </row>
    <row r="198" ht="15" customHeight="1" s="1">
      <c r="A198" s="2" t="inlineStr">
        <is>
          <t>SKU-0196</t>
        </is>
      </c>
      <c r="B198" s="2" t="inlineStr">
        <is>
          <t>Item 196</t>
        </is>
      </c>
      <c r="C198" s="2" t="n">
        <v>222.34</v>
      </c>
      <c r="D198" s="2" t="n">
        <v>104.88</v>
      </c>
      <c r="E198" s="2">
        <f>(C198-D198)/C198</f>
        <v/>
      </c>
    </row>
    <row r="199" ht="15" customHeight="1" s="1">
      <c r="A199" s="2" t="inlineStr">
        <is>
          <t>SKU-0197</t>
        </is>
      </c>
      <c r="B199" s="2" t="inlineStr">
        <is>
          <t>Item 197</t>
        </is>
      </c>
      <c r="C199" s="2" t="n">
        <v>215.42</v>
      </c>
      <c r="D199" s="2" t="n">
        <v>142.61</v>
      </c>
      <c r="E199" s="2">
        <f>(C199-D199)/C199</f>
        <v/>
      </c>
    </row>
    <row r="200" ht="15" customHeight="1" s="1">
      <c r="A200" s="2" t="inlineStr">
        <is>
          <t>SKU-0198</t>
        </is>
      </c>
      <c r="B200" s="2" t="inlineStr">
        <is>
          <t>Item 198</t>
        </is>
      </c>
      <c r="C200" s="2" t="n">
        <v>30.15</v>
      </c>
      <c r="D200" s="2" t="n">
        <v>20.12</v>
      </c>
      <c r="E200" s="2">
        <f>(C200-D200)/C200</f>
        <v/>
      </c>
    </row>
    <row r="201" ht="15" customHeight="1" s="1">
      <c r="A201" s="2" t="inlineStr">
        <is>
          <t>SKU-0199</t>
        </is>
      </c>
      <c r="B201" s="2" t="inlineStr">
        <is>
          <t>Item 199</t>
        </is>
      </c>
      <c r="C201" s="2" t="n">
        <v>31.9</v>
      </c>
      <c r="D201" s="2" t="n">
        <v>14.35</v>
      </c>
      <c r="E201" s="2">
        <f>(C201-D201)/C201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5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">
      <c r="A1" s="2" t="inlineStr">
        <is>
          <t>order</t>
        </is>
      </c>
      <c r="B1" s="2" t="inlineStr">
        <is>
          <t>sku</t>
        </is>
      </c>
      <c r="C1" s="2" t="inlineStr">
        <is>
          <t>qty</t>
        </is>
      </c>
      <c r="D1" s="2" t="inlineStr">
        <is>
          <t>unit price</t>
        </is>
      </c>
      <c r="E1" s="2" t="inlineStr">
        <is>
          <t>line total</t>
        </is>
      </c>
      <c r="F1" s="2" t="inlineStr">
        <is>
          <t>cost</t>
        </is>
      </c>
      <c r="G1" s="2" t="inlineStr">
        <is>
          <t>profit</t>
        </is>
      </c>
    </row>
    <row r="2" ht="15" customHeight="1" s="1">
      <c r="A2" s="2" t="n">
        <v>50000</v>
      </c>
      <c r="B2" s="2" t="inlineStr">
        <is>
          <t>SKU-0152</t>
        </is>
      </c>
      <c r="C2" s="2" t="n">
        <v>15</v>
      </c>
      <c r="D2" s="2">
        <f>VLOOKUP(B2,Products!$A$2:$D$201,3,FALSE())</f>
        <v/>
      </c>
      <c r="E2" s="2">
        <f>C2*D2</f>
        <v/>
      </c>
      <c r="F2" s="2">
        <f>C2*INDEX(Products!$D$2:$D$201,MATCH(B2,Products!$A$2:$A$201,0))</f>
        <v/>
      </c>
      <c r="G2" s="2">
        <f>E2-F2</f>
        <v/>
      </c>
    </row>
    <row r="3" ht="15" customHeight="1" s="1">
      <c r="A3" s="2" t="n">
        <v>50001</v>
      </c>
      <c r="B3" s="2" t="inlineStr">
        <is>
          <t>SKU-0061</t>
        </is>
      </c>
      <c r="C3" s="2" t="n">
        <v>13</v>
      </c>
      <c r="D3" s="2">
        <f>VLOOKUP(B3,Products!$A$2:$D$201,3,FALSE())</f>
        <v/>
      </c>
      <c r="E3" s="2">
        <f>C3*D3</f>
        <v/>
      </c>
      <c r="F3" s="2">
        <f>C3*INDEX(Products!$D$2:$D$201,MATCH(B3,Products!$A$2:$A$201,0))</f>
        <v/>
      </c>
      <c r="G3" s="2">
        <f>E3-F3</f>
        <v/>
      </c>
    </row>
    <row r="4" ht="15" customHeight="1" s="1">
      <c r="A4" s="2" t="n">
        <v>50002</v>
      </c>
      <c r="B4" s="2" t="inlineStr">
        <is>
          <t>SKU-0118</t>
        </is>
      </c>
      <c r="C4" s="2" t="n">
        <v>16</v>
      </c>
      <c r="D4" s="2">
        <f>VLOOKUP(B4,Products!$A$2:$D$201,3,FALSE())</f>
        <v/>
      </c>
      <c r="E4" s="2">
        <f>C4*D4</f>
        <v/>
      </c>
      <c r="F4" s="2">
        <f>C4*INDEX(Products!$D$2:$D$201,MATCH(B4,Products!$A$2:$A$201,0))</f>
        <v/>
      </c>
      <c r="G4" s="2">
        <f>E4-F4</f>
        <v/>
      </c>
    </row>
    <row r="5" ht="15" customHeight="1" s="1">
      <c r="A5" s="2" t="n">
        <v>50003</v>
      </c>
      <c r="B5" s="2" t="inlineStr">
        <is>
          <t>SKU-0082</t>
        </is>
      </c>
      <c r="C5" s="2" t="n">
        <v>4</v>
      </c>
      <c r="D5" s="2">
        <f>VLOOKUP(B5,Products!$A$2:$D$201,3,FALSE())</f>
        <v/>
      </c>
      <c r="E5" s="2">
        <f>C5*D5</f>
        <v/>
      </c>
      <c r="F5" s="2">
        <f>C5*INDEX(Products!$D$2:$D$201,MATCH(B5,Products!$A$2:$A$201,0))</f>
        <v/>
      </c>
      <c r="G5" s="2">
        <f>E5-F5</f>
        <v/>
      </c>
    </row>
    <row r="6" ht="15" customHeight="1" s="1">
      <c r="A6" s="2" t="n">
        <v>50004</v>
      </c>
      <c r="B6" s="2" t="inlineStr">
        <is>
          <t>SKU-0135</t>
        </is>
      </c>
      <c r="C6" s="2" t="n">
        <v>1</v>
      </c>
      <c r="D6" s="2">
        <f>VLOOKUP(B6,Products!$A$2:$D$201,3,FALSE())</f>
        <v/>
      </c>
      <c r="E6" s="2">
        <f>C6*D6</f>
        <v/>
      </c>
      <c r="F6" s="2">
        <f>C6*INDEX(Products!$D$2:$D$201,MATCH(B6,Products!$A$2:$A$201,0))</f>
        <v/>
      </c>
      <c r="G6" s="2">
        <f>E6-F6</f>
        <v/>
      </c>
    </row>
    <row r="7" ht="15" customHeight="1" s="1">
      <c r="A7" s="2" t="n">
        <v>50005</v>
      </c>
      <c r="B7" s="2" t="inlineStr">
        <is>
          <t>SKU-0138</t>
        </is>
      </c>
      <c r="C7" s="2" t="n">
        <v>13</v>
      </c>
      <c r="D7" s="2">
        <f>VLOOKUP(B7,Products!$A$2:$D$201,3,FALSE())</f>
        <v/>
      </c>
      <c r="E7" s="2">
        <f>C7*D7</f>
        <v/>
      </c>
      <c r="F7" s="2">
        <f>C7*INDEX(Products!$D$2:$D$201,MATCH(B7,Products!$A$2:$A$201,0))</f>
        <v/>
      </c>
      <c r="G7" s="2">
        <f>E7-F7</f>
        <v/>
      </c>
    </row>
    <row r="8" ht="15" customHeight="1" s="1">
      <c r="A8" s="2" t="n">
        <v>50006</v>
      </c>
      <c r="B8" s="2" t="inlineStr">
        <is>
          <t>SKU-0013</t>
        </is>
      </c>
      <c r="C8" s="2" t="n">
        <v>5</v>
      </c>
      <c r="D8" s="2">
        <f>VLOOKUP(B8,Products!$A$2:$D$201,3,FALSE())</f>
        <v/>
      </c>
      <c r="E8" s="2">
        <f>C8*D8</f>
        <v/>
      </c>
      <c r="F8" s="2">
        <f>C8*INDEX(Products!$D$2:$D$201,MATCH(B8,Products!$A$2:$A$201,0))</f>
        <v/>
      </c>
      <c r="G8" s="2">
        <f>E8-F8</f>
        <v/>
      </c>
    </row>
    <row r="9" ht="15" customHeight="1" s="1">
      <c r="A9" s="2" t="n">
        <v>50007</v>
      </c>
      <c r="B9" s="2" t="inlineStr">
        <is>
          <t>SKU-0109</t>
        </is>
      </c>
      <c r="C9" s="2" t="n">
        <v>8</v>
      </c>
      <c r="D9" s="2">
        <f>VLOOKUP(B9,Products!$A$2:$D$201,3,FALSE())</f>
        <v/>
      </c>
      <c r="E9" s="2">
        <f>C9*D9</f>
        <v/>
      </c>
      <c r="F9" s="2">
        <f>C9*INDEX(Products!$D$2:$D$201,MATCH(B9,Products!$A$2:$A$201,0))</f>
        <v/>
      </c>
      <c r="G9" s="2">
        <f>E9-F9</f>
        <v/>
      </c>
    </row>
    <row r="10" ht="15" customHeight="1" s="1">
      <c r="A10" s="2" t="n">
        <v>50008</v>
      </c>
      <c r="B10" s="2" t="inlineStr">
        <is>
          <t>SKU-0191</t>
        </is>
      </c>
      <c r="C10" s="2" t="n">
        <v>4</v>
      </c>
      <c r="D10" s="2">
        <f>VLOOKUP(B10,Products!$A$2:$D$201,3,FALSE())</f>
        <v/>
      </c>
      <c r="E10" s="2">
        <f>C10*D10</f>
        <v/>
      </c>
      <c r="F10" s="2">
        <f>C10*INDEX(Products!$D$2:$D$201,MATCH(B10,Products!$A$2:$A$201,0))</f>
        <v/>
      </c>
      <c r="G10" s="2">
        <f>E10-F10</f>
        <v/>
      </c>
    </row>
    <row r="11" ht="15" customHeight="1" s="1">
      <c r="A11" s="2" t="n">
        <v>50009</v>
      </c>
      <c r="B11" s="2" t="inlineStr">
        <is>
          <t>SKU-0021</t>
        </is>
      </c>
      <c r="C11" s="2" t="n">
        <v>16</v>
      </c>
      <c r="D11" s="2">
        <f>VLOOKUP(B11,Products!$A$2:$D$201,3,FALSE())</f>
        <v/>
      </c>
      <c r="E11" s="2">
        <f>C11*D11</f>
        <v/>
      </c>
      <c r="F11" s="2">
        <f>C11*INDEX(Products!$D$2:$D$201,MATCH(B11,Products!$A$2:$A$201,0))</f>
        <v/>
      </c>
      <c r="G11" s="2">
        <f>E11-F11</f>
        <v/>
      </c>
    </row>
    <row r="12" ht="15" customHeight="1" s="1">
      <c r="A12" s="2" t="n">
        <v>50010</v>
      </c>
      <c r="B12" s="2" t="inlineStr">
        <is>
          <t>SKU-0054</t>
        </is>
      </c>
      <c r="C12" s="2" t="n">
        <v>5</v>
      </c>
      <c r="D12" s="2">
        <f>VLOOKUP(B12,Products!$A$2:$D$201,3,FALSE())</f>
        <v/>
      </c>
      <c r="E12" s="2">
        <f>C12*D12</f>
        <v/>
      </c>
      <c r="F12" s="2">
        <f>C12*INDEX(Products!$D$2:$D$201,MATCH(B12,Products!$A$2:$A$201,0))</f>
        <v/>
      </c>
      <c r="G12" s="2">
        <f>E12-F12</f>
        <v/>
      </c>
    </row>
    <row r="13" ht="15" customHeight="1" s="1">
      <c r="A13" s="2" t="n">
        <v>50011</v>
      </c>
      <c r="B13" s="2" t="inlineStr">
        <is>
          <t>SKU-0179</t>
        </is>
      </c>
      <c r="C13" s="2" t="n">
        <v>20</v>
      </c>
      <c r="D13" s="2">
        <f>VLOOKUP(B13,Products!$A$2:$D$201,3,FALSE())</f>
        <v/>
      </c>
      <c r="E13" s="2">
        <f>C13*D13</f>
        <v/>
      </c>
      <c r="F13" s="2">
        <f>C13*INDEX(Products!$D$2:$D$201,MATCH(B13,Products!$A$2:$A$201,0))</f>
        <v/>
      </c>
      <c r="G13" s="2">
        <f>E13-F13</f>
        <v/>
      </c>
    </row>
    <row r="14" ht="15" customHeight="1" s="1">
      <c r="A14" s="2" t="n">
        <v>50012</v>
      </c>
      <c r="B14" s="2" t="inlineStr">
        <is>
          <t>SKU-0096</t>
        </is>
      </c>
      <c r="C14" s="2" t="n">
        <v>12</v>
      </c>
      <c r="D14" s="2">
        <f>VLOOKUP(B14,Products!$A$2:$D$201,3,FALSE())</f>
        <v/>
      </c>
      <c r="E14" s="2">
        <f>C14*D14</f>
        <v/>
      </c>
      <c r="F14" s="2">
        <f>C14*INDEX(Products!$D$2:$D$201,MATCH(B14,Products!$A$2:$A$201,0))</f>
        <v/>
      </c>
      <c r="G14" s="2">
        <f>E14-F14</f>
        <v/>
      </c>
    </row>
    <row r="15" ht="15" customHeight="1" s="1">
      <c r="A15" s="2" t="n">
        <v>50013</v>
      </c>
      <c r="B15" s="2" t="inlineStr">
        <is>
          <t>SKU-0060</t>
        </is>
      </c>
      <c r="C15" s="2" t="n">
        <v>10</v>
      </c>
      <c r="D15" s="2">
        <f>VLOOKUP(B15,Products!$A$2:$D$201,3,FALSE())</f>
        <v/>
      </c>
      <c r="E15" s="2">
        <f>C15*D15</f>
        <v/>
      </c>
      <c r="F15" s="2">
        <f>C15*INDEX(Products!$D$2:$D$201,MATCH(B15,Products!$A$2:$A$201,0))</f>
        <v/>
      </c>
      <c r="G15" s="2">
        <f>E15-F15</f>
        <v/>
      </c>
    </row>
    <row r="16" ht="15" customHeight="1" s="1">
      <c r="A16" s="2" t="n">
        <v>50014</v>
      </c>
      <c r="B16" s="2" t="inlineStr">
        <is>
          <t>SKU-0085</t>
        </is>
      </c>
      <c r="C16" s="2" t="n">
        <v>20</v>
      </c>
      <c r="D16" s="2">
        <f>VLOOKUP(B16,Products!$A$2:$D$201,3,FALSE())</f>
        <v/>
      </c>
      <c r="E16" s="2">
        <f>C16*D16</f>
        <v/>
      </c>
      <c r="F16" s="2">
        <f>C16*INDEX(Products!$D$2:$D$201,MATCH(B16,Products!$A$2:$A$201,0))</f>
        <v/>
      </c>
      <c r="G16" s="2">
        <f>E16-F16</f>
        <v/>
      </c>
    </row>
    <row r="17" ht="15" customHeight="1" s="1">
      <c r="A17" s="2" t="n">
        <v>50015</v>
      </c>
      <c r="B17" s="2" t="inlineStr">
        <is>
          <t>SKU-0180</t>
        </is>
      </c>
      <c r="C17" s="2" t="n">
        <v>12</v>
      </c>
      <c r="D17" s="2">
        <f>VLOOKUP(B17,Products!$A$2:$D$201,3,FALSE())</f>
        <v/>
      </c>
      <c r="E17" s="2">
        <f>C17*D17</f>
        <v/>
      </c>
      <c r="F17" s="2">
        <f>C17*INDEX(Products!$D$2:$D$201,MATCH(B17,Products!$A$2:$A$201,0))</f>
        <v/>
      </c>
      <c r="G17" s="2">
        <f>E17-F17</f>
        <v/>
      </c>
    </row>
    <row r="18" ht="15" customHeight="1" s="1">
      <c r="A18" s="2" t="n">
        <v>50016</v>
      </c>
      <c r="B18" s="2" t="inlineStr">
        <is>
          <t>SKU-0098</t>
        </is>
      </c>
      <c r="C18" s="2" t="n">
        <v>13</v>
      </c>
      <c r="D18" s="2">
        <f>VLOOKUP(B18,Products!$A$2:$D$201,3,FALSE())</f>
        <v/>
      </c>
      <c r="E18" s="2">
        <f>C18*D18</f>
        <v/>
      </c>
      <c r="F18" s="2">
        <f>C18*INDEX(Products!$D$2:$D$201,MATCH(B18,Products!$A$2:$A$201,0))</f>
        <v/>
      </c>
      <c r="G18" s="2">
        <f>E18-F18</f>
        <v/>
      </c>
    </row>
    <row r="19" ht="15" customHeight="1" s="1">
      <c r="A19" s="2" t="n">
        <v>50017</v>
      </c>
      <c r="B19" s="2" t="inlineStr">
        <is>
          <t>SKU-0034</t>
        </is>
      </c>
      <c r="C19" s="2" t="n">
        <v>12</v>
      </c>
      <c r="D19" s="2">
        <f>VLOOKUP(B19,Products!$A$2:$D$201,3,FALSE())</f>
        <v/>
      </c>
      <c r="E19" s="2">
        <f>C19*D19</f>
        <v/>
      </c>
      <c r="F19" s="2">
        <f>C19*INDEX(Products!$D$2:$D$201,MATCH(B19,Products!$A$2:$A$201,0))</f>
        <v/>
      </c>
      <c r="G19" s="2">
        <f>E19-F19</f>
        <v/>
      </c>
    </row>
    <row r="20" ht="15" customHeight="1" s="1">
      <c r="A20" s="2" t="n">
        <v>50018</v>
      </c>
      <c r="B20" s="2" t="inlineStr">
        <is>
          <t>SKU-0165</t>
        </is>
      </c>
      <c r="C20" s="2" t="n">
        <v>10</v>
      </c>
      <c r="D20" s="2">
        <f>VLOOKUP(B20,Products!$A$2:$D$201,3,FALSE())</f>
        <v/>
      </c>
      <c r="E20" s="2">
        <f>C20*D20</f>
        <v/>
      </c>
      <c r="F20" s="2">
        <f>C20*INDEX(Products!$D$2:$D$201,MATCH(B20,Products!$A$2:$A$201,0))</f>
        <v/>
      </c>
      <c r="G20" s="2">
        <f>E20-F20</f>
        <v/>
      </c>
    </row>
    <row r="21" ht="15" customHeight="1" s="1">
      <c r="A21" s="2" t="n">
        <v>50019</v>
      </c>
      <c r="B21" s="2" t="inlineStr">
        <is>
          <t>SKU-0161</t>
        </is>
      </c>
      <c r="C21" s="2" t="n">
        <v>14</v>
      </c>
      <c r="D21" s="2">
        <f>VLOOKUP(B21,Products!$A$2:$D$201,3,FALSE())</f>
        <v/>
      </c>
      <c r="E21" s="2">
        <f>C21*D21</f>
        <v/>
      </c>
      <c r="F21" s="2">
        <f>C21*INDEX(Products!$D$2:$D$201,MATCH(B21,Products!$A$2:$A$201,0))</f>
        <v/>
      </c>
      <c r="G21" s="2">
        <f>E21-F21</f>
        <v/>
      </c>
    </row>
    <row r="22" ht="15" customHeight="1" s="1">
      <c r="A22" s="2" t="n">
        <v>50020</v>
      </c>
      <c r="B22" s="2" t="inlineStr">
        <is>
          <t>SKU-0092</t>
        </is>
      </c>
      <c r="C22" s="2" t="n">
        <v>17</v>
      </c>
      <c r="D22" s="2">
        <f>VLOOKUP(B22,Products!$A$2:$D$201,3,FALSE())</f>
        <v/>
      </c>
      <c r="E22" s="2">
        <f>C22*D22</f>
        <v/>
      </c>
      <c r="F22" s="2">
        <f>C22*INDEX(Products!$D$2:$D$201,MATCH(B22,Products!$A$2:$A$201,0))</f>
        <v/>
      </c>
      <c r="G22" s="2">
        <f>E22-F22</f>
        <v/>
      </c>
    </row>
    <row r="23" ht="15" customHeight="1" s="1">
      <c r="A23" s="2" t="n">
        <v>50021</v>
      </c>
      <c r="B23" s="2" t="inlineStr">
        <is>
          <t>SKU-0009</t>
        </is>
      </c>
      <c r="C23" s="2" t="n">
        <v>19</v>
      </c>
      <c r="D23" s="2">
        <f>VLOOKUP(B23,Products!$A$2:$D$201,3,FALSE())</f>
        <v/>
      </c>
      <c r="E23" s="2">
        <f>C23*D23</f>
        <v/>
      </c>
      <c r="F23" s="2">
        <f>C23*INDEX(Products!$D$2:$D$201,MATCH(B23,Products!$A$2:$A$201,0))</f>
        <v/>
      </c>
      <c r="G23" s="2">
        <f>E23-F23</f>
        <v/>
      </c>
    </row>
    <row r="24" ht="15" customHeight="1" s="1">
      <c r="A24" s="2" t="n">
        <v>50022</v>
      </c>
      <c r="B24" s="2" t="inlineStr">
        <is>
          <t>SKU-0146</t>
        </is>
      </c>
      <c r="C24" s="2" t="n">
        <v>7</v>
      </c>
      <c r="D24" s="2">
        <f>VLOOKUP(B24,Products!$A$2:$D$201,3,FALSE())</f>
        <v/>
      </c>
      <c r="E24" s="2">
        <f>C24*D24</f>
        <v/>
      </c>
      <c r="F24" s="2">
        <f>C24*INDEX(Products!$D$2:$D$201,MATCH(B24,Products!$A$2:$A$201,0))</f>
        <v/>
      </c>
      <c r="G24" s="2">
        <f>E24-F24</f>
        <v/>
      </c>
    </row>
    <row r="25" ht="15" customHeight="1" s="1">
      <c r="A25" s="2" t="n">
        <v>50023</v>
      </c>
      <c r="B25" s="2" t="inlineStr">
        <is>
          <t>SKU-0189</t>
        </is>
      </c>
      <c r="C25" s="2" t="n">
        <v>6</v>
      </c>
      <c r="D25" s="2">
        <f>VLOOKUP(B25,Products!$A$2:$D$201,3,FALSE())</f>
        <v/>
      </c>
      <c r="E25" s="2">
        <f>C25*D25</f>
        <v/>
      </c>
      <c r="F25" s="2">
        <f>C25*INDEX(Products!$D$2:$D$201,MATCH(B25,Products!$A$2:$A$201,0))</f>
        <v/>
      </c>
      <c r="G25" s="2">
        <f>E25-F25</f>
        <v/>
      </c>
    </row>
    <row r="26" ht="15" customHeight="1" s="1">
      <c r="A26" s="2" t="n">
        <v>50024</v>
      </c>
      <c r="B26" s="2" t="inlineStr">
        <is>
          <t>SKU-0101</t>
        </is>
      </c>
      <c r="C26" s="2" t="n">
        <v>3</v>
      </c>
      <c r="D26" s="2">
        <f>VLOOKUP(B26,Products!$A$2:$D$201,3,FALSE())</f>
        <v/>
      </c>
      <c r="E26" s="2">
        <f>C26*D26</f>
        <v/>
      </c>
      <c r="F26" s="2">
        <f>C26*INDEX(Products!$D$2:$D$201,MATCH(B26,Products!$A$2:$A$201,0))</f>
        <v/>
      </c>
      <c r="G26" s="2">
        <f>E26-F26</f>
        <v/>
      </c>
    </row>
    <row r="27" ht="15" customHeight="1" s="1">
      <c r="A27" s="2" t="n">
        <v>50025</v>
      </c>
      <c r="B27" s="2" t="inlineStr">
        <is>
          <t>SKU-0024</t>
        </is>
      </c>
      <c r="C27" s="2" t="n">
        <v>2</v>
      </c>
      <c r="D27" s="2">
        <f>VLOOKUP(B27,Products!$A$2:$D$201,3,FALSE())</f>
        <v/>
      </c>
      <c r="E27" s="2">
        <f>C27*D27</f>
        <v/>
      </c>
      <c r="F27" s="2">
        <f>C27*INDEX(Products!$D$2:$D$201,MATCH(B27,Products!$A$2:$A$201,0))</f>
        <v/>
      </c>
      <c r="G27" s="2">
        <f>E27-F27</f>
        <v/>
      </c>
    </row>
    <row r="28" ht="15" customHeight="1" s="1">
      <c r="A28" s="2" t="n">
        <v>50026</v>
      </c>
      <c r="B28" s="2" t="inlineStr">
        <is>
          <t>SKU-0008</t>
        </is>
      </c>
      <c r="C28" s="2" t="n">
        <v>6</v>
      </c>
      <c r="D28" s="2">
        <f>VLOOKUP(B28,Products!$A$2:$D$201,3,FALSE())</f>
        <v/>
      </c>
      <c r="E28" s="2">
        <f>C28*D28</f>
        <v/>
      </c>
      <c r="F28" s="2">
        <f>C28*INDEX(Products!$D$2:$D$201,MATCH(B28,Products!$A$2:$A$201,0))</f>
        <v/>
      </c>
      <c r="G28" s="2">
        <f>E28-F28</f>
        <v/>
      </c>
    </row>
    <row r="29" ht="15" customHeight="1" s="1">
      <c r="A29" s="2" t="n">
        <v>50027</v>
      </c>
      <c r="B29" s="2" t="inlineStr">
        <is>
          <t>SKU-0051</t>
        </is>
      </c>
      <c r="C29" s="2" t="n">
        <v>7</v>
      </c>
      <c r="D29" s="2">
        <f>VLOOKUP(B29,Products!$A$2:$D$201,3,FALSE())</f>
        <v/>
      </c>
      <c r="E29" s="2">
        <f>C29*D29</f>
        <v/>
      </c>
      <c r="F29" s="2">
        <f>C29*INDEX(Products!$D$2:$D$201,MATCH(B29,Products!$A$2:$A$201,0))</f>
        <v/>
      </c>
      <c r="G29" s="2">
        <f>E29-F29</f>
        <v/>
      </c>
    </row>
    <row r="30" ht="15" customHeight="1" s="1">
      <c r="A30" s="2" t="n">
        <v>50028</v>
      </c>
      <c r="B30" s="2" t="inlineStr">
        <is>
          <t>SKU-0010</t>
        </is>
      </c>
      <c r="C30" s="2" t="n">
        <v>16</v>
      </c>
      <c r="D30" s="2">
        <f>VLOOKUP(B30,Products!$A$2:$D$201,3,FALSE())</f>
        <v/>
      </c>
      <c r="E30" s="2">
        <f>C30*D30</f>
        <v/>
      </c>
      <c r="F30" s="2">
        <f>C30*INDEX(Products!$D$2:$D$201,MATCH(B30,Products!$A$2:$A$201,0))</f>
        <v/>
      </c>
      <c r="G30" s="2">
        <f>E30-F30</f>
        <v/>
      </c>
    </row>
    <row r="31" ht="15" customHeight="1" s="1">
      <c r="A31" s="2" t="n">
        <v>50029</v>
      </c>
      <c r="B31" s="2" t="inlineStr">
        <is>
          <t>SKU-0123</t>
        </is>
      </c>
      <c r="C31" s="2" t="n">
        <v>12</v>
      </c>
      <c r="D31" s="2">
        <f>VLOOKUP(B31,Products!$A$2:$D$201,3,FALSE())</f>
        <v/>
      </c>
      <c r="E31" s="2">
        <f>C31*D31</f>
        <v/>
      </c>
      <c r="F31" s="2">
        <f>C31*INDEX(Products!$D$2:$D$201,MATCH(B31,Products!$A$2:$A$201,0))</f>
        <v/>
      </c>
      <c r="G31" s="2">
        <f>E31-F31</f>
        <v/>
      </c>
    </row>
    <row r="32" ht="15" customHeight="1" s="1">
      <c r="A32" s="2" t="n">
        <v>50030</v>
      </c>
      <c r="B32" s="2" t="inlineStr">
        <is>
          <t>SKU-0000</t>
        </is>
      </c>
      <c r="C32" s="2" t="n">
        <v>14</v>
      </c>
      <c r="D32" s="2">
        <f>VLOOKUP(B32,Products!$A$2:$D$201,3,FALSE())</f>
        <v/>
      </c>
      <c r="E32" s="2">
        <f>C32*D32</f>
        <v/>
      </c>
      <c r="F32" s="2">
        <f>C32*INDEX(Products!$D$2:$D$201,MATCH(B32,Products!$A$2:$A$201,0))</f>
        <v/>
      </c>
      <c r="G32" s="2">
        <f>E32-F32</f>
        <v/>
      </c>
    </row>
    <row r="33" ht="15" customHeight="1" s="1">
      <c r="A33" s="2" t="n">
        <v>50031</v>
      </c>
      <c r="B33" s="2" t="inlineStr">
        <is>
          <t>SKU-0120</t>
        </is>
      </c>
      <c r="C33" s="2" t="n">
        <v>10</v>
      </c>
      <c r="D33" s="2">
        <f>VLOOKUP(B33,Products!$A$2:$D$201,3,FALSE())</f>
        <v/>
      </c>
      <c r="E33" s="2">
        <f>C33*D33</f>
        <v/>
      </c>
      <c r="F33" s="2">
        <f>C33*INDEX(Products!$D$2:$D$201,MATCH(B33,Products!$A$2:$A$201,0))</f>
        <v/>
      </c>
      <c r="G33" s="2">
        <f>E33-F33</f>
        <v/>
      </c>
    </row>
    <row r="34" ht="15" customHeight="1" s="1">
      <c r="A34" s="2" t="n">
        <v>50032</v>
      </c>
      <c r="B34" s="2" t="inlineStr">
        <is>
          <t>SKU-0158</t>
        </is>
      </c>
      <c r="C34" s="2" t="n">
        <v>14</v>
      </c>
      <c r="D34" s="2">
        <f>VLOOKUP(B34,Products!$A$2:$D$201,3,FALSE())</f>
        <v/>
      </c>
      <c r="E34" s="2">
        <f>C34*D34</f>
        <v/>
      </c>
      <c r="F34" s="2">
        <f>C34*INDEX(Products!$D$2:$D$201,MATCH(B34,Products!$A$2:$A$201,0))</f>
        <v/>
      </c>
      <c r="G34" s="2">
        <f>E34-F34</f>
        <v/>
      </c>
    </row>
    <row r="35" ht="15" customHeight="1" s="1">
      <c r="A35" s="2" t="n">
        <v>50033</v>
      </c>
      <c r="B35" s="2" t="inlineStr">
        <is>
          <t>SKU-0082</t>
        </is>
      </c>
      <c r="C35" s="2" t="n">
        <v>15</v>
      </c>
      <c r="D35" s="2">
        <f>VLOOKUP(B35,Products!$A$2:$D$201,3,FALSE())</f>
        <v/>
      </c>
      <c r="E35" s="2">
        <f>C35*D35</f>
        <v/>
      </c>
      <c r="F35" s="2">
        <f>C35*INDEX(Products!$D$2:$D$201,MATCH(B35,Products!$A$2:$A$201,0))</f>
        <v/>
      </c>
      <c r="G35" s="2">
        <f>E35-F35</f>
        <v/>
      </c>
    </row>
    <row r="36" ht="15" customHeight="1" s="1">
      <c r="A36" s="2" t="n">
        <v>50034</v>
      </c>
      <c r="B36" s="2" t="inlineStr">
        <is>
          <t>SKU-0118</t>
        </is>
      </c>
      <c r="C36" s="2" t="n">
        <v>4</v>
      </c>
      <c r="D36" s="2">
        <f>VLOOKUP(B36,Products!$A$2:$D$201,3,FALSE())</f>
        <v/>
      </c>
      <c r="E36" s="2">
        <f>C36*D36</f>
        <v/>
      </c>
      <c r="F36" s="2">
        <f>C36*INDEX(Products!$D$2:$D$201,MATCH(B36,Products!$A$2:$A$201,0))</f>
        <v/>
      </c>
      <c r="G36" s="2">
        <f>E36-F36</f>
        <v/>
      </c>
    </row>
    <row r="37" ht="15" customHeight="1" s="1">
      <c r="A37" s="2" t="n">
        <v>50035</v>
      </c>
      <c r="B37" s="2" t="inlineStr">
        <is>
          <t>SKU-0049</t>
        </is>
      </c>
      <c r="C37" s="2" t="n">
        <v>5</v>
      </c>
      <c r="D37" s="2">
        <f>VLOOKUP(B37,Products!$A$2:$D$201,3,FALSE())</f>
        <v/>
      </c>
      <c r="E37" s="2">
        <f>C37*D37</f>
        <v/>
      </c>
      <c r="F37" s="2">
        <f>C37*INDEX(Products!$D$2:$D$201,MATCH(B37,Products!$A$2:$A$201,0))</f>
        <v/>
      </c>
      <c r="G37" s="2">
        <f>E37-F37</f>
        <v/>
      </c>
    </row>
    <row r="38" ht="15" customHeight="1" s="1">
      <c r="A38" s="2" t="n">
        <v>50036</v>
      </c>
      <c r="B38" s="2" t="inlineStr">
        <is>
          <t>SKU-0167</t>
        </is>
      </c>
      <c r="C38" s="2" t="n">
        <v>6</v>
      </c>
      <c r="D38" s="2">
        <f>VLOOKUP(B38,Products!$A$2:$D$201,3,FALSE())</f>
        <v/>
      </c>
      <c r="E38" s="2">
        <f>C38*D38</f>
        <v/>
      </c>
      <c r="F38" s="2">
        <f>C38*INDEX(Products!$D$2:$D$201,MATCH(B38,Products!$A$2:$A$201,0))</f>
        <v/>
      </c>
      <c r="G38" s="2">
        <f>E38-F38</f>
        <v/>
      </c>
    </row>
    <row r="39" ht="15" customHeight="1" s="1">
      <c r="A39" s="2" t="n">
        <v>50037</v>
      </c>
      <c r="B39" s="2" t="inlineStr">
        <is>
          <t>SKU-0018</t>
        </is>
      </c>
      <c r="C39" s="2" t="n">
        <v>12</v>
      </c>
      <c r="D39" s="2">
        <f>VLOOKUP(B39,Products!$A$2:$D$201,3,FALSE())</f>
        <v/>
      </c>
      <c r="E39" s="2">
        <f>C39*D39</f>
        <v/>
      </c>
      <c r="F39" s="2">
        <f>C39*INDEX(Products!$D$2:$D$201,MATCH(B39,Products!$A$2:$A$201,0))</f>
        <v/>
      </c>
      <c r="G39" s="2">
        <f>E39-F39</f>
        <v/>
      </c>
    </row>
    <row r="40" ht="15" customHeight="1" s="1">
      <c r="A40" s="2" t="n">
        <v>50038</v>
      </c>
      <c r="B40" s="2" t="inlineStr">
        <is>
          <t>SKU-0098</t>
        </is>
      </c>
      <c r="C40" s="2" t="n">
        <v>16</v>
      </c>
      <c r="D40" s="2">
        <f>VLOOKUP(B40,Products!$A$2:$D$201,3,FALSE())</f>
        <v/>
      </c>
      <c r="E40" s="2">
        <f>C40*D40</f>
        <v/>
      </c>
      <c r="F40" s="2">
        <f>C40*INDEX(Products!$D$2:$D$201,MATCH(B40,Products!$A$2:$A$201,0))</f>
        <v/>
      </c>
      <c r="G40" s="2">
        <f>E40-F40</f>
        <v/>
      </c>
    </row>
    <row r="41" ht="15" customHeight="1" s="1">
      <c r="A41" s="2" t="n">
        <v>50039</v>
      </c>
      <c r="B41" s="2" t="inlineStr">
        <is>
          <t>SKU-0038</t>
        </is>
      </c>
      <c r="C41" s="2" t="n">
        <v>18</v>
      </c>
      <c r="D41" s="2">
        <f>VLOOKUP(B41,Products!$A$2:$D$201,3,FALSE())</f>
        <v/>
      </c>
      <c r="E41" s="2">
        <f>C41*D41</f>
        <v/>
      </c>
      <c r="F41" s="2">
        <f>C41*INDEX(Products!$D$2:$D$201,MATCH(B41,Products!$A$2:$A$201,0))</f>
        <v/>
      </c>
      <c r="G41" s="2">
        <f>E41-F41</f>
        <v/>
      </c>
    </row>
    <row r="42" ht="15" customHeight="1" s="1">
      <c r="A42" s="2" t="n">
        <v>50040</v>
      </c>
      <c r="B42" s="2" t="inlineStr">
        <is>
          <t>SKU-0065</t>
        </is>
      </c>
      <c r="C42" s="2" t="n">
        <v>4</v>
      </c>
      <c r="D42" s="2">
        <f>VLOOKUP(B42,Products!$A$2:$D$201,3,FALSE())</f>
        <v/>
      </c>
      <c r="E42" s="2">
        <f>C42*D42</f>
        <v/>
      </c>
      <c r="F42" s="2">
        <f>C42*INDEX(Products!$D$2:$D$201,MATCH(B42,Products!$A$2:$A$201,0))</f>
        <v/>
      </c>
      <c r="G42" s="2">
        <f>E42-F42</f>
        <v/>
      </c>
    </row>
    <row r="43" ht="15" customHeight="1" s="1">
      <c r="A43" s="2" t="n">
        <v>50041</v>
      </c>
      <c r="B43" s="2" t="inlineStr">
        <is>
          <t>SKU-0071</t>
        </is>
      </c>
      <c r="C43" s="2" t="n">
        <v>6</v>
      </c>
      <c r="D43" s="2">
        <f>VLOOKUP(B43,Products!$A$2:$D$201,3,FALSE())</f>
        <v/>
      </c>
      <c r="E43" s="2">
        <f>C43*D43</f>
        <v/>
      </c>
      <c r="F43" s="2">
        <f>C43*INDEX(Products!$D$2:$D$201,MATCH(B43,Products!$A$2:$A$201,0))</f>
        <v/>
      </c>
      <c r="G43" s="2">
        <f>E43-F43</f>
        <v/>
      </c>
    </row>
    <row r="44" ht="15" customHeight="1" s="1">
      <c r="A44" s="2" t="n">
        <v>50042</v>
      </c>
      <c r="B44" s="2" t="inlineStr">
        <is>
          <t>SKU-0192</t>
        </is>
      </c>
      <c r="C44" s="2" t="n">
        <v>10</v>
      </c>
      <c r="D44" s="2">
        <f>VLOOKUP(B44,Products!$A$2:$D$201,3,FALSE())</f>
        <v/>
      </c>
      <c r="E44" s="2">
        <f>C44*D44</f>
        <v/>
      </c>
      <c r="F44" s="2">
        <f>C44*INDEX(Products!$D$2:$D$201,MATCH(B44,Products!$A$2:$A$201,0))</f>
        <v/>
      </c>
      <c r="G44" s="2">
        <f>E44-F44</f>
        <v/>
      </c>
    </row>
    <row r="45" ht="15" customHeight="1" s="1">
      <c r="A45" s="2" t="n">
        <v>50043</v>
      </c>
      <c r="B45" s="2" t="inlineStr">
        <is>
          <t>SKU-0172</t>
        </is>
      </c>
      <c r="C45" s="2" t="n">
        <v>8</v>
      </c>
      <c r="D45" s="2">
        <f>VLOOKUP(B45,Products!$A$2:$D$201,3,FALSE())</f>
        <v/>
      </c>
      <c r="E45" s="2">
        <f>C45*D45</f>
        <v/>
      </c>
      <c r="F45" s="2">
        <f>C45*INDEX(Products!$D$2:$D$201,MATCH(B45,Products!$A$2:$A$201,0))</f>
        <v/>
      </c>
      <c r="G45" s="2">
        <f>E45-F45</f>
        <v/>
      </c>
    </row>
    <row r="46" ht="15" customHeight="1" s="1">
      <c r="A46" s="2" t="n">
        <v>50044</v>
      </c>
      <c r="B46" s="2" t="inlineStr">
        <is>
          <t>SKU-0008</t>
        </is>
      </c>
      <c r="C46" s="2" t="n">
        <v>16</v>
      </c>
      <c r="D46" s="2">
        <f>VLOOKUP(B46,Products!$A$2:$D$201,3,FALSE())</f>
        <v/>
      </c>
      <c r="E46" s="2">
        <f>C46*D46</f>
        <v/>
      </c>
      <c r="F46" s="2">
        <f>C46*INDEX(Products!$D$2:$D$201,MATCH(B46,Products!$A$2:$A$201,0))</f>
        <v/>
      </c>
      <c r="G46" s="2">
        <f>E46-F46</f>
        <v/>
      </c>
    </row>
    <row r="47" ht="15" customHeight="1" s="1">
      <c r="A47" s="2" t="n">
        <v>50045</v>
      </c>
      <c r="B47" s="2" t="inlineStr">
        <is>
          <t>SKU-0008</t>
        </is>
      </c>
      <c r="C47" s="2" t="n">
        <v>12</v>
      </c>
      <c r="D47" s="2">
        <f>VLOOKUP(B47,Products!$A$2:$D$201,3,FALSE())</f>
        <v/>
      </c>
      <c r="E47" s="2">
        <f>C47*D47</f>
        <v/>
      </c>
      <c r="F47" s="2">
        <f>C47*INDEX(Products!$D$2:$D$201,MATCH(B47,Products!$A$2:$A$201,0))</f>
        <v/>
      </c>
      <c r="G47" s="2">
        <f>E47-F47</f>
        <v/>
      </c>
    </row>
    <row r="48" ht="15" customHeight="1" s="1">
      <c r="A48" s="2" t="n">
        <v>50046</v>
      </c>
      <c r="B48" s="2" t="inlineStr">
        <is>
          <t>SKU-0192</t>
        </is>
      </c>
      <c r="C48" s="2" t="n">
        <v>12</v>
      </c>
      <c r="D48" s="2">
        <f>VLOOKUP(B48,Products!$A$2:$D$201,3,FALSE())</f>
        <v/>
      </c>
      <c r="E48" s="2">
        <f>C48*D48</f>
        <v/>
      </c>
      <c r="F48" s="2">
        <f>C48*INDEX(Products!$D$2:$D$201,MATCH(B48,Products!$A$2:$A$201,0))</f>
        <v/>
      </c>
      <c r="G48" s="2">
        <f>E48-F48</f>
        <v/>
      </c>
    </row>
    <row r="49" ht="15" customHeight="1" s="1">
      <c r="A49" s="2" t="n">
        <v>50047</v>
      </c>
      <c r="B49" s="2" t="inlineStr">
        <is>
          <t>SKU-0080</t>
        </is>
      </c>
      <c r="C49" s="2" t="n">
        <v>2</v>
      </c>
      <c r="D49" s="2">
        <f>VLOOKUP(B49,Products!$A$2:$D$201,3,FALSE())</f>
        <v/>
      </c>
      <c r="E49" s="2">
        <f>C49*D49</f>
        <v/>
      </c>
      <c r="F49" s="2">
        <f>C49*INDEX(Products!$D$2:$D$201,MATCH(B49,Products!$A$2:$A$201,0))</f>
        <v/>
      </c>
      <c r="G49" s="2">
        <f>E49-F49</f>
        <v/>
      </c>
    </row>
    <row r="50" ht="15" customHeight="1" s="1">
      <c r="A50" s="2" t="n">
        <v>50048</v>
      </c>
      <c r="B50" s="2" t="inlineStr">
        <is>
          <t>SKU-0176</t>
        </is>
      </c>
      <c r="C50" s="2" t="n">
        <v>1</v>
      </c>
      <c r="D50" s="2">
        <f>VLOOKUP(B50,Products!$A$2:$D$201,3,FALSE())</f>
        <v/>
      </c>
      <c r="E50" s="2">
        <f>C50*D50</f>
        <v/>
      </c>
      <c r="F50" s="2">
        <f>C50*INDEX(Products!$D$2:$D$201,MATCH(B50,Products!$A$2:$A$201,0))</f>
        <v/>
      </c>
      <c r="G50" s="2">
        <f>E50-F50</f>
        <v/>
      </c>
    </row>
    <row r="51" ht="15" customHeight="1" s="1">
      <c r="A51" s="2" t="n">
        <v>50049</v>
      </c>
      <c r="B51" s="2" t="inlineStr">
        <is>
          <t>SKU-0172</t>
        </is>
      </c>
      <c r="C51" s="2" t="n">
        <v>15</v>
      </c>
      <c r="D51" s="2">
        <f>VLOOKUP(B51,Products!$A$2:$D$201,3,FALSE())</f>
        <v/>
      </c>
      <c r="E51" s="2">
        <f>C51*D51</f>
        <v/>
      </c>
      <c r="F51" s="2">
        <f>C51*INDEX(Products!$D$2:$D$201,MATCH(B51,Products!$A$2:$A$201,0))</f>
        <v/>
      </c>
      <c r="G51" s="2">
        <f>E51-F51</f>
        <v/>
      </c>
    </row>
    <row r="52" ht="15" customHeight="1" s="1">
      <c r="A52" s="2" t="n">
        <v>50050</v>
      </c>
      <c r="B52" s="2" t="inlineStr">
        <is>
          <t>SKU-0120</t>
        </is>
      </c>
      <c r="C52" s="2" t="n">
        <v>5</v>
      </c>
      <c r="D52" s="2">
        <f>VLOOKUP(B52,Products!$A$2:$D$201,3,FALSE())</f>
        <v/>
      </c>
      <c r="E52" s="2">
        <f>C52*D52</f>
        <v/>
      </c>
      <c r="F52" s="2">
        <f>C52*INDEX(Products!$D$2:$D$201,MATCH(B52,Products!$A$2:$A$201,0))</f>
        <v/>
      </c>
      <c r="G52" s="2">
        <f>E52-F52</f>
        <v/>
      </c>
    </row>
    <row r="53" ht="15" customHeight="1" s="1">
      <c r="A53" s="2" t="n">
        <v>50051</v>
      </c>
      <c r="B53" s="2" t="inlineStr">
        <is>
          <t>SKU-0030</t>
        </is>
      </c>
      <c r="C53" s="2" t="n">
        <v>11</v>
      </c>
      <c r="D53" s="2">
        <f>VLOOKUP(B53,Products!$A$2:$D$201,3,FALSE())</f>
        <v/>
      </c>
      <c r="E53" s="2">
        <f>C53*D53</f>
        <v/>
      </c>
      <c r="F53" s="2">
        <f>C53*INDEX(Products!$D$2:$D$201,MATCH(B53,Products!$A$2:$A$201,0))</f>
        <v/>
      </c>
      <c r="G53" s="2">
        <f>E53-F53</f>
        <v/>
      </c>
    </row>
    <row r="54" ht="15" customHeight="1" s="1">
      <c r="A54" s="2" t="n">
        <v>50052</v>
      </c>
      <c r="B54" s="2" t="inlineStr">
        <is>
          <t>SKU-0074</t>
        </is>
      </c>
      <c r="C54" s="2" t="n">
        <v>15</v>
      </c>
      <c r="D54" s="2">
        <f>VLOOKUP(B54,Products!$A$2:$D$201,3,FALSE())</f>
        <v/>
      </c>
      <c r="E54" s="2">
        <f>C54*D54</f>
        <v/>
      </c>
      <c r="F54" s="2">
        <f>C54*INDEX(Products!$D$2:$D$201,MATCH(B54,Products!$A$2:$A$201,0))</f>
        <v/>
      </c>
      <c r="G54" s="2">
        <f>E54-F54</f>
        <v/>
      </c>
    </row>
    <row r="55" ht="15" customHeight="1" s="1">
      <c r="A55" s="2" t="n">
        <v>50053</v>
      </c>
      <c r="B55" s="2" t="inlineStr">
        <is>
          <t>SKU-0172</t>
        </is>
      </c>
      <c r="C55" s="2" t="n">
        <v>8</v>
      </c>
      <c r="D55" s="2">
        <f>VLOOKUP(B55,Products!$A$2:$D$201,3,FALSE())</f>
        <v/>
      </c>
      <c r="E55" s="2">
        <f>C55*D55</f>
        <v/>
      </c>
      <c r="F55" s="2">
        <f>C55*INDEX(Products!$D$2:$D$201,MATCH(B55,Products!$A$2:$A$201,0))</f>
        <v/>
      </c>
      <c r="G55" s="2">
        <f>E55-F55</f>
        <v/>
      </c>
    </row>
    <row r="56" ht="15" customHeight="1" s="1">
      <c r="A56" s="2" t="n">
        <v>50054</v>
      </c>
      <c r="B56" s="2" t="inlineStr">
        <is>
          <t>SKU-0186</t>
        </is>
      </c>
      <c r="C56" s="2" t="n">
        <v>6</v>
      </c>
      <c r="D56" s="2">
        <f>VLOOKUP(B56,Products!$A$2:$D$201,3,FALSE())</f>
        <v/>
      </c>
      <c r="E56" s="2">
        <f>C56*D56</f>
        <v/>
      </c>
      <c r="F56" s="2">
        <f>C56*INDEX(Products!$D$2:$D$201,MATCH(B56,Products!$A$2:$A$201,0))</f>
        <v/>
      </c>
      <c r="G56" s="2">
        <f>E56-F56</f>
        <v/>
      </c>
    </row>
    <row r="57" ht="15" customHeight="1" s="1">
      <c r="A57" s="2" t="n">
        <v>50055</v>
      </c>
      <c r="B57" s="2" t="inlineStr">
        <is>
          <t>SKU-0008</t>
        </is>
      </c>
      <c r="C57" s="2" t="n">
        <v>7</v>
      </c>
      <c r="D57" s="2">
        <f>VLOOKUP(B57,Products!$A$2:$D$201,3,FALSE())</f>
        <v/>
      </c>
      <c r="E57" s="2">
        <f>C57*D57</f>
        <v/>
      </c>
      <c r="F57" s="2">
        <f>C57*INDEX(Products!$D$2:$D$201,MATCH(B57,Products!$A$2:$A$201,0))</f>
        <v/>
      </c>
      <c r="G57" s="2">
        <f>E57-F57</f>
        <v/>
      </c>
    </row>
    <row r="58" ht="15" customHeight="1" s="1">
      <c r="A58" s="2" t="n">
        <v>50056</v>
      </c>
      <c r="B58" s="2" t="inlineStr">
        <is>
          <t>SKU-0182</t>
        </is>
      </c>
      <c r="C58" s="2" t="n">
        <v>1</v>
      </c>
      <c r="D58" s="2">
        <f>VLOOKUP(B58,Products!$A$2:$D$201,3,FALSE())</f>
        <v/>
      </c>
      <c r="E58" s="2">
        <f>C58*D58</f>
        <v/>
      </c>
      <c r="F58" s="2">
        <f>C58*INDEX(Products!$D$2:$D$201,MATCH(B58,Products!$A$2:$A$201,0))</f>
        <v/>
      </c>
      <c r="G58" s="2">
        <f>E58-F58</f>
        <v/>
      </c>
    </row>
    <row r="59" ht="15" customHeight="1" s="1">
      <c r="A59" s="2" t="n">
        <v>50057</v>
      </c>
      <c r="B59" s="2" t="inlineStr">
        <is>
          <t>SKU-0147</t>
        </is>
      </c>
      <c r="C59" s="2" t="n">
        <v>8</v>
      </c>
      <c r="D59" s="2">
        <f>VLOOKUP(B59,Products!$A$2:$D$201,3,FALSE())</f>
        <v/>
      </c>
      <c r="E59" s="2">
        <f>C59*D59</f>
        <v/>
      </c>
      <c r="F59" s="2">
        <f>C59*INDEX(Products!$D$2:$D$201,MATCH(B59,Products!$A$2:$A$201,0))</f>
        <v/>
      </c>
      <c r="G59" s="2">
        <f>E59-F59</f>
        <v/>
      </c>
    </row>
    <row r="60" ht="15" customHeight="1" s="1">
      <c r="A60" s="2" t="n">
        <v>50058</v>
      </c>
      <c r="B60" s="2" t="inlineStr">
        <is>
          <t>SKU-0168</t>
        </is>
      </c>
      <c r="C60" s="2" t="n">
        <v>3</v>
      </c>
      <c r="D60" s="2">
        <f>VLOOKUP(B60,Products!$A$2:$D$201,3,FALSE())</f>
        <v/>
      </c>
      <c r="E60" s="2">
        <f>C60*D60</f>
        <v/>
      </c>
      <c r="F60" s="2">
        <f>C60*INDEX(Products!$D$2:$D$201,MATCH(B60,Products!$A$2:$A$201,0))</f>
        <v/>
      </c>
      <c r="G60" s="2">
        <f>E60-F60</f>
        <v/>
      </c>
    </row>
    <row r="61" ht="15" customHeight="1" s="1">
      <c r="A61" s="2" t="n">
        <v>50059</v>
      </c>
      <c r="B61" s="2" t="inlineStr">
        <is>
          <t>SKU-0158</t>
        </is>
      </c>
      <c r="C61" s="2" t="n">
        <v>13</v>
      </c>
      <c r="D61" s="2">
        <f>VLOOKUP(B61,Products!$A$2:$D$201,3,FALSE())</f>
        <v/>
      </c>
      <c r="E61" s="2">
        <f>C61*D61</f>
        <v/>
      </c>
      <c r="F61" s="2">
        <f>C61*INDEX(Products!$D$2:$D$201,MATCH(B61,Products!$A$2:$A$201,0))</f>
        <v/>
      </c>
      <c r="G61" s="2">
        <f>E61-F61</f>
        <v/>
      </c>
    </row>
    <row r="62" ht="15" customHeight="1" s="1">
      <c r="A62" s="2" t="n">
        <v>50060</v>
      </c>
      <c r="B62" s="2" t="inlineStr">
        <is>
          <t>SKU-0180</t>
        </is>
      </c>
      <c r="C62" s="2" t="n">
        <v>12</v>
      </c>
      <c r="D62" s="2">
        <f>VLOOKUP(B62,Products!$A$2:$D$201,3,FALSE())</f>
        <v/>
      </c>
      <c r="E62" s="2">
        <f>C62*D62</f>
        <v/>
      </c>
      <c r="F62" s="2">
        <f>C62*INDEX(Products!$D$2:$D$201,MATCH(B62,Products!$A$2:$A$201,0))</f>
        <v/>
      </c>
      <c r="G62" s="2">
        <f>E62-F62</f>
        <v/>
      </c>
    </row>
    <row r="63" ht="15" customHeight="1" s="1">
      <c r="A63" s="2" t="n">
        <v>50061</v>
      </c>
      <c r="B63" s="2" t="inlineStr">
        <is>
          <t>SKU-0174</t>
        </is>
      </c>
      <c r="C63" s="2" t="n">
        <v>10</v>
      </c>
      <c r="D63" s="2">
        <f>VLOOKUP(B63,Products!$A$2:$D$201,3,FALSE())</f>
        <v/>
      </c>
      <c r="E63" s="2">
        <f>C63*D63</f>
        <v/>
      </c>
      <c r="F63" s="2">
        <f>C63*INDEX(Products!$D$2:$D$201,MATCH(B63,Products!$A$2:$A$201,0))</f>
        <v/>
      </c>
      <c r="G63" s="2">
        <f>E63-F63</f>
        <v/>
      </c>
    </row>
    <row r="64" ht="15" customHeight="1" s="1">
      <c r="A64" s="2" t="n">
        <v>50062</v>
      </c>
      <c r="B64" s="2" t="inlineStr">
        <is>
          <t>SKU-0047</t>
        </is>
      </c>
      <c r="C64" s="2" t="n">
        <v>15</v>
      </c>
      <c r="D64" s="2">
        <f>VLOOKUP(B64,Products!$A$2:$D$201,3,FALSE())</f>
        <v/>
      </c>
      <c r="E64" s="2">
        <f>C64*D64</f>
        <v/>
      </c>
      <c r="F64" s="2">
        <f>C64*INDEX(Products!$D$2:$D$201,MATCH(B64,Products!$A$2:$A$201,0))</f>
        <v/>
      </c>
      <c r="G64" s="2">
        <f>E64-F64</f>
        <v/>
      </c>
    </row>
    <row r="65" ht="15" customHeight="1" s="1">
      <c r="A65" s="2" t="n">
        <v>50063</v>
      </c>
      <c r="B65" s="2" t="inlineStr">
        <is>
          <t>SKU-0092</t>
        </is>
      </c>
      <c r="C65" s="2" t="n">
        <v>10</v>
      </c>
      <c r="D65" s="2">
        <f>VLOOKUP(B65,Products!$A$2:$D$201,3,FALSE())</f>
        <v/>
      </c>
      <c r="E65" s="2">
        <f>C65*D65</f>
        <v/>
      </c>
      <c r="F65" s="2">
        <f>C65*INDEX(Products!$D$2:$D$201,MATCH(B65,Products!$A$2:$A$201,0))</f>
        <v/>
      </c>
      <c r="G65" s="2">
        <f>E65-F65</f>
        <v/>
      </c>
    </row>
    <row r="66" ht="15" customHeight="1" s="1">
      <c r="A66" s="2" t="n">
        <v>50064</v>
      </c>
      <c r="B66" s="2" t="inlineStr">
        <is>
          <t>SKU-0017</t>
        </is>
      </c>
      <c r="C66" s="2" t="n">
        <v>15</v>
      </c>
      <c r="D66" s="2">
        <f>VLOOKUP(B66,Products!$A$2:$D$201,3,FALSE())</f>
        <v/>
      </c>
      <c r="E66" s="2">
        <f>C66*D66</f>
        <v/>
      </c>
      <c r="F66" s="2">
        <f>C66*INDEX(Products!$D$2:$D$201,MATCH(B66,Products!$A$2:$A$201,0))</f>
        <v/>
      </c>
      <c r="G66" s="2">
        <f>E66-F66</f>
        <v/>
      </c>
    </row>
    <row r="67" ht="15" customHeight="1" s="1">
      <c r="A67" s="2" t="n">
        <v>50065</v>
      </c>
      <c r="B67" s="2" t="inlineStr">
        <is>
          <t>SKU-0041</t>
        </is>
      </c>
      <c r="C67" s="2" t="n">
        <v>8</v>
      </c>
      <c r="D67" s="2">
        <f>VLOOKUP(B67,Products!$A$2:$D$201,3,FALSE())</f>
        <v/>
      </c>
      <c r="E67" s="2">
        <f>C67*D67</f>
        <v/>
      </c>
      <c r="F67" s="2">
        <f>C67*INDEX(Products!$D$2:$D$201,MATCH(B67,Products!$A$2:$A$201,0))</f>
        <v/>
      </c>
      <c r="G67" s="2">
        <f>E67-F67</f>
        <v/>
      </c>
    </row>
    <row r="68" ht="15" customHeight="1" s="1">
      <c r="A68" s="2" t="n">
        <v>50066</v>
      </c>
      <c r="B68" s="2" t="inlineStr">
        <is>
          <t>SKU-0044</t>
        </is>
      </c>
      <c r="C68" s="2" t="n">
        <v>7</v>
      </c>
      <c r="D68" s="2">
        <f>VLOOKUP(B68,Products!$A$2:$D$201,3,FALSE())</f>
        <v/>
      </c>
      <c r="E68" s="2">
        <f>C68*D68</f>
        <v/>
      </c>
      <c r="F68" s="2">
        <f>C68*INDEX(Products!$D$2:$D$201,MATCH(B68,Products!$A$2:$A$201,0))</f>
        <v/>
      </c>
      <c r="G68" s="2">
        <f>E68-F68</f>
        <v/>
      </c>
    </row>
    <row r="69" ht="15" customHeight="1" s="1">
      <c r="A69" s="2" t="n">
        <v>50067</v>
      </c>
      <c r="B69" s="2" t="inlineStr">
        <is>
          <t>SKU-0011</t>
        </is>
      </c>
      <c r="C69" s="2" t="n">
        <v>20</v>
      </c>
      <c r="D69" s="2">
        <f>VLOOKUP(B69,Products!$A$2:$D$201,3,FALSE())</f>
        <v/>
      </c>
      <c r="E69" s="2">
        <f>C69*D69</f>
        <v/>
      </c>
      <c r="F69" s="2">
        <f>C69*INDEX(Products!$D$2:$D$201,MATCH(B69,Products!$A$2:$A$201,0))</f>
        <v/>
      </c>
      <c r="G69" s="2">
        <f>E69-F69</f>
        <v/>
      </c>
    </row>
    <row r="70" ht="15" customHeight="1" s="1">
      <c r="A70" s="2" t="n">
        <v>50068</v>
      </c>
      <c r="B70" s="2" t="inlineStr">
        <is>
          <t>SKU-0110</t>
        </is>
      </c>
      <c r="C70" s="2" t="n">
        <v>9</v>
      </c>
      <c r="D70" s="2">
        <f>VLOOKUP(B70,Products!$A$2:$D$201,3,FALSE())</f>
        <v/>
      </c>
      <c r="E70" s="2">
        <f>C70*D70</f>
        <v/>
      </c>
      <c r="F70" s="2">
        <f>C70*INDEX(Products!$D$2:$D$201,MATCH(B70,Products!$A$2:$A$201,0))</f>
        <v/>
      </c>
      <c r="G70" s="2">
        <f>E70-F70</f>
        <v/>
      </c>
    </row>
    <row r="71" ht="15" customHeight="1" s="1">
      <c r="A71" s="2" t="n">
        <v>50069</v>
      </c>
      <c r="B71" s="2" t="inlineStr">
        <is>
          <t>SKU-0001</t>
        </is>
      </c>
      <c r="C71" s="2" t="n">
        <v>15</v>
      </c>
      <c r="D71" s="2">
        <f>VLOOKUP(B71,Products!$A$2:$D$201,3,FALSE())</f>
        <v/>
      </c>
      <c r="E71" s="2">
        <f>C71*D71</f>
        <v/>
      </c>
      <c r="F71" s="2">
        <f>C71*INDEX(Products!$D$2:$D$201,MATCH(B71,Products!$A$2:$A$201,0))</f>
        <v/>
      </c>
      <c r="G71" s="2">
        <f>E71-F71</f>
        <v/>
      </c>
    </row>
    <row r="72" ht="15" customHeight="1" s="1">
      <c r="A72" s="2" t="n">
        <v>50070</v>
      </c>
      <c r="B72" s="2" t="inlineStr">
        <is>
          <t>SKU-0015</t>
        </is>
      </c>
      <c r="C72" s="2" t="n">
        <v>15</v>
      </c>
      <c r="D72" s="2">
        <f>VLOOKUP(B72,Products!$A$2:$D$201,3,FALSE())</f>
        <v/>
      </c>
      <c r="E72" s="2">
        <f>C72*D72</f>
        <v/>
      </c>
      <c r="F72" s="2">
        <f>C72*INDEX(Products!$D$2:$D$201,MATCH(B72,Products!$A$2:$A$201,0))</f>
        <v/>
      </c>
      <c r="G72" s="2">
        <f>E72-F72</f>
        <v/>
      </c>
    </row>
    <row r="73" ht="15" customHeight="1" s="1">
      <c r="A73" s="2" t="n">
        <v>50071</v>
      </c>
      <c r="B73" s="2" t="inlineStr">
        <is>
          <t>SKU-0199</t>
        </is>
      </c>
      <c r="C73" s="2" t="n">
        <v>14</v>
      </c>
      <c r="D73" s="2">
        <f>VLOOKUP(B73,Products!$A$2:$D$201,3,FALSE())</f>
        <v/>
      </c>
      <c r="E73" s="2">
        <f>C73*D73</f>
        <v/>
      </c>
      <c r="F73" s="2">
        <f>C73*INDEX(Products!$D$2:$D$201,MATCH(B73,Products!$A$2:$A$201,0))</f>
        <v/>
      </c>
      <c r="G73" s="2">
        <f>E73-F73</f>
        <v/>
      </c>
    </row>
    <row r="74" ht="15" customHeight="1" s="1">
      <c r="A74" s="2" t="n">
        <v>50072</v>
      </c>
      <c r="B74" s="2" t="inlineStr">
        <is>
          <t>SKU-0043</t>
        </is>
      </c>
      <c r="C74" s="2" t="n">
        <v>2</v>
      </c>
      <c r="D74" s="2">
        <f>VLOOKUP(B74,Products!$A$2:$D$201,3,FALSE())</f>
        <v/>
      </c>
      <c r="E74" s="2">
        <f>C74*D74</f>
        <v/>
      </c>
      <c r="F74" s="2">
        <f>C74*INDEX(Products!$D$2:$D$201,MATCH(B74,Products!$A$2:$A$201,0))</f>
        <v/>
      </c>
      <c r="G74" s="2">
        <f>E74-F74</f>
        <v/>
      </c>
    </row>
    <row r="75" ht="15" customHeight="1" s="1">
      <c r="A75" s="2" t="n">
        <v>50073</v>
      </c>
      <c r="B75" s="2" t="inlineStr">
        <is>
          <t>SKU-0008</t>
        </is>
      </c>
      <c r="C75" s="2" t="n">
        <v>18</v>
      </c>
      <c r="D75" s="2">
        <f>VLOOKUP(B75,Products!$A$2:$D$201,3,FALSE())</f>
        <v/>
      </c>
      <c r="E75" s="2">
        <f>C75*D75</f>
        <v/>
      </c>
      <c r="F75" s="2">
        <f>C75*INDEX(Products!$D$2:$D$201,MATCH(B75,Products!$A$2:$A$201,0))</f>
        <v/>
      </c>
      <c r="G75" s="2">
        <f>E75-F75</f>
        <v/>
      </c>
    </row>
    <row r="76" ht="15" customHeight="1" s="1">
      <c r="A76" s="2" t="n">
        <v>50074</v>
      </c>
      <c r="B76" s="2" t="inlineStr">
        <is>
          <t>SKU-0132</t>
        </is>
      </c>
      <c r="C76" s="2" t="n">
        <v>19</v>
      </c>
      <c r="D76" s="2">
        <f>VLOOKUP(B76,Products!$A$2:$D$201,3,FALSE())</f>
        <v/>
      </c>
      <c r="E76" s="2">
        <f>C76*D76</f>
        <v/>
      </c>
      <c r="F76" s="2">
        <f>C76*INDEX(Products!$D$2:$D$201,MATCH(B76,Products!$A$2:$A$201,0))</f>
        <v/>
      </c>
      <c r="G76" s="2">
        <f>E76-F76</f>
        <v/>
      </c>
    </row>
    <row r="77" ht="15" customHeight="1" s="1">
      <c r="A77" s="2" t="n">
        <v>50075</v>
      </c>
      <c r="B77" s="2" t="inlineStr">
        <is>
          <t>SKU-0089</t>
        </is>
      </c>
      <c r="C77" s="2" t="n">
        <v>4</v>
      </c>
      <c r="D77" s="2">
        <f>VLOOKUP(B77,Products!$A$2:$D$201,3,FALSE())</f>
        <v/>
      </c>
      <c r="E77" s="2">
        <f>C77*D77</f>
        <v/>
      </c>
      <c r="F77" s="2">
        <f>C77*INDEX(Products!$D$2:$D$201,MATCH(B77,Products!$A$2:$A$201,0))</f>
        <v/>
      </c>
      <c r="G77" s="2">
        <f>E77-F77</f>
        <v/>
      </c>
    </row>
    <row r="78" ht="15" customHeight="1" s="1">
      <c r="A78" s="2" t="n">
        <v>50076</v>
      </c>
      <c r="B78" s="2" t="inlineStr">
        <is>
          <t>SKU-0183</t>
        </is>
      </c>
      <c r="C78" s="2" t="n">
        <v>3</v>
      </c>
      <c r="D78" s="2">
        <f>VLOOKUP(B78,Products!$A$2:$D$201,3,FALSE())</f>
        <v/>
      </c>
      <c r="E78" s="2">
        <f>C78*D78</f>
        <v/>
      </c>
      <c r="F78" s="2">
        <f>C78*INDEX(Products!$D$2:$D$201,MATCH(B78,Products!$A$2:$A$201,0))</f>
        <v/>
      </c>
      <c r="G78" s="2">
        <f>E78-F78</f>
        <v/>
      </c>
    </row>
    <row r="79" ht="15" customHeight="1" s="1">
      <c r="A79" s="2" t="n">
        <v>50077</v>
      </c>
      <c r="B79" s="2" t="inlineStr">
        <is>
          <t>SKU-0060</t>
        </is>
      </c>
      <c r="C79" s="2" t="n">
        <v>16</v>
      </c>
      <c r="D79" s="2">
        <f>VLOOKUP(B79,Products!$A$2:$D$201,3,FALSE())</f>
        <v/>
      </c>
      <c r="E79" s="2">
        <f>C79*D79</f>
        <v/>
      </c>
      <c r="F79" s="2">
        <f>C79*INDEX(Products!$D$2:$D$201,MATCH(B79,Products!$A$2:$A$201,0))</f>
        <v/>
      </c>
      <c r="G79" s="2">
        <f>E79-F79</f>
        <v/>
      </c>
    </row>
    <row r="80" ht="15" customHeight="1" s="1">
      <c r="A80" s="2" t="n">
        <v>50078</v>
      </c>
      <c r="B80" s="2" t="inlineStr">
        <is>
          <t>SKU-0023</t>
        </is>
      </c>
      <c r="C80" s="2" t="n">
        <v>16</v>
      </c>
      <c r="D80" s="2">
        <f>VLOOKUP(B80,Products!$A$2:$D$201,3,FALSE())</f>
        <v/>
      </c>
      <c r="E80" s="2">
        <f>C80*D80</f>
        <v/>
      </c>
      <c r="F80" s="2">
        <f>C80*INDEX(Products!$D$2:$D$201,MATCH(B80,Products!$A$2:$A$201,0))</f>
        <v/>
      </c>
      <c r="G80" s="2">
        <f>E80-F80</f>
        <v/>
      </c>
    </row>
    <row r="81" ht="15" customHeight="1" s="1">
      <c r="A81" s="2" t="n">
        <v>50079</v>
      </c>
      <c r="B81" s="2" t="inlineStr">
        <is>
          <t>SKU-0013</t>
        </is>
      </c>
      <c r="C81" s="2" t="n">
        <v>8</v>
      </c>
      <c r="D81" s="2">
        <f>VLOOKUP(B81,Products!$A$2:$D$201,3,FALSE())</f>
        <v/>
      </c>
      <c r="E81" s="2">
        <f>C81*D81</f>
        <v/>
      </c>
      <c r="F81" s="2">
        <f>C81*INDEX(Products!$D$2:$D$201,MATCH(B81,Products!$A$2:$A$201,0))</f>
        <v/>
      </c>
      <c r="G81" s="2">
        <f>E81-F81</f>
        <v/>
      </c>
    </row>
    <row r="82" ht="15" customHeight="1" s="1">
      <c r="A82" s="2" t="n">
        <v>50080</v>
      </c>
      <c r="B82" s="2" t="inlineStr">
        <is>
          <t>SKU-0164</t>
        </is>
      </c>
      <c r="C82" s="2" t="n">
        <v>2</v>
      </c>
      <c r="D82" s="2">
        <f>VLOOKUP(B82,Products!$A$2:$D$201,3,FALSE())</f>
        <v/>
      </c>
      <c r="E82" s="2">
        <f>C82*D82</f>
        <v/>
      </c>
      <c r="F82" s="2">
        <f>C82*INDEX(Products!$D$2:$D$201,MATCH(B82,Products!$A$2:$A$201,0))</f>
        <v/>
      </c>
      <c r="G82" s="2">
        <f>E82-F82</f>
        <v/>
      </c>
    </row>
    <row r="83" ht="15" customHeight="1" s="1">
      <c r="A83" s="2" t="n">
        <v>50081</v>
      </c>
      <c r="B83" s="2" t="inlineStr">
        <is>
          <t>SKU-0127</t>
        </is>
      </c>
      <c r="C83" s="2" t="n">
        <v>13</v>
      </c>
      <c r="D83" s="2">
        <f>VLOOKUP(B83,Products!$A$2:$D$201,3,FALSE())</f>
        <v/>
      </c>
      <c r="E83" s="2">
        <f>C83*D83</f>
        <v/>
      </c>
      <c r="F83" s="2">
        <f>C83*INDEX(Products!$D$2:$D$201,MATCH(B83,Products!$A$2:$A$201,0))</f>
        <v/>
      </c>
      <c r="G83" s="2">
        <f>E83-F83</f>
        <v/>
      </c>
    </row>
    <row r="84" ht="15" customHeight="1" s="1">
      <c r="A84" s="2" t="n">
        <v>50082</v>
      </c>
      <c r="B84" s="2" t="inlineStr">
        <is>
          <t>SKU-0015</t>
        </is>
      </c>
      <c r="C84" s="2" t="n">
        <v>2</v>
      </c>
      <c r="D84" s="2">
        <f>VLOOKUP(B84,Products!$A$2:$D$201,3,FALSE())</f>
        <v/>
      </c>
      <c r="E84" s="2">
        <f>C84*D84</f>
        <v/>
      </c>
      <c r="F84" s="2">
        <f>C84*INDEX(Products!$D$2:$D$201,MATCH(B84,Products!$A$2:$A$201,0))</f>
        <v/>
      </c>
      <c r="G84" s="2">
        <f>E84-F84</f>
        <v/>
      </c>
    </row>
    <row r="85" ht="15" customHeight="1" s="1">
      <c r="A85" s="2" t="n">
        <v>50083</v>
      </c>
      <c r="B85" s="2" t="inlineStr">
        <is>
          <t>SKU-0065</t>
        </is>
      </c>
      <c r="C85" s="2" t="n">
        <v>14</v>
      </c>
      <c r="D85" s="2">
        <f>VLOOKUP(B85,Products!$A$2:$D$201,3,FALSE())</f>
        <v/>
      </c>
      <c r="E85" s="2">
        <f>C85*D85</f>
        <v/>
      </c>
      <c r="F85" s="2">
        <f>C85*INDEX(Products!$D$2:$D$201,MATCH(B85,Products!$A$2:$A$201,0))</f>
        <v/>
      </c>
      <c r="G85" s="2">
        <f>E85-F85</f>
        <v/>
      </c>
    </row>
    <row r="86" ht="15" customHeight="1" s="1">
      <c r="A86" s="2" t="n">
        <v>50084</v>
      </c>
      <c r="B86" s="2" t="inlineStr">
        <is>
          <t>SKU-0114</t>
        </is>
      </c>
      <c r="C86" s="2" t="n">
        <v>10</v>
      </c>
      <c r="D86" s="2">
        <f>VLOOKUP(B86,Products!$A$2:$D$201,3,FALSE())</f>
        <v/>
      </c>
      <c r="E86" s="2">
        <f>C86*D86</f>
        <v/>
      </c>
      <c r="F86" s="2">
        <f>C86*INDEX(Products!$D$2:$D$201,MATCH(B86,Products!$A$2:$A$201,0))</f>
        <v/>
      </c>
      <c r="G86" s="2">
        <f>E86-F86</f>
        <v/>
      </c>
    </row>
    <row r="87" ht="15" customHeight="1" s="1">
      <c r="A87" s="2" t="n">
        <v>50085</v>
      </c>
      <c r="B87" s="2" t="inlineStr">
        <is>
          <t>SKU-0163</t>
        </is>
      </c>
      <c r="C87" s="2" t="n">
        <v>2</v>
      </c>
      <c r="D87" s="2">
        <f>VLOOKUP(B87,Products!$A$2:$D$201,3,FALSE())</f>
        <v/>
      </c>
      <c r="E87" s="2">
        <f>C87*D87</f>
        <v/>
      </c>
      <c r="F87" s="2">
        <f>C87*INDEX(Products!$D$2:$D$201,MATCH(B87,Products!$A$2:$A$201,0))</f>
        <v/>
      </c>
      <c r="G87" s="2">
        <f>E87-F87</f>
        <v/>
      </c>
    </row>
    <row r="88" ht="15" customHeight="1" s="1">
      <c r="A88" s="2" t="n">
        <v>50086</v>
      </c>
      <c r="B88" s="2" t="inlineStr">
        <is>
          <t>SKU-0009</t>
        </is>
      </c>
      <c r="C88" s="2" t="n">
        <v>7</v>
      </c>
      <c r="D88" s="2">
        <f>VLOOKUP(B88,Products!$A$2:$D$201,3,FALSE())</f>
        <v/>
      </c>
      <c r="E88" s="2">
        <f>C88*D88</f>
        <v/>
      </c>
      <c r="F88" s="2">
        <f>C88*INDEX(Products!$D$2:$D$201,MATCH(B88,Products!$A$2:$A$201,0))</f>
        <v/>
      </c>
      <c r="G88" s="2">
        <f>E88-F88</f>
        <v/>
      </c>
    </row>
    <row r="89" ht="15" customHeight="1" s="1">
      <c r="A89" s="2" t="n">
        <v>50087</v>
      </c>
      <c r="B89" s="2" t="inlineStr">
        <is>
          <t>SKU-0045</t>
        </is>
      </c>
      <c r="C89" s="2" t="n">
        <v>17</v>
      </c>
      <c r="D89" s="2">
        <f>VLOOKUP(B89,Products!$A$2:$D$201,3,FALSE())</f>
        <v/>
      </c>
      <c r="E89" s="2">
        <f>C89*D89</f>
        <v/>
      </c>
      <c r="F89" s="2">
        <f>C89*INDEX(Products!$D$2:$D$201,MATCH(B89,Products!$A$2:$A$201,0))</f>
        <v/>
      </c>
      <c r="G89" s="2">
        <f>E89-F89</f>
        <v/>
      </c>
    </row>
    <row r="90" ht="15" customHeight="1" s="1">
      <c r="A90" s="2" t="n">
        <v>50088</v>
      </c>
      <c r="B90" s="2" t="inlineStr">
        <is>
          <t>SKU-0163</t>
        </is>
      </c>
      <c r="C90" s="2" t="n">
        <v>13</v>
      </c>
      <c r="D90" s="2">
        <f>VLOOKUP(B90,Products!$A$2:$D$201,3,FALSE())</f>
        <v/>
      </c>
      <c r="E90" s="2">
        <f>C90*D90</f>
        <v/>
      </c>
      <c r="F90" s="2">
        <f>C90*INDEX(Products!$D$2:$D$201,MATCH(B90,Products!$A$2:$A$201,0))</f>
        <v/>
      </c>
      <c r="G90" s="2">
        <f>E90-F90</f>
        <v/>
      </c>
    </row>
    <row r="91" ht="15" customHeight="1" s="1">
      <c r="A91" s="2" t="n">
        <v>50089</v>
      </c>
      <c r="B91" s="2" t="inlineStr">
        <is>
          <t>SKU-0048</t>
        </is>
      </c>
      <c r="C91" s="2" t="n">
        <v>18</v>
      </c>
      <c r="D91" s="2">
        <f>VLOOKUP(B91,Products!$A$2:$D$201,3,FALSE())</f>
        <v/>
      </c>
      <c r="E91" s="2">
        <f>C91*D91</f>
        <v/>
      </c>
      <c r="F91" s="2">
        <f>C91*INDEX(Products!$D$2:$D$201,MATCH(B91,Products!$A$2:$A$201,0))</f>
        <v/>
      </c>
      <c r="G91" s="2">
        <f>E91-F91</f>
        <v/>
      </c>
    </row>
    <row r="92" ht="15" customHeight="1" s="1">
      <c r="A92" s="2" t="n">
        <v>50090</v>
      </c>
      <c r="B92" s="2" t="inlineStr">
        <is>
          <t>SKU-0059</t>
        </is>
      </c>
      <c r="C92" s="2" t="n">
        <v>3</v>
      </c>
      <c r="D92" s="2">
        <f>VLOOKUP(B92,Products!$A$2:$D$201,3,FALSE())</f>
        <v/>
      </c>
      <c r="E92" s="2">
        <f>C92*D92</f>
        <v/>
      </c>
      <c r="F92" s="2">
        <f>C92*INDEX(Products!$D$2:$D$201,MATCH(B92,Products!$A$2:$A$201,0))</f>
        <v/>
      </c>
      <c r="G92" s="2">
        <f>E92-F92</f>
        <v/>
      </c>
    </row>
    <row r="93" ht="15" customHeight="1" s="1">
      <c r="A93" s="2" t="n">
        <v>50091</v>
      </c>
      <c r="B93" s="2" t="inlineStr">
        <is>
          <t>SKU-0080</t>
        </is>
      </c>
      <c r="C93" s="2" t="n">
        <v>4</v>
      </c>
      <c r="D93" s="2">
        <f>VLOOKUP(B93,Products!$A$2:$D$201,3,FALSE())</f>
        <v/>
      </c>
      <c r="E93" s="2">
        <f>C93*D93</f>
        <v/>
      </c>
      <c r="F93" s="2">
        <f>C93*INDEX(Products!$D$2:$D$201,MATCH(B93,Products!$A$2:$A$201,0))</f>
        <v/>
      </c>
      <c r="G93" s="2">
        <f>E93-F93</f>
        <v/>
      </c>
    </row>
    <row r="94" ht="15" customHeight="1" s="1">
      <c r="A94" s="2" t="n">
        <v>50092</v>
      </c>
      <c r="B94" s="2" t="inlineStr">
        <is>
          <t>SKU-0022</t>
        </is>
      </c>
      <c r="C94" s="2" t="n">
        <v>18</v>
      </c>
      <c r="D94" s="2">
        <f>VLOOKUP(B94,Products!$A$2:$D$201,3,FALSE())</f>
        <v/>
      </c>
      <c r="E94" s="2">
        <f>C94*D94</f>
        <v/>
      </c>
      <c r="F94" s="2">
        <f>C94*INDEX(Products!$D$2:$D$201,MATCH(B94,Products!$A$2:$A$201,0))</f>
        <v/>
      </c>
      <c r="G94" s="2">
        <f>E94-F94</f>
        <v/>
      </c>
    </row>
    <row r="95" ht="15" customHeight="1" s="1">
      <c r="A95" s="2" t="n">
        <v>50093</v>
      </c>
      <c r="B95" s="2" t="inlineStr">
        <is>
          <t>SKU-0041</t>
        </is>
      </c>
      <c r="C95" s="2" t="n">
        <v>20</v>
      </c>
      <c r="D95" s="2">
        <f>VLOOKUP(B95,Products!$A$2:$D$201,3,FALSE())</f>
        <v/>
      </c>
      <c r="E95" s="2">
        <f>C95*D95</f>
        <v/>
      </c>
      <c r="F95" s="2">
        <f>C95*INDEX(Products!$D$2:$D$201,MATCH(B95,Products!$A$2:$A$201,0))</f>
        <v/>
      </c>
      <c r="G95" s="2">
        <f>E95-F95</f>
        <v/>
      </c>
    </row>
    <row r="96" ht="15" customHeight="1" s="1">
      <c r="A96" s="2" t="n">
        <v>50094</v>
      </c>
      <c r="B96" s="2" t="inlineStr">
        <is>
          <t>SKU-0019</t>
        </is>
      </c>
      <c r="C96" s="2" t="n">
        <v>7</v>
      </c>
      <c r="D96" s="2">
        <f>VLOOKUP(B96,Products!$A$2:$D$201,3,FALSE())</f>
        <v/>
      </c>
      <c r="E96" s="2">
        <f>C96*D96</f>
        <v/>
      </c>
      <c r="F96" s="2">
        <f>C96*INDEX(Products!$D$2:$D$201,MATCH(B96,Products!$A$2:$A$201,0))</f>
        <v/>
      </c>
      <c r="G96" s="2">
        <f>E96-F96</f>
        <v/>
      </c>
    </row>
    <row r="97" ht="15" customHeight="1" s="1">
      <c r="A97" s="2" t="n">
        <v>50095</v>
      </c>
      <c r="B97" s="2" t="inlineStr">
        <is>
          <t>SKU-0159</t>
        </is>
      </c>
      <c r="C97" s="2" t="n">
        <v>1</v>
      </c>
      <c r="D97" s="2">
        <f>VLOOKUP(B97,Products!$A$2:$D$201,3,FALSE())</f>
        <v/>
      </c>
      <c r="E97" s="2">
        <f>C97*D97</f>
        <v/>
      </c>
      <c r="F97" s="2">
        <f>C97*INDEX(Products!$D$2:$D$201,MATCH(B97,Products!$A$2:$A$201,0))</f>
        <v/>
      </c>
      <c r="G97" s="2">
        <f>E97-F97</f>
        <v/>
      </c>
    </row>
    <row r="98" ht="15" customHeight="1" s="1">
      <c r="A98" s="2" t="n">
        <v>50096</v>
      </c>
      <c r="B98" s="2" t="inlineStr">
        <is>
          <t>SKU-0112</t>
        </is>
      </c>
      <c r="C98" s="2" t="n">
        <v>18</v>
      </c>
      <c r="D98" s="2">
        <f>VLOOKUP(B98,Products!$A$2:$D$201,3,FALSE())</f>
        <v/>
      </c>
      <c r="E98" s="2">
        <f>C98*D98</f>
        <v/>
      </c>
      <c r="F98" s="2">
        <f>C98*INDEX(Products!$D$2:$D$201,MATCH(B98,Products!$A$2:$A$201,0))</f>
        <v/>
      </c>
      <c r="G98" s="2">
        <f>E98-F98</f>
        <v/>
      </c>
    </row>
    <row r="99" ht="15" customHeight="1" s="1">
      <c r="A99" s="2" t="n">
        <v>50097</v>
      </c>
      <c r="B99" s="2" t="inlineStr">
        <is>
          <t>SKU-0091</t>
        </is>
      </c>
      <c r="C99" s="2" t="n">
        <v>16</v>
      </c>
      <c r="D99" s="2">
        <f>VLOOKUP(B99,Products!$A$2:$D$201,3,FALSE())</f>
        <v/>
      </c>
      <c r="E99" s="2">
        <f>C99*D99</f>
        <v/>
      </c>
      <c r="F99" s="2">
        <f>C99*INDEX(Products!$D$2:$D$201,MATCH(B99,Products!$A$2:$A$201,0))</f>
        <v/>
      </c>
      <c r="G99" s="2">
        <f>E99-F99</f>
        <v/>
      </c>
    </row>
    <row r="100" ht="15" customHeight="1" s="1">
      <c r="A100" s="2" t="n">
        <v>50098</v>
      </c>
      <c r="B100" s="2" t="inlineStr">
        <is>
          <t>SKU-0108</t>
        </is>
      </c>
      <c r="C100" s="2" t="n">
        <v>50</v>
      </c>
      <c r="D100" s="2">
        <f>VLOOKUP(B100,Products!$A$2:$D$201,3,FALSE())</f>
        <v/>
      </c>
      <c r="E100" s="2">
        <f>C100*D100</f>
        <v/>
      </c>
      <c r="F100" s="2">
        <f>C100*INDEX(Products!$D$2:$D$201,MATCH(B100,Products!$A$2:$A$201,0))</f>
        <v/>
      </c>
      <c r="G100" s="2">
        <f>E100-F100</f>
        <v/>
      </c>
    </row>
    <row r="101" ht="15" customHeight="1" s="1">
      <c r="A101" s="2" t="n">
        <v>50099</v>
      </c>
      <c r="B101" s="2" t="inlineStr">
        <is>
          <t>SKU-0196</t>
        </is>
      </c>
      <c r="C101" s="2" t="n">
        <v>13</v>
      </c>
      <c r="D101" s="2">
        <f>VLOOKUP(B101,Products!$A$2:$D$201,3,FALSE())</f>
        <v/>
      </c>
      <c r="E101" s="2">
        <f>C101*D101</f>
        <v/>
      </c>
      <c r="F101" s="2">
        <f>C101*INDEX(Products!$D$2:$D$201,MATCH(B101,Products!$A$2:$A$201,0))</f>
        <v/>
      </c>
      <c r="G101" s="2">
        <f>E101-F101</f>
        <v/>
      </c>
    </row>
    <row r="102" ht="15" customHeight="1" s="1">
      <c r="A102" s="2" t="n">
        <v>50100</v>
      </c>
      <c r="B102" s="2" t="inlineStr">
        <is>
          <t>SKU-0133</t>
        </is>
      </c>
      <c r="C102" s="2" t="n">
        <v>5</v>
      </c>
      <c r="D102" s="2">
        <f>VLOOKUP(B102,Products!$A$2:$D$201,3,FALSE())</f>
        <v/>
      </c>
      <c r="E102" s="2">
        <f>C102*D102</f>
        <v/>
      </c>
      <c r="F102" s="2">
        <f>C102*INDEX(Products!$D$2:$D$201,MATCH(B102,Products!$A$2:$A$201,0))</f>
        <v/>
      </c>
      <c r="G102" s="2">
        <f>E102-F102</f>
        <v/>
      </c>
    </row>
    <row r="103" ht="15" customHeight="1" s="1">
      <c r="A103" s="2" t="n">
        <v>50101</v>
      </c>
      <c r="B103" s="2" t="inlineStr">
        <is>
          <t>SKU-0185</t>
        </is>
      </c>
      <c r="C103" s="2" t="n">
        <v>1</v>
      </c>
      <c r="D103" s="2">
        <f>VLOOKUP(B103,Products!$A$2:$D$201,3,FALSE())</f>
        <v/>
      </c>
      <c r="E103" s="2">
        <f>C103*D103</f>
        <v/>
      </c>
      <c r="F103" s="2">
        <f>C103*INDEX(Products!$D$2:$D$201,MATCH(B103,Products!$A$2:$A$201,0))</f>
        <v/>
      </c>
      <c r="G103" s="2">
        <f>E103-F103</f>
        <v/>
      </c>
    </row>
    <row r="104" ht="15" customHeight="1" s="1">
      <c r="A104" s="2" t="n">
        <v>50102</v>
      </c>
      <c r="B104" s="2" t="inlineStr">
        <is>
          <t>SKU-0193</t>
        </is>
      </c>
      <c r="C104" s="2" t="n">
        <v>10</v>
      </c>
      <c r="D104" s="2">
        <f>VLOOKUP(B104,Products!$A$2:$D$201,3,FALSE())</f>
        <v/>
      </c>
      <c r="E104" s="2">
        <f>C104*D104</f>
        <v/>
      </c>
      <c r="F104" s="2">
        <f>C104*INDEX(Products!$D$2:$D$201,MATCH(B104,Products!$A$2:$A$201,0))</f>
        <v/>
      </c>
      <c r="G104" s="2">
        <f>E104-F104</f>
        <v/>
      </c>
    </row>
    <row r="105" ht="15" customHeight="1" s="1">
      <c r="A105" s="2" t="n">
        <v>50103</v>
      </c>
      <c r="B105" s="2" t="inlineStr">
        <is>
          <t>SKU-0176</t>
        </is>
      </c>
      <c r="C105" s="2" t="n">
        <v>15</v>
      </c>
      <c r="D105" s="2">
        <f>VLOOKUP(B105,Products!$A$2:$D$201,3,FALSE())</f>
        <v/>
      </c>
      <c r="E105" s="2">
        <f>C105*D105</f>
        <v/>
      </c>
      <c r="F105" s="2">
        <f>C105*INDEX(Products!$D$2:$D$201,MATCH(B105,Products!$A$2:$A$201,0))</f>
        <v/>
      </c>
      <c r="G105" s="2">
        <f>E105-F105</f>
        <v/>
      </c>
    </row>
    <row r="106" ht="15" customHeight="1" s="1">
      <c r="A106" s="2" t="n">
        <v>50104</v>
      </c>
      <c r="B106" s="2" t="inlineStr">
        <is>
          <t>SKU-0057</t>
        </is>
      </c>
      <c r="C106" s="2" t="n">
        <v>18</v>
      </c>
      <c r="D106" s="2">
        <f>VLOOKUP(B106,Products!$A$2:$D$201,3,FALSE())</f>
        <v/>
      </c>
      <c r="E106" s="2">
        <f>C106*D106</f>
        <v/>
      </c>
      <c r="F106" s="2">
        <f>C106*INDEX(Products!$D$2:$D$201,MATCH(B106,Products!$A$2:$A$201,0))</f>
        <v/>
      </c>
      <c r="G106" s="2">
        <f>E106-F106</f>
        <v/>
      </c>
    </row>
    <row r="107" ht="15" customHeight="1" s="1">
      <c r="A107" s="2" t="n">
        <v>50105</v>
      </c>
      <c r="B107" s="2" t="inlineStr">
        <is>
          <t>SKU-0029</t>
        </is>
      </c>
      <c r="C107" s="2" t="n">
        <v>5</v>
      </c>
      <c r="D107" s="2">
        <f>VLOOKUP(B107,Products!$A$2:$D$201,3,FALSE())</f>
        <v/>
      </c>
      <c r="E107" s="2">
        <f>C107*D107</f>
        <v/>
      </c>
      <c r="F107" s="2">
        <f>C107*INDEX(Products!$D$2:$D$201,MATCH(B107,Products!$A$2:$A$201,0))</f>
        <v/>
      </c>
      <c r="G107" s="2">
        <f>E107-F107</f>
        <v/>
      </c>
    </row>
    <row r="108" ht="15" customHeight="1" s="1">
      <c r="A108" s="2" t="n">
        <v>50106</v>
      </c>
      <c r="B108" s="2" t="inlineStr">
        <is>
          <t>SKU-0079</t>
        </is>
      </c>
      <c r="C108" s="2" t="n">
        <v>16</v>
      </c>
      <c r="D108" s="2">
        <f>VLOOKUP(B108,Products!$A$2:$D$201,3,FALSE())</f>
        <v/>
      </c>
      <c r="E108" s="2">
        <f>C108*D108</f>
        <v/>
      </c>
      <c r="F108" s="2">
        <f>C108*INDEX(Products!$D$2:$D$201,MATCH(B108,Products!$A$2:$A$201,0))</f>
        <v/>
      </c>
      <c r="G108" s="2">
        <f>E108-F108</f>
        <v/>
      </c>
    </row>
    <row r="109" ht="15" customHeight="1" s="1">
      <c r="A109" s="2" t="n">
        <v>50107</v>
      </c>
      <c r="B109" s="2" t="inlineStr">
        <is>
          <t>SKU-0022</t>
        </is>
      </c>
      <c r="C109" s="2" t="n">
        <v>9</v>
      </c>
      <c r="D109" s="2">
        <f>VLOOKUP(B109,Products!$A$2:$D$201,3,FALSE())</f>
        <v/>
      </c>
      <c r="E109" s="2">
        <f>C109*D109</f>
        <v/>
      </c>
      <c r="F109" s="2">
        <f>C109*INDEX(Products!$D$2:$D$201,MATCH(B109,Products!$A$2:$A$201,0))</f>
        <v/>
      </c>
      <c r="G109" s="2">
        <f>E109-F109</f>
        <v/>
      </c>
    </row>
    <row r="110" ht="15" customHeight="1" s="1">
      <c r="A110" s="2" t="n">
        <v>50108</v>
      </c>
      <c r="B110" s="2" t="inlineStr">
        <is>
          <t>SKU-0103</t>
        </is>
      </c>
      <c r="C110" s="2" t="n">
        <v>11</v>
      </c>
      <c r="D110" s="2">
        <f>VLOOKUP(B110,Products!$A$2:$D$201,3,FALSE())</f>
        <v/>
      </c>
      <c r="E110" s="2">
        <f>C110*D110</f>
        <v/>
      </c>
      <c r="F110" s="2">
        <f>C110*INDEX(Products!$D$2:$D$201,MATCH(B110,Products!$A$2:$A$201,0))</f>
        <v/>
      </c>
      <c r="G110" s="2">
        <f>E110-F110</f>
        <v/>
      </c>
    </row>
    <row r="111" ht="15" customHeight="1" s="1">
      <c r="A111" s="2" t="n">
        <v>50109</v>
      </c>
      <c r="B111" s="2" t="inlineStr">
        <is>
          <t>SKU-0033</t>
        </is>
      </c>
      <c r="C111" s="2" t="n">
        <v>5</v>
      </c>
      <c r="D111" s="2">
        <f>VLOOKUP(B111,Products!$A$2:$D$201,3,FALSE())</f>
        <v/>
      </c>
      <c r="E111" s="2">
        <f>C111*D111</f>
        <v/>
      </c>
      <c r="F111" s="2">
        <f>C111*INDEX(Products!$D$2:$D$201,MATCH(B111,Products!$A$2:$A$201,0))</f>
        <v/>
      </c>
      <c r="G111" s="2">
        <f>E111-F111</f>
        <v/>
      </c>
    </row>
    <row r="112" ht="15" customHeight="1" s="1">
      <c r="A112" s="2" t="n">
        <v>50110</v>
      </c>
      <c r="B112" s="2" t="inlineStr">
        <is>
          <t>SKU-0137</t>
        </is>
      </c>
      <c r="C112" s="2" t="n">
        <v>3</v>
      </c>
      <c r="D112" s="2">
        <f>VLOOKUP(B112,Products!$A$2:$D$201,3,FALSE())</f>
        <v/>
      </c>
      <c r="E112" s="2">
        <f>C112*D112</f>
        <v/>
      </c>
      <c r="F112" s="2">
        <f>C112*INDEX(Products!$D$2:$D$201,MATCH(B112,Products!$A$2:$A$201,0))</f>
        <v/>
      </c>
      <c r="G112" s="2">
        <f>E112-F112</f>
        <v/>
      </c>
    </row>
    <row r="113" ht="15" customHeight="1" s="1">
      <c r="A113" s="2" t="n">
        <v>50111</v>
      </c>
      <c r="B113" s="2" t="inlineStr">
        <is>
          <t>SKU-0120</t>
        </is>
      </c>
      <c r="C113" s="2" t="n">
        <v>8</v>
      </c>
      <c r="D113" s="2">
        <f>VLOOKUP(B113,Products!$A$2:$D$201,3,FALSE())</f>
        <v/>
      </c>
      <c r="E113" s="2">
        <f>C113*D113</f>
        <v/>
      </c>
      <c r="F113" s="2">
        <f>C113*INDEX(Products!$D$2:$D$201,MATCH(B113,Products!$A$2:$A$201,0))</f>
        <v/>
      </c>
      <c r="G113" s="2">
        <f>E113-F113</f>
        <v/>
      </c>
    </row>
    <row r="114" ht="15" customHeight="1" s="1">
      <c r="A114" s="2" t="n">
        <v>50112</v>
      </c>
      <c r="B114" s="2" t="inlineStr">
        <is>
          <t>SKU-0178</t>
        </is>
      </c>
      <c r="C114" s="2" t="n">
        <v>3</v>
      </c>
      <c r="D114" s="2">
        <f>VLOOKUP(B114,Products!$A$2:$D$201,3,FALSE())</f>
        <v/>
      </c>
      <c r="E114" s="2">
        <f>C114*D114</f>
        <v/>
      </c>
      <c r="F114" s="2">
        <f>C114*INDEX(Products!$D$2:$D$201,MATCH(B114,Products!$A$2:$A$201,0))</f>
        <v/>
      </c>
      <c r="G114" s="2">
        <f>E114-F114</f>
        <v/>
      </c>
    </row>
    <row r="115" ht="15" customHeight="1" s="1">
      <c r="A115" s="2" t="n">
        <v>50113</v>
      </c>
      <c r="B115" s="2" t="inlineStr">
        <is>
          <t>SKU-0109</t>
        </is>
      </c>
      <c r="C115" s="2" t="n">
        <v>19</v>
      </c>
      <c r="D115" s="2">
        <f>VLOOKUP(B115,Products!$A$2:$D$201,3,FALSE())</f>
        <v/>
      </c>
      <c r="E115" s="2">
        <f>C115*D115</f>
        <v/>
      </c>
      <c r="F115" s="2">
        <f>C115*INDEX(Products!$D$2:$D$201,MATCH(B115,Products!$A$2:$A$201,0))</f>
        <v/>
      </c>
      <c r="G115" s="2">
        <f>E115-F115</f>
        <v/>
      </c>
    </row>
    <row r="116" ht="15" customHeight="1" s="1">
      <c r="A116" s="2" t="n">
        <v>50114</v>
      </c>
      <c r="B116" s="2" t="inlineStr">
        <is>
          <t>SKU-0170</t>
        </is>
      </c>
      <c r="C116" s="2" t="n">
        <v>8</v>
      </c>
      <c r="D116" s="2">
        <f>VLOOKUP(B116,Products!$A$2:$D$201,3,FALSE())</f>
        <v/>
      </c>
      <c r="E116" s="2">
        <f>C116*D116</f>
        <v/>
      </c>
      <c r="F116" s="2">
        <f>C116*INDEX(Products!$D$2:$D$201,MATCH(B116,Products!$A$2:$A$201,0))</f>
        <v/>
      </c>
      <c r="G116" s="2">
        <f>E116-F116</f>
        <v/>
      </c>
    </row>
    <row r="117" ht="15" customHeight="1" s="1">
      <c r="A117" s="2" t="n">
        <v>50115</v>
      </c>
      <c r="B117" s="2" t="inlineStr">
        <is>
          <t>SKU-0070</t>
        </is>
      </c>
      <c r="C117" s="2" t="n">
        <v>2</v>
      </c>
      <c r="D117" s="2">
        <f>VLOOKUP(B117,Products!$A$2:$D$201,3,FALSE())</f>
        <v/>
      </c>
      <c r="E117" s="2">
        <f>C117*D117</f>
        <v/>
      </c>
      <c r="F117" s="2">
        <f>C117*INDEX(Products!$D$2:$D$201,MATCH(B117,Products!$A$2:$A$201,0))</f>
        <v/>
      </c>
      <c r="G117" s="2">
        <f>E117-F117</f>
        <v/>
      </c>
    </row>
    <row r="118" ht="15" customHeight="1" s="1">
      <c r="A118" s="2" t="n">
        <v>50116</v>
      </c>
      <c r="B118" s="2" t="inlineStr">
        <is>
          <t>SKU-0126</t>
        </is>
      </c>
      <c r="C118" s="2" t="n">
        <v>8</v>
      </c>
      <c r="D118" s="2">
        <f>VLOOKUP(B118,Products!$A$2:$D$201,3,FALSE())</f>
        <v/>
      </c>
      <c r="E118" s="2">
        <f>C118*D118</f>
        <v/>
      </c>
      <c r="F118" s="2">
        <f>C118*INDEX(Products!$D$2:$D$201,MATCH(B118,Products!$A$2:$A$201,0))</f>
        <v/>
      </c>
      <c r="G118" s="2">
        <f>E118-F118</f>
        <v/>
      </c>
    </row>
    <row r="119" ht="15" customHeight="1" s="1">
      <c r="A119" s="2" t="n">
        <v>50117</v>
      </c>
      <c r="B119" s="2" t="inlineStr">
        <is>
          <t>SKU-0012</t>
        </is>
      </c>
      <c r="C119" s="2" t="n">
        <v>7</v>
      </c>
      <c r="D119" s="2">
        <f>VLOOKUP(B119,Products!$A$2:$D$201,3,FALSE())</f>
        <v/>
      </c>
      <c r="E119" s="2">
        <f>C119*D119</f>
        <v/>
      </c>
      <c r="F119" s="2">
        <f>C119*INDEX(Products!$D$2:$D$201,MATCH(B119,Products!$A$2:$A$201,0))</f>
        <v/>
      </c>
      <c r="G119" s="2">
        <f>E119-F119</f>
        <v/>
      </c>
    </row>
    <row r="120" ht="15" customHeight="1" s="1">
      <c r="A120" s="2" t="n">
        <v>50118</v>
      </c>
      <c r="B120" s="2" t="inlineStr">
        <is>
          <t>SKU-0073</t>
        </is>
      </c>
      <c r="C120" s="2" t="n">
        <v>12</v>
      </c>
      <c r="D120" s="2">
        <f>VLOOKUP(B120,Products!$A$2:$D$201,3,FALSE())</f>
        <v/>
      </c>
      <c r="E120" s="2">
        <f>C120*D120</f>
        <v/>
      </c>
      <c r="F120" s="2">
        <f>C120*INDEX(Products!$D$2:$D$201,MATCH(B120,Products!$A$2:$A$201,0))</f>
        <v/>
      </c>
      <c r="G120" s="2">
        <f>E120-F120</f>
        <v/>
      </c>
    </row>
    <row r="121" ht="15" customHeight="1" s="1">
      <c r="A121" s="2" t="n">
        <v>50119</v>
      </c>
      <c r="B121" s="2" t="inlineStr">
        <is>
          <t>SKU-0025</t>
        </is>
      </c>
      <c r="C121" s="2" t="n">
        <v>3</v>
      </c>
      <c r="D121" s="2">
        <f>VLOOKUP(B121,Products!$A$2:$D$201,3,FALSE())</f>
        <v/>
      </c>
      <c r="E121" s="2">
        <f>C121*D121</f>
        <v/>
      </c>
      <c r="F121" s="2">
        <f>C121*INDEX(Products!$D$2:$D$201,MATCH(B121,Products!$A$2:$A$201,0))</f>
        <v/>
      </c>
      <c r="G121" s="2">
        <f>E121-F121</f>
        <v/>
      </c>
    </row>
    <row r="122" ht="15" customHeight="1" s="1">
      <c r="A122" s="2" t="n">
        <v>50120</v>
      </c>
      <c r="B122" s="2" t="inlineStr">
        <is>
          <t>SKU-0107</t>
        </is>
      </c>
      <c r="C122" s="2" t="n">
        <v>11</v>
      </c>
      <c r="D122" s="2">
        <f>VLOOKUP(B122,Products!$A$2:$D$201,3,FALSE())</f>
        <v/>
      </c>
      <c r="E122" s="2">
        <f>C122*D122</f>
        <v/>
      </c>
      <c r="F122" s="2">
        <f>C122*INDEX(Products!$D$2:$D$201,MATCH(B122,Products!$A$2:$A$201,0))</f>
        <v/>
      </c>
      <c r="G122" s="2">
        <f>E122-F122</f>
        <v/>
      </c>
    </row>
    <row r="123" ht="15" customHeight="1" s="1">
      <c r="A123" s="2" t="n">
        <v>50121</v>
      </c>
      <c r="B123" s="2" t="inlineStr">
        <is>
          <t>SKU-0097</t>
        </is>
      </c>
      <c r="C123" s="2" t="n">
        <v>18</v>
      </c>
      <c r="D123" s="2">
        <f>VLOOKUP(B123,Products!$A$2:$D$201,3,FALSE())</f>
        <v/>
      </c>
      <c r="E123" s="2">
        <f>C123*D123</f>
        <v/>
      </c>
      <c r="F123" s="2">
        <f>C123*INDEX(Products!$D$2:$D$201,MATCH(B123,Products!$A$2:$A$201,0))</f>
        <v/>
      </c>
      <c r="G123" s="2">
        <f>E123-F123</f>
        <v/>
      </c>
    </row>
    <row r="124" ht="15" customHeight="1" s="1">
      <c r="A124" s="2" t="n">
        <v>50122</v>
      </c>
      <c r="B124" s="2" t="inlineStr">
        <is>
          <t>SKU-0000</t>
        </is>
      </c>
      <c r="C124" s="2" t="n">
        <v>10</v>
      </c>
      <c r="D124" s="2">
        <f>VLOOKUP(B124,Products!$A$2:$D$201,3,FALSE())</f>
        <v/>
      </c>
      <c r="E124" s="2">
        <f>C124*D124</f>
        <v/>
      </c>
      <c r="F124" s="2">
        <f>C124*INDEX(Products!$D$2:$D$201,MATCH(B124,Products!$A$2:$A$201,0))</f>
        <v/>
      </c>
      <c r="G124" s="2">
        <f>E124-F124</f>
        <v/>
      </c>
    </row>
    <row r="125" ht="15" customHeight="1" s="1">
      <c r="A125" s="2" t="n">
        <v>50123</v>
      </c>
      <c r="B125" s="2" t="inlineStr">
        <is>
          <t>SKU-0167</t>
        </is>
      </c>
      <c r="C125" s="2" t="n">
        <v>5</v>
      </c>
      <c r="D125" s="2">
        <f>VLOOKUP(B125,Products!$A$2:$D$201,3,FALSE())</f>
        <v/>
      </c>
      <c r="E125" s="2">
        <f>C125*D125</f>
        <v/>
      </c>
      <c r="F125" s="2">
        <f>C125*INDEX(Products!$D$2:$D$201,MATCH(B125,Products!$A$2:$A$201,0))</f>
        <v/>
      </c>
      <c r="G125" s="2">
        <f>E125-F125</f>
        <v/>
      </c>
    </row>
    <row r="126" ht="15" customHeight="1" s="1">
      <c r="A126" s="2" t="n">
        <v>50124</v>
      </c>
      <c r="B126" s="2" t="inlineStr">
        <is>
          <t>SKU-0147</t>
        </is>
      </c>
      <c r="C126" s="2" t="n">
        <v>1</v>
      </c>
      <c r="D126" s="2">
        <f>VLOOKUP(B126,Products!$A$2:$D$201,3,FALSE())</f>
        <v/>
      </c>
      <c r="E126" s="2">
        <f>C126*D126</f>
        <v/>
      </c>
      <c r="F126" s="2">
        <f>C126*INDEX(Products!$D$2:$D$201,MATCH(B126,Products!$A$2:$A$201,0))</f>
        <v/>
      </c>
      <c r="G126" s="2">
        <f>E126-F126</f>
        <v/>
      </c>
    </row>
    <row r="127" ht="15" customHeight="1" s="1">
      <c r="A127" s="2" t="n">
        <v>50125</v>
      </c>
      <c r="B127" s="2" t="inlineStr">
        <is>
          <t>SKU-0113</t>
        </is>
      </c>
      <c r="C127" s="2" t="n">
        <v>5</v>
      </c>
      <c r="D127" s="2">
        <f>VLOOKUP(B127,Products!$A$2:$D$201,3,FALSE())</f>
        <v/>
      </c>
      <c r="E127" s="2">
        <f>C127*D127</f>
        <v/>
      </c>
      <c r="F127" s="2">
        <f>C127*INDEX(Products!$D$2:$D$201,MATCH(B127,Products!$A$2:$A$201,0))</f>
        <v/>
      </c>
      <c r="G127" s="2">
        <f>E127-F127</f>
        <v/>
      </c>
    </row>
    <row r="128" ht="15" customHeight="1" s="1">
      <c r="A128" s="2" t="n">
        <v>50126</v>
      </c>
      <c r="B128" s="2" t="inlineStr">
        <is>
          <t>SKU-0176</t>
        </is>
      </c>
      <c r="C128" s="2" t="n">
        <v>1</v>
      </c>
      <c r="D128" s="2">
        <f>VLOOKUP(B128,Products!$A$2:$D$201,3,FALSE())</f>
        <v/>
      </c>
      <c r="E128" s="2">
        <f>C128*D128</f>
        <v/>
      </c>
      <c r="F128" s="2">
        <f>C128*INDEX(Products!$D$2:$D$201,MATCH(B128,Products!$A$2:$A$201,0))</f>
        <v/>
      </c>
      <c r="G128" s="2">
        <f>E128-F128</f>
        <v/>
      </c>
    </row>
    <row r="129" ht="15" customHeight="1" s="1">
      <c r="A129" s="2" t="n">
        <v>50127</v>
      </c>
      <c r="B129" s="2" t="inlineStr">
        <is>
          <t>SKU-0186</t>
        </is>
      </c>
      <c r="C129" s="2" t="n">
        <v>2</v>
      </c>
      <c r="D129" s="2">
        <f>VLOOKUP(B129,Products!$A$2:$D$201,3,FALSE())</f>
        <v/>
      </c>
      <c r="E129" s="2">
        <f>C129*D129</f>
        <v/>
      </c>
      <c r="F129" s="2">
        <f>C129*INDEX(Products!$D$2:$D$201,MATCH(B129,Products!$A$2:$A$201,0))</f>
        <v/>
      </c>
      <c r="G129" s="2">
        <f>E129-F129</f>
        <v/>
      </c>
    </row>
    <row r="130" ht="15" customHeight="1" s="1">
      <c r="A130" s="2" t="n">
        <v>50128</v>
      </c>
      <c r="B130" s="2" t="inlineStr">
        <is>
          <t>SKU-0179</t>
        </is>
      </c>
      <c r="C130" s="2" t="n">
        <v>14</v>
      </c>
      <c r="D130" s="2">
        <f>VLOOKUP(B130,Products!$A$2:$D$201,3,FALSE())</f>
        <v/>
      </c>
      <c r="E130" s="2">
        <f>C130*D130</f>
        <v/>
      </c>
      <c r="F130" s="2">
        <f>C130*INDEX(Products!$D$2:$D$201,MATCH(B130,Products!$A$2:$A$201,0))</f>
        <v/>
      </c>
      <c r="G130" s="2">
        <f>E130-F130</f>
        <v/>
      </c>
    </row>
    <row r="131" ht="15" customHeight="1" s="1">
      <c r="A131" s="2" t="n">
        <v>50129</v>
      </c>
      <c r="B131" s="2" t="inlineStr">
        <is>
          <t>SKU-0068</t>
        </is>
      </c>
      <c r="C131" s="2" t="n">
        <v>4</v>
      </c>
      <c r="D131" s="2">
        <f>VLOOKUP(B131,Products!$A$2:$D$201,3,FALSE())</f>
        <v/>
      </c>
      <c r="E131" s="2">
        <f>C131*D131</f>
        <v/>
      </c>
      <c r="F131" s="2">
        <f>C131*INDEX(Products!$D$2:$D$201,MATCH(B131,Products!$A$2:$A$201,0))</f>
        <v/>
      </c>
      <c r="G131" s="2">
        <f>E131-F131</f>
        <v/>
      </c>
    </row>
    <row r="132" ht="15" customHeight="1" s="1">
      <c r="A132" s="2" t="n">
        <v>50130</v>
      </c>
      <c r="B132" s="2" t="inlineStr">
        <is>
          <t>SKU-0097</t>
        </is>
      </c>
      <c r="C132" s="2" t="n">
        <v>18</v>
      </c>
      <c r="D132" s="2">
        <f>VLOOKUP(B132,Products!$A$2:$D$201,3,FALSE())</f>
        <v/>
      </c>
      <c r="E132" s="2">
        <f>C132*D132</f>
        <v/>
      </c>
      <c r="F132" s="2">
        <f>C132*INDEX(Products!$D$2:$D$201,MATCH(B132,Products!$A$2:$A$201,0))</f>
        <v/>
      </c>
      <c r="G132" s="2">
        <f>E132-F132</f>
        <v/>
      </c>
    </row>
    <row r="133" ht="15" customHeight="1" s="1">
      <c r="A133" s="2" t="n">
        <v>50131</v>
      </c>
      <c r="B133" s="2" t="inlineStr">
        <is>
          <t>SKU-0033</t>
        </is>
      </c>
      <c r="C133" s="2" t="n">
        <v>11</v>
      </c>
      <c r="D133" s="2">
        <f>VLOOKUP(B133,Products!$A$2:$D$201,3,FALSE())</f>
        <v/>
      </c>
      <c r="E133" s="2">
        <f>C133*D133</f>
        <v/>
      </c>
      <c r="F133" s="2">
        <f>C133*INDEX(Products!$D$2:$D$201,MATCH(B133,Products!$A$2:$A$201,0))</f>
        <v/>
      </c>
      <c r="G133" s="2">
        <f>E133-F133</f>
        <v/>
      </c>
    </row>
    <row r="134" ht="15" customHeight="1" s="1">
      <c r="A134" s="2" t="n">
        <v>50132</v>
      </c>
      <c r="B134" s="2" t="inlineStr">
        <is>
          <t>SKU-0016</t>
        </is>
      </c>
      <c r="C134" s="2" t="n">
        <v>10</v>
      </c>
      <c r="D134" s="2">
        <f>VLOOKUP(B134,Products!$A$2:$D$201,3,FALSE())</f>
        <v/>
      </c>
      <c r="E134" s="2">
        <f>C134*D134</f>
        <v/>
      </c>
      <c r="F134" s="2">
        <f>C134*INDEX(Products!$D$2:$D$201,MATCH(B134,Products!$A$2:$A$201,0))</f>
        <v/>
      </c>
      <c r="G134" s="2">
        <f>E134-F134</f>
        <v/>
      </c>
    </row>
    <row r="135" ht="15" customHeight="1" s="1">
      <c r="A135" s="2" t="n">
        <v>50133</v>
      </c>
      <c r="B135" s="2" t="inlineStr">
        <is>
          <t>SKU-0043</t>
        </is>
      </c>
      <c r="C135" s="2" t="n">
        <v>5</v>
      </c>
      <c r="D135" s="2">
        <f>VLOOKUP(B135,Products!$A$2:$D$201,3,FALSE())</f>
        <v/>
      </c>
      <c r="E135" s="2">
        <f>C135*D135</f>
        <v/>
      </c>
      <c r="F135" s="2">
        <f>C135*INDEX(Products!$D$2:$D$201,MATCH(B135,Products!$A$2:$A$201,0))</f>
        <v/>
      </c>
      <c r="G135" s="2">
        <f>E135-F135</f>
        <v/>
      </c>
    </row>
    <row r="136" ht="15" customHeight="1" s="1">
      <c r="A136" s="2" t="n">
        <v>50134</v>
      </c>
      <c r="B136" s="2" t="inlineStr">
        <is>
          <t>SKU-0067</t>
        </is>
      </c>
      <c r="C136" s="2" t="n">
        <v>16</v>
      </c>
      <c r="D136" s="2">
        <f>VLOOKUP(B136,Products!$A$2:$D$201,3,FALSE())</f>
        <v/>
      </c>
      <c r="E136" s="2">
        <f>C136*D136</f>
        <v/>
      </c>
      <c r="F136" s="2">
        <f>C136*INDEX(Products!$D$2:$D$201,MATCH(B136,Products!$A$2:$A$201,0))</f>
        <v/>
      </c>
      <c r="G136" s="2">
        <f>E136-F136</f>
        <v/>
      </c>
    </row>
    <row r="137" ht="15" customHeight="1" s="1">
      <c r="A137" s="2" t="n">
        <v>50135</v>
      </c>
      <c r="B137" s="2" t="inlineStr">
        <is>
          <t>SKU-0173</t>
        </is>
      </c>
      <c r="C137" s="2" t="n">
        <v>11</v>
      </c>
      <c r="D137" s="2">
        <f>VLOOKUP(B137,Products!$A$2:$D$201,3,FALSE())</f>
        <v/>
      </c>
      <c r="E137" s="2">
        <f>C137*D137</f>
        <v/>
      </c>
      <c r="F137" s="2">
        <f>C137*INDEX(Products!$D$2:$D$201,MATCH(B137,Products!$A$2:$A$201,0))</f>
        <v/>
      </c>
      <c r="G137" s="2">
        <f>E137-F137</f>
        <v/>
      </c>
    </row>
    <row r="138" ht="15" customHeight="1" s="1">
      <c r="A138" s="2" t="n">
        <v>50136</v>
      </c>
      <c r="B138" s="2" t="inlineStr">
        <is>
          <t>SKU-0073</t>
        </is>
      </c>
      <c r="C138" s="2" t="n">
        <v>2</v>
      </c>
      <c r="D138" s="2">
        <f>VLOOKUP(B138,Products!$A$2:$D$201,3,FALSE())</f>
        <v/>
      </c>
      <c r="E138" s="2">
        <f>C138*D138</f>
        <v/>
      </c>
      <c r="F138" s="2">
        <f>C138*INDEX(Products!$D$2:$D$201,MATCH(B138,Products!$A$2:$A$201,0))</f>
        <v/>
      </c>
      <c r="G138" s="2">
        <f>E138-F138</f>
        <v/>
      </c>
    </row>
    <row r="139" ht="15" customHeight="1" s="1">
      <c r="A139" s="2" t="n">
        <v>50137</v>
      </c>
      <c r="B139" s="2" t="inlineStr">
        <is>
          <t>SKU-0016</t>
        </is>
      </c>
      <c r="C139" s="2" t="n">
        <v>18</v>
      </c>
      <c r="D139" s="2">
        <f>VLOOKUP(B139,Products!$A$2:$D$201,3,FALSE())</f>
        <v/>
      </c>
      <c r="E139" s="2">
        <f>C139*D139</f>
        <v/>
      </c>
      <c r="F139" s="2">
        <f>C139*INDEX(Products!$D$2:$D$201,MATCH(B139,Products!$A$2:$A$201,0))</f>
        <v/>
      </c>
      <c r="G139" s="2">
        <f>E139-F139</f>
        <v/>
      </c>
    </row>
    <row r="140" ht="15" customHeight="1" s="1">
      <c r="A140" s="2" t="n">
        <v>50138</v>
      </c>
      <c r="B140" s="2" t="inlineStr">
        <is>
          <t>SKU-0195</t>
        </is>
      </c>
      <c r="C140" s="2" t="n">
        <v>18</v>
      </c>
      <c r="D140" s="2">
        <f>VLOOKUP(B140,Products!$A$2:$D$201,3,FALSE())</f>
        <v/>
      </c>
      <c r="E140" s="2">
        <f>C140*D140</f>
        <v/>
      </c>
      <c r="F140" s="2">
        <f>C140*INDEX(Products!$D$2:$D$201,MATCH(B140,Products!$A$2:$A$201,0))</f>
        <v/>
      </c>
      <c r="G140" s="2">
        <f>E140-F140</f>
        <v/>
      </c>
    </row>
    <row r="141" ht="15" customHeight="1" s="1">
      <c r="A141" s="2" t="n">
        <v>50139</v>
      </c>
      <c r="B141" s="2" t="inlineStr">
        <is>
          <t>SKU-0007</t>
        </is>
      </c>
      <c r="C141" s="2" t="n">
        <v>1</v>
      </c>
      <c r="D141" s="2">
        <f>VLOOKUP(B141,Products!$A$2:$D$201,3,FALSE())</f>
        <v/>
      </c>
      <c r="E141" s="2">
        <f>C141*D141</f>
        <v/>
      </c>
      <c r="F141" s="2">
        <f>C141*INDEX(Products!$D$2:$D$201,MATCH(B141,Products!$A$2:$A$201,0))</f>
        <v/>
      </c>
      <c r="G141" s="2">
        <f>E141-F141</f>
        <v/>
      </c>
    </row>
    <row r="142" ht="15" customHeight="1" s="1">
      <c r="A142" s="2" t="n">
        <v>50140</v>
      </c>
      <c r="B142" s="2" t="inlineStr">
        <is>
          <t>SKU-0031</t>
        </is>
      </c>
      <c r="C142" s="2" t="n">
        <v>2</v>
      </c>
      <c r="D142" s="2">
        <f>VLOOKUP(B142,Products!$A$2:$D$201,3,FALSE())</f>
        <v/>
      </c>
      <c r="E142" s="2">
        <f>C142*D142</f>
        <v/>
      </c>
      <c r="F142" s="2">
        <f>C142*INDEX(Products!$D$2:$D$201,MATCH(B142,Products!$A$2:$A$201,0))</f>
        <v/>
      </c>
      <c r="G142" s="2">
        <f>E142-F142</f>
        <v/>
      </c>
    </row>
    <row r="143" ht="15" customHeight="1" s="1">
      <c r="A143" s="2" t="n">
        <v>50141</v>
      </c>
      <c r="B143" s="2" t="inlineStr">
        <is>
          <t>SKU-0033</t>
        </is>
      </c>
      <c r="C143" s="2" t="n">
        <v>12</v>
      </c>
      <c r="D143" s="2">
        <f>VLOOKUP(B143,Products!$A$2:$D$201,3,FALSE())</f>
        <v/>
      </c>
      <c r="E143" s="2">
        <f>C143*D143</f>
        <v/>
      </c>
      <c r="F143" s="2">
        <f>C143*INDEX(Products!$D$2:$D$201,MATCH(B143,Products!$A$2:$A$201,0))</f>
        <v/>
      </c>
      <c r="G143" s="2">
        <f>E143-F143</f>
        <v/>
      </c>
    </row>
    <row r="144" ht="15" customHeight="1" s="1">
      <c r="A144" s="2" t="n">
        <v>50142</v>
      </c>
      <c r="B144" s="2" t="inlineStr">
        <is>
          <t>SKU-0111</t>
        </is>
      </c>
      <c r="C144" s="2" t="n">
        <v>9</v>
      </c>
      <c r="D144" s="2">
        <f>VLOOKUP(B144,Products!$A$2:$D$201,3,FALSE())</f>
        <v/>
      </c>
      <c r="E144" s="2">
        <f>C144*D144</f>
        <v/>
      </c>
      <c r="F144" s="2">
        <f>C144*INDEX(Products!$D$2:$D$201,MATCH(B144,Products!$A$2:$A$201,0))</f>
        <v/>
      </c>
      <c r="G144" s="2">
        <f>E144-F144</f>
        <v/>
      </c>
    </row>
    <row r="145" ht="15" customHeight="1" s="1">
      <c r="A145" s="2" t="n">
        <v>50143</v>
      </c>
      <c r="B145" s="2" t="inlineStr">
        <is>
          <t>SKU-0156</t>
        </is>
      </c>
      <c r="C145" s="2" t="n">
        <v>1</v>
      </c>
      <c r="D145" s="2">
        <f>VLOOKUP(B145,Products!$A$2:$D$201,3,FALSE())</f>
        <v/>
      </c>
      <c r="E145" s="2">
        <f>C145*D145</f>
        <v/>
      </c>
      <c r="F145" s="2">
        <f>C145*INDEX(Products!$D$2:$D$201,MATCH(B145,Products!$A$2:$A$201,0))</f>
        <v/>
      </c>
      <c r="G145" s="2">
        <f>E145-F145</f>
        <v/>
      </c>
    </row>
    <row r="146" ht="15" customHeight="1" s="1">
      <c r="A146" s="2" t="n">
        <v>50144</v>
      </c>
      <c r="B146" s="2" t="inlineStr">
        <is>
          <t>SKU-0059</t>
        </is>
      </c>
      <c r="C146" s="2" t="n">
        <v>17</v>
      </c>
      <c r="D146" s="2">
        <f>VLOOKUP(B146,Products!$A$2:$D$201,3,FALSE())</f>
        <v/>
      </c>
      <c r="E146" s="2">
        <f>C146*D146</f>
        <v/>
      </c>
      <c r="F146" s="2">
        <f>C146*INDEX(Products!$D$2:$D$201,MATCH(B146,Products!$A$2:$A$201,0))</f>
        <v/>
      </c>
      <c r="G146" s="2">
        <f>E146-F146</f>
        <v/>
      </c>
    </row>
    <row r="147" ht="15" customHeight="1" s="1">
      <c r="A147" s="2" t="n">
        <v>50145</v>
      </c>
      <c r="B147" s="2" t="inlineStr">
        <is>
          <t>SKU-0109</t>
        </is>
      </c>
      <c r="C147" s="2" t="n">
        <v>5</v>
      </c>
      <c r="D147" s="2">
        <f>VLOOKUP(B147,Products!$A$2:$D$201,3,FALSE())</f>
        <v/>
      </c>
      <c r="E147" s="2">
        <f>C147*D147</f>
        <v/>
      </c>
      <c r="F147" s="2">
        <f>C147*INDEX(Products!$D$2:$D$201,MATCH(B147,Products!$A$2:$A$201,0))</f>
        <v/>
      </c>
      <c r="G147" s="2">
        <f>E147-F147</f>
        <v/>
      </c>
    </row>
    <row r="148" ht="15" customHeight="1" s="1">
      <c r="A148" s="2" t="n">
        <v>50146</v>
      </c>
      <c r="B148" s="2" t="inlineStr">
        <is>
          <t>SKU-0092</t>
        </is>
      </c>
      <c r="C148" s="2" t="n">
        <v>7</v>
      </c>
      <c r="D148" s="2">
        <f>VLOOKUP(B148,Products!$A$2:$D$201,3,FALSE())</f>
        <v/>
      </c>
      <c r="E148" s="2">
        <f>C148*D148</f>
        <v/>
      </c>
      <c r="F148" s="2">
        <f>C148*INDEX(Products!$D$2:$D$201,MATCH(B148,Products!$A$2:$A$201,0))</f>
        <v/>
      </c>
      <c r="G148" s="2">
        <f>E148-F148</f>
        <v/>
      </c>
    </row>
    <row r="149" ht="15" customHeight="1" s="1">
      <c r="A149" s="2" t="n">
        <v>50147</v>
      </c>
      <c r="B149" s="2" t="inlineStr">
        <is>
          <t>SKU-0084</t>
        </is>
      </c>
      <c r="C149" s="2" t="n">
        <v>12</v>
      </c>
      <c r="D149" s="2">
        <f>VLOOKUP(B149,Products!$A$2:$D$201,3,FALSE())</f>
        <v/>
      </c>
      <c r="E149" s="2">
        <f>C149*D149</f>
        <v/>
      </c>
      <c r="F149" s="2">
        <f>C149*INDEX(Products!$D$2:$D$201,MATCH(B149,Products!$A$2:$A$201,0))</f>
        <v/>
      </c>
      <c r="G149" s="2">
        <f>E149-F149</f>
        <v/>
      </c>
    </row>
    <row r="150" ht="15" customHeight="1" s="1">
      <c r="A150" s="2" t="n">
        <v>50148</v>
      </c>
      <c r="B150" s="2" t="inlineStr">
        <is>
          <t>SKU-0003</t>
        </is>
      </c>
      <c r="C150" s="2" t="n">
        <v>6</v>
      </c>
      <c r="D150" s="2">
        <f>VLOOKUP(B150,Products!$A$2:$D$201,3,FALSE())</f>
        <v/>
      </c>
      <c r="E150" s="2">
        <f>C150*D150</f>
        <v/>
      </c>
      <c r="F150" s="2">
        <f>C150*INDEX(Products!$D$2:$D$201,MATCH(B150,Products!$A$2:$A$201,0))</f>
        <v/>
      </c>
      <c r="G150" s="2">
        <f>E150-F150</f>
        <v/>
      </c>
    </row>
    <row r="151" ht="15" customHeight="1" s="1">
      <c r="A151" s="2" t="n">
        <v>50149</v>
      </c>
      <c r="B151" s="2" t="inlineStr">
        <is>
          <t>SKU-0149</t>
        </is>
      </c>
      <c r="C151" s="2" t="n">
        <v>20</v>
      </c>
      <c r="D151" s="2">
        <f>VLOOKUP(B151,Products!$A$2:$D$201,3,FALSE())</f>
        <v/>
      </c>
      <c r="E151" s="2">
        <f>C151*D151</f>
        <v/>
      </c>
      <c r="F151" s="2">
        <f>C151*INDEX(Products!$D$2:$D$201,MATCH(B151,Products!$A$2:$A$201,0))</f>
        <v/>
      </c>
      <c r="G151" s="2">
        <f>E151-F151</f>
        <v/>
      </c>
    </row>
    <row r="152" ht="15" customHeight="1" s="1">
      <c r="A152" s="2" t="n">
        <v>50150</v>
      </c>
      <c r="B152" s="2" t="inlineStr">
        <is>
          <t>SKU-0041</t>
        </is>
      </c>
      <c r="C152" s="2" t="n">
        <v>4</v>
      </c>
      <c r="D152" s="2">
        <f>VLOOKUP(B152,Products!$A$2:$D$201,3,FALSE())</f>
        <v/>
      </c>
      <c r="E152" s="2">
        <f>C152*D152</f>
        <v/>
      </c>
      <c r="F152" s="2">
        <f>C152*INDEX(Products!$D$2:$D$201,MATCH(B152,Products!$A$2:$A$201,0))</f>
        <v/>
      </c>
      <c r="G152" s="2">
        <f>E152-F152</f>
        <v/>
      </c>
    </row>
    <row r="153" ht="15" customHeight="1" s="1">
      <c r="A153" s="2" t="n">
        <v>50151</v>
      </c>
      <c r="B153" s="2" t="inlineStr">
        <is>
          <t>SKU-0068</t>
        </is>
      </c>
      <c r="C153" s="2" t="n">
        <v>17</v>
      </c>
      <c r="D153" s="2">
        <f>VLOOKUP(B153,Products!$A$2:$D$201,3,FALSE())</f>
        <v/>
      </c>
      <c r="E153" s="2">
        <f>C153*D153</f>
        <v/>
      </c>
      <c r="F153" s="2">
        <f>C153*INDEX(Products!$D$2:$D$201,MATCH(B153,Products!$A$2:$A$201,0))</f>
        <v/>
      </c>
      <c r="G153" s="2">
        <f>E153-F153</f>
        <v/>
      </c>
    </row>
    <row r="154" ht="15" customHeight="1" s="1">
      <c r="A154" s="2" t="n">
        <v>50152</v>
      </c>
      <c r="B154" s="2" t="inlineStr">
        <is>
          <t>SKU-0155</t>
        </is>
      </c>
      <c r="C154" s="2" t="n">
        <v>6</v>
      </c>
      <c r="D154" s="2">
        <f>VLOOKUP(B154,Products!$A$2:$D$201,3,FALSE())</f>
        <v/>
      </c>
      <c r="E154" s="2">
        <f>C154*D154</f>
        <v/>
      </c>
      <c r="F154" s="2">
        <f>C154*INDEX(Products!$D$2:$D$201,MATCH(B154,Products!$A$2:$A$201,0))</f>
        <v/>
      </c>
      <c r="G154" s="2">
        <f>E154-F154</f>
        <v/>
      </c>
    </row>
    <row r="155" ht="15" customHeight="1" s="1">
      <c r="A155" s="2" t="n">
        <v>50153</v>
      </c>
      <c r="B155" s="2" t="inlineStr">
        <is>
          <t>SKU-0161</t>
        </is>
      </c>
      <c r="C155" s="2" t="n">
        <v>5</v>
      </c>
      <c r="D155" s="2">
        <f>VLOOKUP(B155,Products!$A$2:$D$201,3,FALSE())</f>
        <v/>
      </c>
      <c r="E155" s="2">
        <f>C155*D155</f>
        <v/>
      </c>
      <c r="F155" s="2">
        <f>C155*INDEX(Products!$D$2:$D$201,MATCH(B155,Products!$A$2:$A$201,0))</f>
        <v/>
      </c>
      <c r="G155" s="2">
        <f>E155-F155</f>
        <v/>
      </c>
    </row>
    <row r="156" ht="15" customHeight="1" s="1">
      <c r="A156" s="2" t="n">
        <v>50154</v>
      </c>
      <c r="B156" s="2" t="inlineStr">
        <is>
          <t>SKU-0114</t>
        </is>
      </c>
      <c r="C156" s="2" t="n">
        <v>14</v>
      </c>
      <c r="D156" s="2">
        <f>VLOOKUP(B156,Products!$A$2:$D$201,3,FALSE())</f>
        <v/>
      </c>
      <c r="E156" s="2">
        <f>C156*D156</f>
        <v/>
      </c>
      <c r="F156" s="2">
        <f>C156*INDEX(Products!$D$2:$D$201,MATCH(B156,Products!$A$2:$A$201,0))</f>
        <v/>
      </c>
      <c r="G156" s="2">
        <f>E156-F156</f>
        <v/>
      </c>
    </row>
    <row r="157" ht="15" customHeight="1" s="1">
      <c r="A157" s="2" t="n">
        <v>50155</v>
      </c>
      <c r="B157" s="2" t="inlineStr">
        <is>
          <t>SKU-0109</t>
        </is>
      </c>
      <c r="C157" s="2" t="n">
        <v>4</v>
      </c>
      <c r="D157" s="2">
        <f>VLOOKUP(B157,Products!$A$2:$D$201,3,FALSE())</f>
        <v/>
      </c>
      <c r="E157" s="2">
        <f>C157*D157</f>
        <v/>
      </c>
      <c r="F157" s="2">
        <f>C157*INDEX(Products!$D$2:$D$201,MATCH(B157,Products!$A$2:$A$201,0))</f>
        <v/>
      </c>
      <c r="G157" s="2">
        <f>E157-F157</f>
        <v/>
      </c>
    </row>
    <row r="158" ht="15" customHeight="1" s="1">
      <c r="A158" s="2" t="n">
        <v>50156</v>
      </c>
      <c r="B158" s="2" t="inlineStr">
        <is>
          <t>SKU-0085</t>
        </is>
      </c>
      <c r="C158" s="2" t="n">
        <v>11</v>
      </c>
      <c r="D158" s="2">
        <f>VLOOKUP(B158,Products!$A$2:$D$201,3,FALSE())</f>
        <v/>
      </c>
      <c r="E158" s="2">
        <f>C158*D158</f>
        <v/>
      </c>
      <c r="F158" s="2">
        <f>C158*INDEX(Products!$D$2:$D$201,MATCH(B158,Products!$A$2:$A$201,0))</f>
        <v/>
      </c>
      <c r="G158" s="2">
        <f>E158-F158</f>
        <v/>
      </c>
    </row>
    <row r="159" ht="15" customHeight="1" s="1">
      <c r="A159" s="2" t="n">
        <v>50157</v>
      </c>
      <c r="B159" s="2" t="inlineStr">
        <is>
          <t>SKU-0114</t>
        </is>
      </c>
      <c r="C159" s="2" t="n">
        <v>8</v>
      </c>
      <c r="D159" s="2">
        <f>VLOOKUP(B159,Products!$A$2:$D$201,3,FALSE())</f>
        <v/>
      </c>
      <c r="E159" s="2">
        <f>C159*D159</f>
        <v/>
      </c>
      <c r="F159" s="2">
        <f>C159*INDEX(Products!$D$2:$D$201,MATCH(B159,Products!$A$2:$A$201,0))</f>
        <v/>
      </c>
      <c r="G159" s="2">
        <f>E159-F159</f>
        <v/>
      </c>
    </row>
    <row r="160" ht="15" customHeight="1" s="1">
      <c r="A160" s="2" t="n">
        <v>50158</v>
      </c>
      <c r="B160" s="2" t="inlineStr">
        <is>
          <t>SKU-0118</t>
        </is>
      </c>
      <c r="C160" s="2" t="n">
        <v>20</v>
      </c>
      <c r="D160" s="2">
        <f>VLOOKUP(B160,Products!$A$2:$D$201,3,FALSE())</f>
        <v/>
      </c>
      <c r="E160" s="2">
        <f>C160*D160</f>
        <v/>
      </c>
      <c r="F160" s="2">
        <f>C160*INDEX(Products!$D$2:$D$201,MATCH(B160,Products!$A$2:$A$201,0))</f>
        <v/>
      </c>
      <c r="G160" s="2">
        <f>E160-F160</f>
        <v/>
      </c>
    </row>
    <row r="161" ht="15" customHeight="1" s="1">
      <c r="A161" s="2" t="n">
        <v>50159</v>
      </c>
      <c r="B161" s="2" t="inlineStr">
        <is>
          <t>SKU-0111</t>
        </is>
      </c>
      <c r="C161" s="2" t="n">
        <v>6</v>
      </c>
      <c r="D161" s="2">
        <f>VLOOKUP(B161,Products!$A$2:$D$201,3,FALSE())</f>
        <v/>
      </c>
      <c r="E161" s="2">
        <f>C161*D161</f>
        <v/>
      </c>
      <c r="F161" s="2">
        <f>C161*INDEX(Products!$D$2:$D$201,MATCH(B161,Products!$A$2:$A$201,0))</f>
        <v/>
      </c>
      <c r="G161" s="2">
        <f>E161-F161</f>
        <v/>
      </c>
    </row>
    <row r="162" ht="15" customHeight="1" s="1">
      <c r="A162" s="2" t="n">
        <v>50160</v>
      </c>
      <c r="B162" s="2" t="inlineStr">
        <is>
          <t>SKU-0113</t>
        </is>
      </c>
      <c r="C162" s="2" t="n">
        <v>2</v>
      </c>
      <c r="D162" s="2">
        <f>VLOOKUP(B162,Products!$A$2:$D$201,3,FALSE())</f>
        <v/>
      </c>
      <c r="E162" s="2">
        <f>C162*D162</f>
        <v/>
      </c>
      <c r="F162" s="2">
        <f>C162*INDEX(Products!$D$2:$D$201,MATCH(B162,Products!$A$2:$A$201,0))</f>
        <v/>
      </c>
      <c r="G162" s="2">
        <f>E162-F162</f>
        <v/>
      </c>
    </row>
    <row r="163" ht="15" customHeight="1" s="1">
      <c r="A163" s="2" t="n">
        <v>50161</v>
      </c>
      <c r="B163" s="2" t="inlineStr">
        <is>
          <t>SKU-0196</t>
        </is>
      </c>
      <c r="C163" s="2" t="n">
        <v>6</v>
      </c>
      <c r="D163" s="2">
        <f>VLOOKUP(B163,Products!$A$2:$D$201,3,FALSE())</f>
        <v/>
      </c>
      <c r="E163" s="2">
        <f>C163*D163</f>
        <v/>
      </c>
      <c r="F163" s="2">
        <f>C163*INDEX(Products!$D$2:$D$201,MATCH(B163,Products!$A$2:$A$201,0))</f>
        <v/>
      </c>
      <c r="G163" s="2">
        <f>E163-F163</f>
        <v/>
      </c>
    </row>
    <row r="164" ht="15" customHeight="1" s="1">
      <c r="A164" s="2" t="n">
        <v>50162</v>
      </c>
      <c r="B164" s="2" t="inlineStr">
        <is>
          <t>SKU-0136</t>
        </is>
      </c>
      <c r="C164" s="2" t="n">
        <v>16</v>
      </c>
      <c r="D164" s="2">
        <f>VLOOKUP(B164,Products!$A$2:$D$201,3,FALSE())</f>
        <v/>
      </c>
      <c r="E164" s="2">
        <f>C164*D164</f>
        <v/>
      </c>
      <c r="F164" s="2">
        <f>C164*INDEX(Products!$D$2:$D$201,MATCH(B164,Products!$A$2:$A$201,0))</f>
        <v/>
      </c>
      <c r="G164" s="2">
        <f>E164-F164</f>
        <v/>
      </c>
    </row>
    <row r="165" ht="15" customHeight="1" s="1">
      <c r="A165" s="2" t="n">
        <v>50163</v>
      </c>
      <c r="B165" s="2" t="inlineStr">
        <is>
          <t>SKU-0125</t>
        </is>
      </c>
      <c r="C165" s="2" t="n">
        <v>20</v>
      </c>
      <c r="D165" s="2">
        <f>VLOOKUP(B165,Products!$A$2:$D$201,3,FALSE())</f>
        <v/>
      </c>
      <c r="E165" s="2">
        <f>C165*D165</f>
        <v/>
      </c>
      <c r="F165" s="2">
        <f>C165*INDEX(Products!$D$2:$D$201,MATCH(B165,Products!$A$2:$A$201,0))</f>
        <v/>
      </c>
      <c r="G165" s="2">
        <f>E165-F165</f>
        <v/>
      </c>
    </row>
    <row r="166" ht="15" customHeight="1" s="1">
      <c r="A166" s="2" t="n">
        <v>50164</v>
      </c>
      <c r="B166" s="2" t="inlineStr">
        <is>
          <t>SKU-0000</t>
        </is>
      </c>
      <c r="C166" s="2" t="n">
        <v>4</v>
      </c>
      <c r="D166" s="2">
        <f>VLOOKUP(B166,Products!$A$2:$D$201,3,FALSE())</f>
        <v/>
      </c>
      <c r="E166" s="2">
        <f>C166*D166</f>
        <v/>
      </c>
      <c r="F166" s="2">
        <f>C166*INDEX(Products!$D$2:$D$201,MATCH(B166,Products!$A$2:$A$201,0))</f>
        <v/>
      </c>
      <c r="G166" s="2">
        <f>E166-F166</f>
        <v/>
      </c>
    </row>
    <row r="167" ht="15" customHeight="1" s="1">
      <c r="A167" s="2" t="n">
        <v>50165</v>
      </c>
      <c r="B167" s="2" t="inlineStr">
        <is>
          <t>SKU-0032</t>
        </is>
      </c>
      <c r="C167" s="2" t="n">
        <v>14</v>
      </c>
      <c r="D167" s="2">
        <f>VLOOKUP(B167,Products!$A$2:$D$201,3,FALSE())</f>
        <v/>
      </c>
      <c r="E167" s="2">
        <f>C167*D167</f>
        <v/>
      </c>
      <c r="F167" s="2">
        <f>C167*INDEX(Products!$D$2:$D$201,MATCH(B167,Products!$A$2:$A$201,0))</f>
        <v/>
      </c>
      <c r="G167" s="2">
        <f>E167-F167</f>
        <v/>
      </c>
    </row>
    <row r="168" ht="15" customHeight="1" s="1">
      <c r="A168" s="2" t="n">
        <v>50166</v>
      </c>
      <c r="B168" s="2" t="inlineStr">
        <is>
          <t>SKU-0175</t>
        </is>
      </c>
      <c r="C168" s="2" t="n">
        <v>2</v>
      </c>
      <c r="D168" s="2">
        <f>VLOOKUP(B168,Products!$A$2:$D$201,3,FALSE())</f>
        <v/>
      </c>
      <c r="E168" s="2">
        <f>C168*D168</f>
        <v/>
      </c>
      <c r="F168" s="2">
        <f>C168*INDEX(Products!$D$2:$D$201,MATCH(B168,Products!$A$2:$A$201,0))</f>
        <v/>
      </c>
      <c r="G168" s="2">
        <f>E168-F168</f>
        <v/>
      </c>
    </row>
    <row r="169" ht="15" customHeight="1" s="1">
      <c r="A169" s="2" t="n">
        <v>50167</v>
      </c>
      <c r="B169" s="2" t="inlineStr">
        <is>
          <t>SKU-0053</t>
        </is>
      </c>
      <c r="C169" s="2" t="n">
        <v>1</v>
      </c>
      <c r="D169" s="2">
        <f>VLOOKUP(B169,Products!$A$2:$D$201,3,FALSE())</f>
        <v/>
      </c>
      <c r="E169" s="2">
        <f>C169*D169</f>
        <v/>
      </c>
      <c r="F169" s="2">
        <f>C169*INDEX(Products!$D$2:$D$201,MATCH(B169,Products!$A$2:$A$201,0))</f>
        <v/>
      </c>
      <c r="G169" s="2">
        <f>E169-F169</f>
        <v/>
      </c>
    </row>
    <row r="170" ht="15" customHeight="1" s="1">
      <c r="A170" s="2" t="n">
        <v>50168</v>
      </c>
      <c r="B170" s="2" t="inlineStr">
        <is>
          <t>SKU-0008</t>
        </is>
      </c>
      <c r="C170" s="2" t="n">
        <v>19</v>
      </c>
      <c r="D170" s="2">
        <f>VLOOKUP(B170,Products!$A$2:$D$201,3,FALSE())</f>
        <v/>
      </c>
      <c r="E170" s="2">
        <f>C170*D170</f>
        <v/>
      </c>
      <c r="F170" s="2">
        <f>C170*INDEX(Products!$D$2:$D$201,MATCH(B170,Products!$A$2:$A$201,0))</f>
        <v/>
      </c>
      <c r="G170" s="2">
        <f>E170-F170</f>
        <v/>
      </c>
    </row>
    <row r="171" ht="15" customHeight="1" s="1">
      <c r="A171" s="2" t="n">
        <v>50169</v>
      </c>
      <c r="B171" s="2" t="inlineStr">
        <is>
          <t>SKU-0060</t>
        </is>
      </c>
      <c r="C171" s="2" t="n">
        <v>16</v>
      </c>
      <c r="D171" s="2">
        <f>VLOOKUP(B171,Products!$A$2:$D$201,3,FALSE())</f>
        <v/>
      </c>
      <c r="E171" s="2">
        <f>C171*D171</f>
        <v/>
      </c>
      <c r="F171" s="2">
        <f>C171*INDEX(Products!$D$2:$D$201,MATCH(B171,Products!$A$2:$A$201,0))</f>
        <v/>
      </c>
      <c r="G171" s="2">
        <f>E171-F171</f>
        <v/>
      </c>
    </row>
    <row r="172" ht="15" customHeight="1" s="1">
      <c r="A172" s="2" t="n">
        <v>50170</v>
      </c>
      <c r="B172" s="2" t="inlineStr">
        <is>
          <t>SKU-0180</t>
        </is>
      </c>
      <c r="C172" s="2" t="n">
        <v>12</v>
      </c>
      <c r="D172" s="2">
        <f>VLOOKUP(B172,Products!$A$2:$D$201,3,FALSE())</f>
        <v/>
      </c>
      <c r="E172" s="2">
        <f>C172*D172</f>
        <v/>
      </c>
      <c r="F172" s="2">
        <f>C172*INDEX(Products!$D$2:$D$201,MATCH(B172,Products!$A$2:$A$201,0))</f>
        <v/>
      </c>
      <c r="G172" s="2">
        <f>E172-F172</f>
        <v/>
      </c>
    </row>
    <row r="173" ht="15" customHeight="1" s="1">
      <c r="A173" s="2" t="n">
        <v>50171</v>
      </c>
      <c r="B173" s="2" t="inlineStr">
        <is>
          <t>SKU-0100</t>
        </is>
      </c>
      <c r="C173" s="2" t="n">
        <v>15</v>
      </c>
      <c r="D173" s="2">
        <f>VLOOKUP(B173,Products!$A$2:$D$201,3,FALSE())</f>
        <v/>
      </c>
      <c r="E173" s="2">
        <f>C173*D173</f>
        <v/>
      </c>
      <c r="F173" s="2">
        <f>C173*INDEX(Products!$D$2:$D$201,MATCH(B173,Products!$A$2:$A$201,0))</f>
        <v/>
      </c>
      <c r="G173" s="2">
        <f>E173-F173</f>
        <v/>
      </c>
    </row>
    <row r="174" ht="15" customHeight="1" s="1">
      <c r="A174" s="2" t="n">
        <v>50172</v>
      </c>
      <c r="B174" s="2" t="inlineStr">
        <is>
          <t>SKU-0055</t>
        </is>
      </c>
      <c r="C174" s="2" t="n">
        <v>7</v>
      </c>
      <c r="D174" s="2">
        <f>VLOOKUP(B174,Products!$A$2:$D$201,3,FALSE())</f>
        <v/>
      </c>
      <c r="E174" s="2">
        <f>C174*D174</f>
        <v/>
      </c>
      <c r="F174" s="2">
        <f>C174*INDEX(Products!$D$2:$D$201,MATCH(B174,Products!$A$2:$A$201,0))</f>
        <v/>
      </c>
      <c r="G174" s="2">
        <f>E174-F174</f>
        <v/>
      </c>
    </row>
    <row r="175" ht="15" customHeight="1" s="1">
      <c r="A175" s="2" t="n">
        <v>50173</v>
      </c>
      <c r="B175" s="2" t="inlineStr">
        <is>
          <t>SKU-0070</t>
        </is>
      </c>
      <c r="C175" s="2" t="n">
        <v>7</v>
      </c>
      <c r="D175" s="2">
        <f>VLOOKUP(B175,Products!$A$2:$D$201,3,FALSE())</f>
        <v/>
      </c>
      <c r="E175" s="2">
        <f>C175*D175</f>
        <v/>
      </c>
      <c r="F175" s="2">
        <f>C175*INDEX(Products!$D$2:$D$201,MATCH(B175,Products!$A$2:$A$201,0))</f>
        <v/>
      </c>
      <c r="G175" s="2">
        <f>E175-F175</f>
        <v/>
      </c>
    </row>
    <row r="176" ht="15" customHeight="1" s="1">
      <c r="A176" s="2" t="n">
        <v>50174</v>
      </c>
      <c r="B176" s="2" t="inlineStr">
        <is>
          <t>SKU-0077</t>
        </is>
      </c>
      <c r="C176" s="2" t="n">
        <v>18</v>
      </c>
      <c r="D176" s="2">
        <f>VLOOKUP(B176,Products!$A$2:$D$201,3,FALSE())</f>
        <v/>
      </c>
      <c r="E176" s="2">
        <f>C176*D176</f>
        <v/>
      </c>
      <c r="F176" s="2">
        <f>C176*INDEX(Products!$D$2:$D$201,MATCH(B176,Products!$A$2:$A$201,0))</f>
        <v/>
      </c>
      <c r="G176" s="2">
        <f>E176-F176</f>
        <v/>
      </c>
    </row>
    <row r="177" ht="15" customHeight="1" s="1">
      <c r="A177" s="2" t="n">
        <v>50175</v>
      </c>
      <c r="B177" s="2" t="inlineStr">
        <is>
          <t>SKU-0132</t>
        </is>
      </c>
      <c r="C177" s="2" t="n">
        <v>12</v>
      </c>
      <c r="D177" s="2">
        <f>VLOOKUP(B177,Products!$A$2:$D$201,3,FALSE())</f>
        <v/>
      </c>
      <c r="E177" s="2">
        <f>C177*D177</f>
        <v/>
      </c>
      <c r="F177" s="2">
        <f>C177*INDEX(Products!$D$2:$D$201,MATCH(B177,Products!$A$2:$A$201,0))</f>
        <v/>
      </c>
      <c r="G177" s="2">
        <f>E177-F177</f>
        <v/>
      </c>
    </row>
    <row r="178" ht="15" customHeight="1" s="1">
      <c r="A178" s="2" t="n">
        <v>50176</v>
      </c>
      <c r="B178" s="2" t="inlineStr">
        <is>
          <t>SKU-0195</t>
        </is>
      </c>
      <c r="C178" s="2" t="n">
        <v>8</v>
      </c>
      <c r="D178" s="2">
        <f>VLOOKUP(B178,Products!$A$2:$D$201,3,FALSE())</f>
        <v/>
      </c>
      <c r="E178" s="2">
        <f>C178*D178</f>
        <v/>
      </c>
      <c r="F178" s="2">
        <f>C178*INDEX(Products!$D$2:$D$201,MATCH(B178,Products!$A$2:$A$201,0))</f>
        <v/>
      </c>
      <c r="G178" s="2">
        <f>E178-F178</f>
        <v/>
      </c>
    </row>
    <row r="179" ht="15" customHeight="1" s="1">
      <c r="A179" s="2" t="n">
        <v>50177</v>
      </c>
      <c r="B179" s="2" t="inlineStr">
        <is>
          <t>SKU-0093</t>
        </is>
      </c>
      <c r="C179" s="2" t="n">
        <v>12</v>
      </c>
      <c r="D179" s="2">
        <f>VLOOKUP(B179,Products!$A$2:$D$201,3,FALSE())</f>
        <v/>
      </c>
      <c r="E179" s="2">
        <f>C179*D179</f>
        <v/>
      </c>
      <c r="F179" s="2">
        <f>C179*INDEX(Products!$D$2:$D$201,MATCH(B179,Products!$A$2:$A$201,0))</f>
        <v/>
      </c>
      <c r="G179" s="2">
        <f>E179-F179</f>
        <v/>
      </c>
    </row>
    <row r="180" ht="15" customHeight="1" s="1">
      <c r="A180" s="2" t="n">
        <v>50178</v>
      </c>
      <c r="B180" s="2" t="inlineStr">
        <is>
          <t>SKU-0063</t>
        </is>
      </c>
      <c r="C180" s="2" t="n">
        <v>2</v>
      </c>
      <c r="D180" s="2">
        <f>VLOOKUP(B180,Products!$A$2:$D$201,3,FALSE())</f>
        <v/>
      </c>
      <c r="E180" s="2">
        <f>C180*D180</f>
        <v/>
      </c>
      <c r="F180" s="2">
        <f>C180*INDEX(Products!$D$2:$D$201,MATCH(B180,Products!$A$2:$A$201,0))</f>
        <v/>
      </c>
      <c r="G180" s="2">
        <f>E180-F180</f>
        <v/>
      </c>
    </row>
    <row r="181" ht="15" customHeight="1" s="1">
      <c r="A181" s="2" t="n">
        <v>50179</v>
      </c>
      <c r="B181" s="2" t="inlineStr">
        <is>
          <t>SKU-0158</t>
        </is>
      </c>
      <c r="C181" s="2" t="n">
        <v>16</v>
      </c>
      <c r="D181" s="2">
        <f>VLOOKUP(B181,Products!$A$2:$D$201,3,FALSE())</f>
        <v/>
      </c>
      <c r="E181" s="2">
        <f>C181*D181</f>
        <v/>
      </c>
      <c r="F181" s="2">
        <f>C181*INDEX(Products!$D$2:$D$201,MATCH(B181,Products!$A$2:$A$201,0))</f>
        <v/>
      </c>
      <c r="G181" s="2">
        <f>E181-F181</f>
        <v/>
      </c>
    </row>
    <row r="182" ht="15" customHeight="1" s="1">
      <c r="A182" s="2" t="n">
        <v>50180</v>
      </c>
      <c r="B182" s="2" t="inlineStr">
        <is>
          <t>SKU-0102</t>
        </is>
      </c>
      <c r="C182" s="2" t="n">
        <v>12</v>
      </c>
      <c r="D182" s="2">
        <f>VLOOKUP(B182,Products!$A$2:$D$201,3,FALSE())</f>
        <v/>
      </c>
      <c r="E182" s="2">
        <f>C182*D182</f>
        <v/>
      </c>
      <c r="F182" s="2">
        <f>C182*INDEX(Products!$D$2:$D$201,MATCH(B182,Products!$A$2:$A$201,0))</f>
        <v/>
      </c>
      <c r="G182" s="2">
        <f>E182-F182</f>
        <v/>
      </c>
    </row>
    <row r="183" ht="15" customHeight="1" s="1">
      <c r="A183" s="2" t="n">
        <v>50181</v>
      </c>
      <c r="B183" s="2" t="inlineStr">
        <is>
          <t>SKU-0036</t>
        </is>
      </c>
      <c r="C183" s="2" t="n">
        <v>5</v>
      </c>
      <c r="D183" s="2">
        <f>VLOOKUP(B183,Products!$A$2:$D$201,3,FALSE())</f>
        <v/>
      </c>
      <c r="E183" s="2">
        <f>C183*D183</f>
        <v/>
      </c>
      <c r="F183" s="2">
        <f>C183*INDEX(Products!$D$2:$D$201,MATCH(B183,Products!$A$2:$A$201,0))</f>
        <v/>
      </c>
      <c r="G183" s="2">
        <f>E183-F183</f>
        <v/>
      </c>
    </row>
    <row r="184" ht="15" customHeight="1" s="1">
      <c r="A184" s="2" t="n">
        <v>50182</v>
      </c>
      <c r="B184" s="2" t="inlineStr">
        <is>
          <t>SKU-0061</t>
        </is>
      </c>
      <c r="C184" s="2" t="n">
        <v>16</v>
      </c>
      <c r="D184" s="2">
        <f>VLOOKUP(B184,Products!$A$2:$D$201,3,FALSE())</f>
        <v/>
      </c>
      <c r="E184" s="2">
        <f>C184*D184</f>
        <v/>
      </c>
      <c r="F184" s="2">
        <f>C184*INDEX(Products!$D$2:$D$201,MATCH(B184,Products!$A$2:$A$201,0))</f>
        <v/>
      </c>
      <c r="G184" s="2">
        <f>E184-F184</f>
        <v/>
      </c>
    </row>
    <row r="185" ht="15" customHeight="1" s="1">
      <c r="A185" s="2" t="n">
        <v>50183</v>
      </c>
      <c r="B185" s="2" t="inlineStr">
        <is>
          <t>SKU-0097</t>
        </is>
      </c>
      <c r="C185" s="2" t="n">
        <v>2</v>
      </c>
      <c r="D185" s="2">
        <f>VLOOKUP(B185,Products!$A$2:$D$201,3,FALSE())</f>
        <v/>
      </c>
      <c r="E185" s="2">
        <f>C185*D185</f>
        <v/>
      </c>
      <c r="F185" s="2">
        <f>C185*INDEX(Products!$D$2:$D$201,MATCH(B185,Products!$A$2:$A$201,0))</f>
        <v/>
      </c>
      <c r="G185" s="2">
        <f>E185-F185</f>
        <v/>
      </c>
    </row>
    <row r="186" ht="15" customHeight="1" s="1">
      <c r="A186" s="2" t="n">
        <v>50184</v>
      </c>
      <c r="B186" s="2" t="inlineStr">
        <is>
          <t>SKU-0024</t>
        </is>
      </c>
      <c r="C186" s="2" t="n">
        <v>6</v>
      </c>
      <c r="D186" s="2">
        <f>VLOOKUP(B186,Products!$A$2:$D$201,3,FALSE())</f>
        <v/>
      </c>
      <c r="E186" s="2">
        <f>C186*D186</f>
        <v/>
      </c>
      <c r="F186" s="2">
        <f>C186*INDEX(Products!$D$2:$D$201,MATCH(B186,Products!$A$2:$A$201,0))</f>
        <v/>
      </c>
      <c r="G186" s="2">
        <f>E186-F186</f>
        <v/>
      </c>
    </row>
    <row r="187" ht="15" customHeight="1" s="1">
      <c r="A187" s="2" t="n">
        <v>50185</v>
      </c>
      <c r="B187" s="2" t="inlineStr">
        <is>
          <t>SKU-0101</t>
        </is>
      </c>
      <c r="C187" s="2" t="n">
        <v>4</v>
      </c>
      <c r="D187" s="2">
        <f>VLOOKUP(B187,Products!$A$2:$D$201,3,FALSE())</f>
        <v/>
      </c>
      <c r="E187" s="2">
        <f>C187*D187</f>
        <v/>
      </c>
      <c r="F187" s="2">
        <f>C187*INDEX(Products!$D$2:$D$201,MATCH(B187,Products!$A$2:$A$201,0))</f>
        <v/>
      </c>
      <c r="G187" s="2">
        <f>E187-F187</f>
        <v/>
      </c>
    </row>
    <row r="188" ht="15" customHeight="1" s="1">
      <c r="A188" s="2" t="n">
        <v>50186</v>
      </c>
      <c r="B188" s="2" t="inlineStr">
        <is>
          <t>SKU-0192</t>
        </is>
      </c>
      <c r="C188" s="2" t="n">
        <v>10</v>
      </c>
      <c r="D188" s="2">
        <f>VLOOKUP(B188,Products!$A$2:$D$201,3,FALSE())</f>
        <v/>
      </c>
      <c r="E188" s="2">
        <f>C188*D188</f>
        <v/>
      </c>
      <c r="F188" s="2">
        <f>C188*INDEX(Products!$D$2:$D$201,MATCH(B188,Products!$A$2:$A$201,0))</f>
        <v/>
      </c>
      <c r="G188" s="2">
        <f>E188-F188</f>
        <v/>
      </c>
    </row>
    <row r="189" ht="15" customHeight="1" s="1">
      <c r="A189" s="2" t="n">
        <v>50187</v>
      </c>
      <c r="B189" s="2" t="inlineStr">
        <is>
          <t>SKU-0051</t>
        </is>
      </c>
      <c r="C189" s="2" t="n">
        <v>11</v>
      </c>
      <c r="D189" s="2">
        <f>VLOOKUP(B189,Products!$A$2:$D$201,3,FALSE())</f>
        <v/>
      </c>
      <c r="E189" s="2">
        <f>C189*D189</f>
        <v/>
      </c>
      <c r="F189" s="2">
        <f>C189*INDEX(Products!$D$2:$D$201,MATCH(B189,Products!$A$2:$A$201,0))</f>
        <v/>
      </c>
      <c r="G189" s="2">
        <f>E189-F189</f>
        <v/>
      </c>
    </row>
    <row r="190" ht="15" customHeight="1" s="1">
      <c r="A190" s="2" t="n">
        <v>50188</v>
      </c>
      <c r="B190" s="2" t="inlineStr">
        <is>
          <t>SKU-0122</t>
        </is>
      </c>
      <c r="C190" s="2" t="n">
        <v>16</v>
      </c>
      <c r="D190" s="2">
        <f>VLOOKUP(B190,Products!$A$2:$D$201,3,FALSE())</f>
        <v/>
      </c>
      <c r="E190" s="2">
        <f>C190*D190</f>
        <v/>
      </c>
      <c r="F190" s="2">
        <f>C190*INDEX(Products!$D$2:$D$201,MATCH(B190,Products!$A$2:$A$201,0))</f>
        <v/>
      </c>
      <c r="G190" s="2">
        <f>E190-F190</f>
        <v/>
      </c>
    </row>
    <row r="191" ht="15" customHeight="1" s="1">
      <c r="A191" s="2" t="n">
        <v>50189</v>
      </c>
      <c r="B191" s="2" t="inlineStr">
        <is>
          <t>SKU-0136</t>
        </is>
      </c>
      <c r="C191" s="2" t="n">
        <v>20</v>
      </c>
      <c r="D191" s="2">
        <f>VLOOKUP(B191,Products!$A$2:$D$201,3,FALSE())</f>
        <v/>
      </c>
      <c r="E191" s="2">
        <f>C191*D191</f>
        <v/>
      </c>
      <c r="F191" s="2">
        <f>C191*INDEX(Products!$D$2:$D$201,MATCH(B191,Products!$A$2:$A$201,0))</f>
        <v/>
      </c>
      <c r="G191" s="2">
        <f>E191-F191</f>
        <v/>
      </c>
    </row>
    <row r="192" ht="15" customHeight="1" s="1">
      <c r="A192" s="2" t="n">
        <v>50190</v>
      </c>
      <c r="B192" s="2" t="inlineStr">
        <is>
          <t>SKU-0023</t>
        </is>
      </c>
      <c r="C192" s="2" t="n">
        <v>7</v>
      </c>
      <c r="D192" s="2">
        <f>VLOOKUP(B192,Products!$A$2:$D$201,3,FALSE())</f>
        <v/>
      </c>
      <c r="E192" s="2">
        <f>C192*D192</f>
        <v/>
      </c>
      <c r="F192" s="2">
        <f>C192*INDEX(Products!$D$2:$D$201,MATCH(B192,Products!$A$2:$A$201,0))</f>
        <v/>
      </c>
      <c r="G192" s="2">
        <f>E192-F192</f>
        <v/>
      </c>
    </row>
    <row r="193" ht="15" customHeight="1" s="1">
      <c r="A193" s="2" t="n">
        <v>50191</v>
      </c>
      <c r="B193" s="2" t="inlineStr">
        <is>
          <t>SKU-0096</t>
        </is>
      </c>
      <c r="C193" s="2" t="n">
        <v>1</v>
      </c>
      <c r="D193" s="2">
        <f>VLOOKUP(B193,Products!$A$2:$D$201,3,FALSE())</f>
        <v/>
      </c>
      <c r="E193" s="2">
        <f>C193*D193</f>
        <v/>
      </c>
      <c r="F193" s="2">
        <f>C193*INDEX(Products!$D$2:$D$201,MATCH(B193,Products!$A$2:$A$201,0))</f>
        <v/>
      </c>
      <c r="G193" s="2">
        <f>E193-F193</f>
        <v/>
      </c>
    </row>
    <row r="194" ht="15" customHeight="1" s="1">
      <c r="A194" s="2" t="n">
        <v>50192</v>
      </c>
      <c r="B194" s="2" t="inlineStr">
        <is>
          <t>SKU-0026</t>
        </is>
      </c>
      <c r="C194" s="2" t="n">
        <v>17</v>
      </c>
      <c r="D194" s="2">
        <f>VLOOKUP(B194,Products!$A$2:$D$201,3,FALSE())</f>
        <v/>
      </c>
      <c r="E194" s="2">
        <f>C194*D194</f>
        <v/>
      </c>
      <c r="F194" s="2">
        <f>C194*INDEX(Products!$D$2:$D$201,MATCH(B194,Products!$A$2:$A$201,0))</f>
        <v/>
      </c>
      <c r="G194" s="2">
        <f>E194-F194</f>
        <v/>
      </c>
    </row>
    <row r="195" ht="15" customHeight="1" s="1">
      <c r="A195" s="2" t="n">
        <v>50193</v>
      </c>
      <c r="B195" s="2" t="inlineStr">
        <is>
          <t>SKU-0154</t>
        </is>
      </c>
      <c r="C195" s="2" t="n">
        <v>19</v>
      </c>
      <c r="D195" s="2">
        <f>VLOOKUP(B195,Products!$A$2:$D$201,3,FALSE())</f>
        <v/>
      </c>
      <c r="E195" s="2">
        <f>C195*D195</f>
        <v/>
      </c>
      <c r="F195" s="2">
        <f>C195*INDEX(Products!$D$2:$D$201,MATCH(B195,Products!$A$2:$A$201,0))</f>
        <v/>
      </c>
      <c r="G195" s="2">
        <f>E195-F195</f>
        <v/>
      </c>
    </row>
    <row r="196" ht="15" customHeight="1" s="1">
      <c r="A196" s="2" t="n">
        <v>50194</v>
      </c>
      <c r="B196" s="2" t="inlineStr">
        <is>
          <t>SKU-0158</t>
        </is>
      </c>
      <c r="C196" s="2" t="n">
        <v>6</v>
      </c>
      <c r="D196" s="2">
        <f>VLOOKUP(B196,Products!$A$2:$D$201,3,FALSE())</f>
        <v/>
      </c>
      <c r="E196" s="2">
        <f>C196*D196</f>
        <v/>
      </c>
      <c r="F196" s="2">
        <f>C196*INDEX(Products!$D$2:$D$201,MATCH(B196,Products!$A$2:$A$201,0))</f>
        <v/>
      </c>
      <c r="G196" s="2">
        <f>E196-F196</f>
        <v/>
      </c>
    </row>
    <row r="197" ht="15" customHeight="1" s="1">
      <c r="A197" s="2" t="n">
        <v>50195</v>
      </c>
      <c r="B197" s="2" t="inlineStr">
        <is>
          <t>SKU-0099</t>
        </is>
      </c>
      <c r="C197" s="2" t="n">
        <v>1</v>
      </c>
      <c r="D197" s="2">
        <f>VLOOKUP(B197,Products!$A$2:$D$201,3,FALSE())</f>
        <v/>
      </c>
      <c r="E197" s="2">
        <f>C197*D197</f>
        <v/>
      </c>
      <c r="F197" s="2">
        <f>C197*INDEX(Products!$D$2:$D$201,MATCH(B197,Products!$A$2:$A$201,0))</f>
        <v/>
      </c>
      <c r="G197" s="2">
        <f>E197-F197</f>
        <v/>
      </c>
    </row>
    <row r="198" ht="15" customHeight="1" s="1">
      <c r="A198" s="2" t="n">
        <v>50196</v>
      </c>
      <c r="B198" s="2" t="inlineStr">
        <is>
          <t>SKU-0081</t>
        </is>
      </c>
      <c r="C198" s="2" t="n">
        <v>1</v>
      </c>
      <c r="D198" s="2">
        <f>VLOOKUP(B198,Products!$A$2:$D$201,3,FALSE())</f>
        <v/>
      </c>
      <c r="E198" s="2">
        <f>C198*D198</f>
        <v/>
      </c>
      <c r="F198" s="2">
        <f>C198*INDEX(Products!$D$2:$D$201,MATCH(B198,Products!$A$2:$A$201,0))</f>
        <v/>
      </c>
      <c r="G198" s="2">
        <f>E198-F198</f>
        <v/>
      </c>
    </row>
    <row r="199" ht="15" customHeight="1" s="1">
      <c r="A199" s="2" t="n">
        <v>50197</v>
      </c>
      <c r="B199" s="2" t="inlineStr">
        <is>
          <t>SKU-0156</t>
        </is>
      </c>
      <c r="C199" s="2" t="n">
        <v>10</v>
      </c>
      <c r="D199" s="2">
        <f>VLOOKUP(B199,Products!$A$2:$D$201,3,FALSE())</f>
        <v/>
      </c>
      <c r="E199" s="2">
        <f>C199*D199</f>
        <v/>
      </c>
      <c r="F199" s="2">
        <f>C199*INDEX(Products!$D$2:$D$201,MATCH(B199,Products!$A$2:$A$201,0))</f>
        <v/>
      </c>
      <c r="G199" s="2">
        <f>E199-F199</f>
        <v/>
      </c>
    </row>
    <row r="200" ht="15" customHeight="1" s="1">
      <c r="A200" s="2" t="n">
        <v>50198</v>
      </c>
      <c r="B200" s="2" t="inlineStr">
        <is>
          <t>SKU-0131</t>
        </is>
      </c>
      <c r="C200" s="2" t="n">
        <v>13</v>
      </c>
      <c r="D200" s="2">
        <f>VLOOKUP(B200,Products!$A$2:$D$201,3,FALSE())</f>
        <v/>
      </c>
      <c r="E200" s="2">
        <f>C200*D200</f>
        <v/>
      </c>
      <c r="F200" s="2">
        <f>C200*INDEX(Products!$D$2:$D$201,MATCH(B200,Products!$A$2:$A$201,0))</f>
        <v/>
      </c>
      <c r="G200" s="2">
        <f>E200-F200</f>
        <v/>
      </c>
    </row>
    <row r="201" ht="15" customHeight="1" s="1">
      <c r="A201" s="2" t="n">
        <v>50199</v>
      </c>
      <c r="B201" s="2" t="inlineStr">
        <is>
          <t>SKU-0128</t>
        </is>
      </c>
      <c r="C201" s="2" t="n">
        <v>16</v>
      </c>
      <c r="D201" s="2">
        <f>VLOOKUP(B201,Products!$A$2:$D$201,3,FALSE())</f>
        <v/>
      </c>
      <c r="E201" s="2">
        <f>C201*D201</f>
        <v/>
      </c>
      <c r="F201" s="2">
        <f>C201*INDEX(Products!$D$2:$D$201,MATCH(B201,Products!$A$2:$A$201,0))</f>
        <v/>
      </c>
      <c r="G201" s="2">
        <f>E201-F201</f>
        <v/>
      </c>
    </row>
    <row r="202" ht="15" customHeight="1" s="1">
      <c r="A202" s="2" t="n">
        <v>50200</v>
      </c>
      <c r="B202" s="2" t="inlineStr">
        <is>
          <t>SKU-0139</t>
        </is>
      </c>
      <c r="C202" s="2" t="n">
        <v>13</v>
      </c>
      <c r="D202" s="2">
        <f>VLOOKUP(B202,Products!$A$2:$D$201,3,FALSE())</f>
        <v/>
      </c>
      <c r="E202" s="2">
        <f>C202*D202</f>
        <v/>
      </c>
      <c r="F202" s="2">
        <f>C202*INDEX(Products!$D$2:$D$201,MATCH(B202,Products!$A$2:$A$201,0))</f>
        <v/>
      </c>
      <c r="G202" s="2">
        <f>E202-F202</f>
        <v/>
      </c>
    </row>
    <row r="203" ht="15" customHeight="1" s="1">
      <c r="A203" s="2" t="n">
        <v>50201</v>
      </c>
      <c r="B203" s="2" t="inlineStr">
        <is>
          <t>SKU-0115</t>
        </is>
      </c>
      <c r="C203" s="2" t="n">
        <v>19</v>
      </c>
      <c r="D203" s="2">
        <f>VLOOKUP(B203,Products!$A$2:$D$201,3,FALSE())</f>
        <v/>
      </c>
      <c r="E203" s="2">
        <f>C203*D203</f>
        <v/>
      </c>
      <c r="F203" s="2">
        <f>C203*INDEX(Products!$D$2:$D$201,MATCH(B203,Products!$A$2:$A$201,0))</f>
        <v/>
      </c>
      <c r="G203" s="2">
        <f>E203-F203</f>
        <v/>
      </c>
    </row>
    <row r="204" ht="15" customHeight="1" s="1">
      <c r="A204" s="2" t="n">
        <v>50202</v>
      </c>
      <c r="B204" s="2" t="inlineStr">
        <is>
          <t>SKU-0177</t>
        </is>
      </c>
      <c r="C204" s="2" t="n">
        <v>18</v>
      </c>
      <c r="D204" s="2">
        <f>VLOOKUP(B204,Products!$A$2:$D$201,3,FALSE())</f>
        <v/>
      </c>
      <c r="E204" s="2">
        <f>C204*D204</f>
        <v/>
      </c>
      <c r="F204" s="2">
        <f>C204*INDEX(Products!$D$2:$D$201,MATCH(B204,Products!$A$2:$A$201,0))</f>
        <v/>
      </c>
      <c r="G204" s="2">
        <f>E204-F204</f>
        <v/>
      </c>
    </row>
    <row r="205" ht="15" customHeight="1" s="1">
      <c r="A205" s="2" t="n">
        <v>50203</v>
      </c>
      <c r="B205" s="2" t="inlineStr">
        <is>
          <t>SKU-0171</t>
        </is>
      </c>
      <c r="C205" s="2" t="n">
        <v>2</v>
      </c>
      <c r="D205" s="2">
        <f>VLOOKUP(B205,Products!$A$2:$D$201,3,FALSE())</f>
        <v/>
      </c>
      <c r="E205" s="2">
        <f>C205*D205</f>
        <v/>
      </c>
      <c r="F205" s="2">
        <f>C205*INDEX(Products!$D$2:$D$201,MATCH(B205,Products!$A$2:$A$201,0))</f>
        <v/>
      </c>
      <c r="G205" s="2">
        <f>E205-F205</f>
        <v/>
      </c>
    </row>
    <row r="206" ht="15" customHeight="1" s="1">
      <c r="A206" s="2" t="n">
        <v>50204</v>
      </c>
      <c r="B206" s="2" t="inlineStr">
        <is>
          <t>SKU-0137</t>
        </is>
      </c>
      <c r="C206" s="2" t="n">
        <v>5</v>
      </c>
      <c r="D206" s="2">
        <f>VLOOKUP(B206,Products!$A$2:$D$201,3,FALSE())</f>
        <v/>
      </c>
      <c r="E206" s="2">
        <f>C206*D206</f>
        <v/>
      </c>
      <c r="F206" s="2">
        <f>C206*INDEX(Products!$D$2:$D$201,MATCH(B206,Products!$A$2:$A$201,0))</f>
        <v/>
      </c>
      <c r="G206" s="2">
        <f>E206-F206</f>
        <v/>
      </c>
    </row>
    <row r="207" ht="15" customHeight="1" s="1">
      <c r="A207" s="2" t="n">
        <v>50205</v>
      </c>
      <c r="B207" s="2" t="inlineStr">
        <is>
          <t>SKU-0106</t>
        </is>
      </c>
      <c r="C207" s="2" t="n">
        <v>12</v>
      </c>
      <c r="D207" s="2">
        <f>VLOOKUP(B207,Products!$A$2:$D$201,3,FALSE())</f>
        <v/>
      </c>
      <c r="E207" s="2">
        <f>C207*D207</f>
        <v/>
      </c>
      <c r="F207" s="2">
        <f>C207*INDEX(Products!$D$2:$D$201,MATCH(B207,Products!$A$2:$A$201,0))</f>
        <v/>
      </c>
      <c r="G207" s="2">
        <f>E207-F207</f>
        <v/>
      </c>
    </row>
    <row r="208" ht="15" customHeight="1" s="1">
      <c r="A208" s="2" t="n">
        <v>50206</v>
      </c>
      <c r="B208" s="2" t="inlineStr">
        <is>
          <t>SKU-0151</t>
        </is>
      </c>
      <c r="C208" s="2" t="n">
        <v>1</v>
      </c>
      <c r="D208" s="2">
        <f>VLOOKUP(B208,Products!$A$2:$D$201,3,FALSE())</f>
        <v/>
      </c>
      <c r="E208" s="2">
        <f>C208*D208</f>
        <v/>
      </c>
      <c r="F208" s="2">
        <f>C208*INDEX(Products!$D$2:$D$201,MATCH(B208,Products!$A$2:$A$201,0))</f>
        <v/>
      </c>
      <c r="G208" s="2">
        <f>E208-F208</f>
        <v/>
      </c>
    </row>
    <row r="209" ht="15" customHeight="1" s="1">
      <c r="A209" s="2" t="n">
        <v>50207</v>
      </c>
      <c r="B209" s="2" t="inlineStr">
        <is>
          <t>SKU-0173</t>
        </is>
      </c>
      <c r="C209" s="2" t="n">
        <v>17</v>
      </c>
      <c r="D209" s="2">
        <f>VLOOKUP(B209,Products!$A$2:$D$201,3,FALSE())</f>
        <v/>
      </c>
      <c r="E209" s="2">
        <f>C209*D209</f>
        <v/>
      </c>
      <c r="F209" s="2">
        <f>C209*INDEX(Products!$D$2:$D$201,MATCH(B209,Products!$A$2:$A$201,0))</f>
        <v/>
      </c>
      <c r="G209" s="2">
        <f>E209-F209</f>
        <v/>
      </c>
    </row>
    <row r="210" ht="15" customHeight="1" s="1">
      <c r="A210" s="2" t="n">
        <v>50208</v>
      </c>
      <c r="B210" s="2" t="inlineStr">
        <is>
          <t>SKU-0052</t>
        </is>
      </c>
      <c r="C210" s="2" t="n">
        <v>10</v>
      </c>
      <c r="D210" s="2">
        <f>VLOOKUP(B210,Products!$A$2:$D$201,3,FALSE())</f>
        <v/>
      </c>
      <c r="E210" s="2">
        <f>C210*D210</f>
        <v/>
      </c>
      <c r="F210" s="2">
        <f>C210*INDEX(Products!$D$2:$D$201,MATCH(B210,Products!$A$2:$A$201,0))</f>
        <v/>
      </c>
      <c r="G210" s="2">
        <f>E210-F210</f>
        <v/>
      </c>
    </row>
    <row r="211" ht="15" customHeight="1" s="1">
      <c r="A211" s="2" t="n">
        <v>50209</v>
      </c>
      <c r="B211" s="2" t="inlineStr">
        <is>
          <t>SKU-0073</t>
        </is>
      </c>
      <c r="C211" s="2" t="n">
        <v>3</v>
      </c>
      <c r="D211" s="2">
        <f>VLOOKUP(B211,Products!$A$2:$D$201,3,FALSE())</f>
        <v/>
      </c>
      <c r="E211" s="2">
        <f>C211*D211</f>
        <v/>
      </c>
      <c r="F211" s="2">
        <f>C211*INDEX(Products!$D$2:$D$201,MATCH(B211,Products!$A$2:$A$201,0))</f>
        <v/>
      </c>
      <c r="G211" s="2">
        <f>E211-F211</f>
        <v/>
      </c>
    </row>
    <row r="212" ht="15" customHeight="1" s="1">
      <c r="A212" s="2" t="n">
        <v>50210</v>
      </c>
      <c r="B212" s="2" t="inlineStr">
        <is>
          <t>SKU-0006</t>
        </is>
      </c>
      <c r="C212" s="2" t="n">
        <v>3</v>
      </c>
      <c r="D212" s="2">
        <f>VLOOKUP(B212,Products!$A$2:$D$201,3,FALSE())</f>
        <v/>
      </c>
      <c r="E212" s="2">
        <f>C212*D212</f>
        <v/>
      </c>
      <c r="F212" s="2">
        <f>C212*INDEX(Products!$D$2:$D$201,MATCH(B212,Products!$A$2:$A$201,0))</f>
        <v/>
      </c>
      <c r="G212" s="2">
        <f>E212-F212</f>
        <v/>
      </c>
    </row>
    <row r="213" ht="15" customHeight="1" s="1">
      <c r="A213" s="2" t="n">
        <v>50211</v>
      </c>
      <c r="B213" s="2" t="inlineStr">
        <is>
          <t>SKU-0198</t>
        </is>
      </c>
      <c r="C213" s="2" t="n">
        <v>12</v>
      </c>
      <c r="D213" s="2">
        <f>VLOOKUP(B213,Products!$A$2:$D$201,3,FALSE())</f>
        <v/>
      </c>
      <c r="E213" s="2">
        <f>C213*D213</f>
        <v/>
      </c>
      <c r="F213" s="2">
        <f>C213*INDEX(Products!$D$2:$D$201,MATCH(B213,Products!$A$2:$A$201,0))</f>
        <v/>
      </c>
      <c r="G213" s="2">
        <f>E213-F213</f>
        <v/>
      </c>
    </row>
    <row r="214" ht="15" customHeight="1" s="1">
      <c r="A214" s="2" t="n">
        <v>50212</v>
      </c>
      <c r="B214" s="2" t="inlineStr">
        <is>
          <t>SKU-0156</t>
        </is>
      </c>
      <c r="C214" s="2" t="n">
        <v>19</v>
      </c>
      <c r="D214" s="2">
        <f>VLOOKUP(B214,Products!$A$2:$D$201,3,FALSE())</f>
        <v/>
      </c>
      <c r="E214" s="2">
        <f>C214*D214</f>
        <v/>
      </c>
      <c r="F214" s="2">
        <f>C214*INDEX(Products!$D$2:$D$201,MATCH(B214,Products!$A$2:$A$201,0))</f>
        <v/>
      </c>
      <c r="G214" s="2">
        <f>E214-F214</f>
        <v/>
      </c>
    </row>
    <row r="215" ht="15" customHeight="1" s="1">
      <c r="A215" s="2" t="n">
        <v>50213</v>
      </c>
      <c r="B215" s="2" t="inlineStr">
        <is>
          <t>SKU-0194</t>
        </is>
      </c>
      <c r="C215" s="2" t="n">
        <v>14</v>
      </c>
      <c r="D215" s="2">
        <f>VLOOKUP(B215,Products!$A$2:$D$201,3,FALSE())</f>
        <v/>
      </c>
      <c r="E215" s="2">
        <f>C215*D215</f>
        <v/>
      </c>
      <c r="F215" s="2">
        <f>C215*INDEX(Products!$D$2:$D$201,MATCH(B215,Products!$A$2:$A$201,0))</f>
        <v/>
      </c>
      <c r="G215" s="2">
        <f>E215-F215</f>
        <v/>
      </c>
    </row>
    <row r="216" ht="15" customHeight="1" s="1">
      <c r="A216" s="2" t="n">
        <v>50214</v>
      </c>
      <c r="B216" s="2" t="inlineStr">
        <is>
          <t>SKU-0078</t>
        </is>
      </c>
      <c r="C216" s="2" t="n">
        <v>1</v>
      </c>
      <c r="D216" s="2">
        <f>VLOOKUP(B216,Products!$A$2:$D$201,3,FALSE())</f>
        <v/>
      </c>
      <c r="E216" s="2">
        <f>C216*D216</f>
        <v/>
      </c>
      <c r="F216" s="2">
        <f>C216*INDEX(Products!$D$2:$D$201,MATCH(B216,Products!$A$2:$A$201,0))</f>
        <v/>
      </c>
      <c r="G216" s="2">
        <f>E216-F216</f>
        <v/>
      </c>
    </row>
    <row r="217" ht="15" customHeight="1" s="1">
      <c r="A217" s="2" t="n">
        <v>50215</v>
      </c>
      <c r="B217" s="2" t="inlineStr">
        <is>
          <t>SKU-0070</t>
        </is>
      </c>
      <c r="C217" s="2" t="n">
        <v>8</v>
      </c>
      <c r="D217" s="2">
        <f>VLOOKUP(B217,Products!$A$2:$D$201,3,FALSE())</f>
        <v/>
      </c>
      <c r="E217" s="2">
        <f>C217*D217</f>
        <v/>
      </c>
      <c r="F217" s="2">
        <f>C217*INDEX(Products!$D$2:$D$201,MATCH(B217,Products!$A$2:$A$201,0))</f>
        <v/>
      </c>
      <c r="G217" s="2">
        <f>E217-F217</f>
        <v/>
      </c>
    </row>
    <row r="218" ht="15" customHeight="1" s="1">
      <c r="A218" s="2" t="n">
        <v>50216</v>
      </c>
      <c r="B218" s="2" t="inlineStr">
        <is>
          <t>SKU-0018</t>
        </is>
      </c>
      <c r="C218" s="2" t="n">
        <v>2</v>
      </c>
      <c r="D218" s="2">
        <f>VLOOKUP(B218,Products!$A$2:$D$201,3,FALSE())</f>
        <v/>
      </c>
      <c r="E218" s="2">
        <f>C218*D218</f>
        <v/>
      </c>
      <c r="F218" s="2">
        <f>C218*INDEX(Products!$D$2:$D$201,MATCH(B218,Products!$A$2:$A$201,0))</f>
        <v/>
      </c>
      <c r="G218" s="2">
        <f>E218-F218</f>
        <v/>
      </c>
    </row>
    <row r="219" ht="15" customHeight="1" s="1">
      <c r="A219" s="2" t="n">
        <v>50217</v>
      </c>
      <c r="B219" s="2" t="inlineStr">
        <is>
          <t>SKU-0192</t>
        </is>
      </c>
      <c r="C219" s="2" t="n">
        <v>3</v>
      </c>
      <c r="D219" s="2">
        <f>VLOOKUP(B219,Products!$A$2:$D$201,3,FALSE())</f>
        <v/>
      </c>
      <c r="E219" s="2">
        <f>C219*D219</f>
        <v/>
      </c>
      <c r="F219" s="2">
        <f>C219*INDEX(Products!$D$2:$D$201,MATCH(B219,Products!$A$2:$A$201,0))</f>
        <v/>
      </c>
      <c r="G219" s="2">
        <f>E219-F219</f>
        <v/>
      </c>
    </row>
    <row r="220" ht="15" customHeight="1" s="1">
      <c r="A220" s="2" t="n">
        <v>50218</v>
      </c>
      <c r="B220" s="2" t="inlineStr">
        <is>
          <t>SKU-0171</t>
        </is>
      </c>
      <c r="C220" s="2" t="n">
        <v>10</v>
      </c>
      <c r="D220" s="2">
        <f>VLOOKUP(B220,Products!$A$2:$D$201,3,FALSE())</f>
        <v/>
      </c>
      <c r="E220" s="2">
        <f>C220*D220</f>
        <v/>
      </c>
      <c r="F220" s="2">
        <f>C220*INDEX(Products!$D$2:$D$201,MATCH(B220,Products!$A$2:$A$201,0))</f>
        <v/>
      </c>
      <c r="G220" s="2">
        <f>E220-F220</f>
        <v/>
      </c>
    </row>
    <row r="221" ht="15" customHeight="1" s="1">
      <c r="A221" s="2" t="n">
        <v>50219</v>
      </c>
      <c r="B221" s="2" t="inlineStr">
        <is>
          <t>SKU-0089</t>
        </is>
      </c>
      <c r="C221" s="2" t="n">
        <v>20</v>
      </c>
      <c r="D221" s="2">
        <f>VLOOKUP(B221,Products!$A$2:$D$201,3,FALSE())</f>
        <v/>
      </c>
      <c r="E221" s="2">
        <f>C221*D221</f>
        <v/>
      </c>
      <c r="F221" s="2">
        <f>C221*INDEX(Products!$D$2:$D$201,MATCH(B221,Products!$A$2:$A$201,0))</f>
        <v/>
      </c>
      <c r="G221" s="2">
        <f>E221-F221</f>
        <v/>
      </c>
    </row>
    <row r="222" ht="15" customHeight="1" s="1">
      <c r="A222" s="2" t="n">
        <v>50220</v>
      </c>
      <c r="B222" s="2" t="inlineStr">
        <is>
          <t>SKU-0156</t>
        </is>
      </c>
      <c r="C222" s="2" t="n">
        <v>18</v>
      </c>
      <c r="D222" s="2">
        <f>VLOOKUP(B222,Products!$A$2:$D$201,3,FALSE())</f>
        <v/>
      </c>
      <c r="E222" s="2">
        <f>C222*D222</f>
        <v/>
      </c>
      <c r="F222" s="2">
        <f>C222*INDEX(Products!$D$2:$D$201,MATCH(B222,Products!$A$2:$A$201,0))</f>
        <v/>
      </c>
      <c r="G222" s="2">
        <f>E222-F222</f>
        <v/>
      </c>
    </row>
    <row r="223" ht="15" customHeight="1" s="1">
      <c r="A223" s="2" t="n">
        <v>50221</v>
      </c>
      <c r="B223" s="2" t="inlineStr">
        <is>
          <t>SKU-0053</t>
        </is>
      </c>
      <c r="C223" s="2" t="n">
        <v>16</v>
      </c>
      <c r="D223" s="2">
        <f>VLOOKUP(B223,Products!$A$2:$D$201,3,FALSE())</f>
        <v/>
      </c>
      <c r="E223" s="2">
        <f>C223*D223</f>
        <v/>
      </c>
      <c r="F223" s="2">
        <f>C223*INDEX(Products!$D$2:$D$201,MATCH(B223,Products!$A$2:$A$201,0))</f>
        <v/>
      </c>
      <c r="G223" s="2">
        <f>E223-F223</f>
        <v/>
      </c>
    </row>
    <row r="224" ht="15" customHeight="1" s="1">
      <c r="A224" s="2" t="n">
        <v>50222</v>
      </c>
      <c r="B224" s="2" t="inlineStr">
        <is>
          <t>SKU-0132</t>
        </is>
      </c>
      <c r="C224" s="2" t="n">
        <v>3</v>
      </c>
      <c r="D224" s="2">
        <f>VLOOKUP(B224,Products!$A$2:$D$201,3,FALSE())</f>
        <v/>
      </c>
      <c r="E224" s="2">
        <f>C224*D224</f>
        <v/>
      </c>
      <c r="F224" s="2">
        <f>C224*INDEX(Products!$D$2:$D$201,MATCH(B224,Products!$A$2:$A$201,0))</f>
        <v/>
      </c>
      <c r="G224" s="2">
        <f>E224-F224</f>
        <v/>
      </c>
    </row>
    <row r="225" ht="15" customHeight="1" s="1">
      <c r="A225" s="2" t="n">
        <v>50223</v>
      </c>
      <c r="B225" s="2" t="inlineStr">
        <is>
          <t>SKU-0030</t>
        </is>
      </c>
      <c r="C225" s="2" t="n">
        <v>8</v>
      </c>
      <c r="D225" s="2">
        <f>VLOOKUP(B225,Products!$A$2:$D$201,3,FALSE())</f>
        <v/>
      </c>
      <c r="E225" s="2">
        <f>C225*D225</f>
        <v/>
      </c>
      <c r="F225" s="2">
        <f>C225*INDEX(Products!$D$2:$D$201,MATCH(B225,Products!$A$2:$A$201,0))</f>
        <v/>
      </c>
      <c r="G225" s="2">
        <f>E225-F225</f>
        <v/>
      </c>
    </row>
    <row r="226" ht="15" customHeight="1" s="1">
      <c r="A226" s="2" t="n">
        <v>50224</v>
      </c>
      <c r="B226" s="2" t="inlineStr">
        <is>
          <t>SKU-0087</t>
        </is>
      </c>
      <c r="C226" s="2" t="n">
        <v>18</v>
      </c>
      <c r="D226" s="2">
        <f>VLOOKUP(B226,Products!$A$2:$D$201,3,FALSE())</f>
        <v/>
      </c>
      <c r="E226" s="2">
        <f>C226*D226</f>
        <v/>
      </c>
      <c r="F226" s="2">
        <f>C226*INDEX(Products!$D$2:$D$201,MATCH(B226,Products!$A$2:$A$201,0))</f>
        <v/>
      </c>
      <c r="G226" s="2">
        <f>E226-F226</f>
        <v/>
      </c>
    </row>
    <row r="227" ht="15" customHeight="1" s="1">
      <c r="A227" s="2" t="n">
        <v>50225</v>
      </c>
      <c r="B227" s="2" t="inlineStr">
        <is>
          <t>SKU-0108</t>
        </is>
      </c>
      <c r="C227" s="2" t="n">
        <v>13</v>
      </c>
      <c r="D227" s="2">
        <f>VLOOKUP(B227,Products!$A$2:$D$201,3,FALSE())</f>
        <v/>
      </c>
      <c r="E227" s="2">
        <f>C227*D227</f>
        <v/>
      </c>
      <c r="F227" s="2">
        <f>C227*INDEX(Products!$D$2:$D$201,MATCH(B227,Products!$A$2:$A$201,0))</f>
        <v/>
      </c>
      <c r="G227" s="2">
        <f>E227-F227</f>
        <v/>
      </c>
    </row>
    <row r="228" ht="15" customHeight="1" s="1">
      <c r="A228" s="2" t="n">
        <v>50226</v>
      </c>
      <c r="B228" s="2" t="inlineStr">
        <is>
          <t>SKU-0000</t>
        </is>
      </c>
      <c r="C228" s="2" t="n">
        <v>13</v>
      </c>
      <c r="D228" s="2">
        <f>VLOOKUP(B228,Products!$A$2:$D$201,3,FALSE())</f>
        <v/>
      </c>
      <c r="E228" s="2">
        <f>C228*D228</f>
        <v/>
      </c>
      <c r="F228" s="2">
        <f>C228*INDEX(Products!$D$2:$D$201,MATCH(B228,Products!$A$2:$A$201,0))</f>
        <v/>
      </c>
      <c r="G228" s="2">
        <f>E228-F228</f>
        <v/>
      </c>
    </row>
    <row r="229" ht="15" customHeight="1" s="1">
      <c r="A229" s="2" t="n">
        <v>50227</v>
      </c>
      <c r="B229" s="2" t="inlineStr">
        <is>
          <t>SKU-0096</t>
        </is>
      </c>
      <c r="C229" s="2" t="n">
        <v>6</v>
      </c>
      <c r="D229" s="2">
        <f>VLOOKUP(B229,Products!$A$2:$D$201,3,FALSE())</f>
        <v/>
      </c>
      <c r="E229" s="2">
        <f>C229*D229</f>
        <v/>
      </c>
      <c r="F229" s="2">
        <f>C229*INDEX(Products!$D$2:$D$201,MATCH(B229,Products!$A$2:$A$201,0))</f>
        <v/>
      </c>
      <c r="G229" s="2">
        <f>E229-F229</f>
        <v/>
      </c>
    </row>
    <row r="230" ht="15" customHeight="1" s="1">
      <c r="A230" s="2" t="n">
        <v>50228</v>
      </c>
      <c r="B230" s="2" t="inlineStr">
        <is>
          <t>SKU-0192</t>
        </is>
      </c>
      <c r="C230" s="2" t="n">
        <v>17</v>
      </c>
      <c r="D230" s="2">
        <f>VLOOKUP(B230,Products!$A$2:$D$201,3,FALSE())</f>
        <v/>
      </c>
      <c r="E230" s="2">
        <f>C230*D230</f>
        <v/>
      </c>
      <c r="F230" s="2">
        <f>C230*INDEX(Products!$D$2:$D$201,MATCH(B230,Products!$A$2:$A$201,0))</f>
        <v/>
      </c>
      <c r="G230" s="2">
        <f>E230-F230</f>
        <v/>
      </c>
    </row>
    <row r="231" ht="15" customHeight="1" s="1">
      <c r="A231" s="2" t="n">
        <v>50229</v>
      </c>
      <c r="B231" s="2" t="inlineStr">
        <is>
          <t>SKU-0053</t>
        </is>
      </c>
      <c r="C231" s="2" t="n">
        <v>20</v>
      </c>
      <c r="D231" s="2">
        <f>VLOOKUP(B231,Products!$A$2:$D$201,3,FALSE())</f>
        <v/>
      </c>
      <c r="E231" s="2">
        <f>C231*D231</f>
        <v/>
      </c>
      <c r="F231" s="2">
        <f>C231*INDEX(Products!$D$2:$D$201,MATCH(B231,Products!$A$2:$A$201,0))</f>
        <v/>
      </c>
      <c r="G231" s="2">
        <f>E231-F231</f>
        <v/>
      </c>
    </row>
    <row r="232" ht="15" customHeight="1" s="1">
      <c r="A232" s="2" t="n">
        <v>50230</v>
      </c>
      <c r="B232" s="2" t="inlineStr">
        <is>
          <t>SKU-0082</t>
        </is>
      </c>
      <c r="C232" s="2" t="n">
        <v>13</v>
      </c>
      <c r="D232" s="2">
        <f>VLOOKUP(B232,Products!$A$2:$D$201,3,FALSE())</f>
        <v/>
      </c>
      <c r="E232" s="2">
        <f>C232*D232</f>
        <v/>
      </c>
      <c r="F232" s="2">
        <f>C232*INDEX(Products!$D$2:$D$201,MATCH(B232,Products!$A$2:$A$201,0))</f>
        <v/>
      </c>
      <c r="G232" s="2">
        <f>E232-F232</f>
        <v/>
      </c>
    </row>
    <row r="233" ht="15" customHeight="1" s="1">
      <c r="A233" s="2" t="n">
        <v>50231</v>
      </c>
      <c r="B233" s="2" t="inlineStr">
        <is>
          <t>SKU-0082</t>
        </is>
      </c>
      <c r="C233" s="2" t="n">
        <v>4</v>
      </c>
      <c r="D233" s="2">
        <f>VLOOKUP(B233,Products!$A$2:$D$201,3,FALSE())</f>
        <v/>
      </c>
      <c r="E233" s="2">
        <f>C233*D233</f>
        <v/>
      </c>
      <c r="F233" s="2">
        <f>C233*INDEX(Products!$D$2:$D$201,MATCH(B233,Products!$A$2:$A$201,0))</f>
        <v/>
      </c>
      <c r="G233" s="2">
        <f>E233-F233</f>
        <v/>
      </c>
    </row>
    <row r="234" ht="15" customHeight="1" s="1">
      <c r="A234" s="2" t="n">
        <v>50232</v>
      </c>
      <c r="B234" s="2" t="inlineStr">
        <is>
          <t>SKU-0176</t>
        </is>
      </c>
      <c r="C234" s="2" t="n">
        <v>18</v>
      </c>
      <c r="D234" s="2">
        <f>VLOOKUP(B234,Products!$A$2:$D$201,3,FALSE())</f>
        <v/>
      </c>
      <c r="E234" s="2">
        <f>C234*D234</f>
        <v/>
      </c>
      <c r="F234" s="2">
        <f>C234*INDEX(Products!$D$2:$D$201,MATCH(B234,Products!$A$2:$A$201,0))</f>
        <v/>
      </c>
      <c r="G234" s="2">
        <f>E234-F234</f>
        <v/>
      </c>
    </row>
    <row r="235" ht="15" customHeight="1" s="1">
      <c r="A235" s="2" t="n">
        <v>50233</v>
      </c>
      <c r="B235" s="2" t="inlineStr">
        <is>
          <t>SKU-0176</t>
        </is>
      </c>
      <c r="C235" s="2" t="n">
        <v>12</v>
      </c>
      <c r="D235" s="2">
        <f>VLOOKUP(B235,Products!$A$2:$D$201,3,FALSE())</f>
        <v/>
      </c>
      <c r="E235" s="2">
        <f>C235*D235</f>
        <v/>
      </c>
      <c r="F235" s="2">
        <f>C235*INDEX(Products!$D$2:$D$201,MATCH(B235,Products!$A$2:$A$201,0))</f>
        <v/>
      </c>
      <c r="G235" s="2">
        <f>E235-F235</f>
        <v/>
      </c>
    </row>
    <row r="236" ht="15" customHeight="1" s="1">
      <c r="A236" s="2" t="n">
        <v>50234</v>
      </c>
      <c r="B236" s="2" t="inlineStr">
        <is>
          <t>SKU-0063</t>
        </is>
      </c>
      <c r="C236" s="2" t="n">
        <v>4</v>
      </c>
      <c r="D236" s="2">
        <f>VLOOKUP(B236,Products!$A$2:$D$201,3,FALSE())</f>
        <v/>
      </c>
      <c r="E236" s="2">
        <f>C236*D236</f>
        <v/>
      </c>
      <c r="F236" s="2">
        <f>C236*INDEX(Products!$D$2:$D$201,MATCH(B236,Products!$A$2:$A$201,0))</f>
        <v/>
      </c>
      <c r="G236" s="2">
        <f>E236-F236</f>
        <v/>
      </c>
    </row>
    <row r="237" ht="15" customHeight="1" s="1">
      <c r="A237" s="2" t="n">
        <v>50235</v>
      </c>
      <c r="B237" s="2" t="inlineStr">
        <is>
          <t>SKU-0054</t>
        </is>
      </c>
      <c r="C237" s="2" t="n">
        <v>10</v>
      </c>
      <c r="D237" s="2">
        <f>VLOOKUP(B237,Products!$A$2:$D$201,3,FALSE())</f>
        <v/>
      </c>
      <c r="E237" s="2">
        <f>C237*D237</f>
        <v/>
      </c>
      <c r="F237" s="2">
        <f>C237*INDEX(Products!$D$2:$D$201,MATCH(B237,Products!$A$2:$A$201,0))</f>
        <v/>
      </c>
      <c r="G237" s="2">
        <f>E237-F237</f>
        <v/>
      </c>
    </row>
    <row r="238" ht="15" customHeight="1" s="1">
      <c r="A238" s="2" t="n">
        <v>50236</v>
      </c>
      <c r="B238" s="2" t="inlineStr">
        <is>
          <t>SKU-0078</t>
        </is>
      </c>
      <c r="C238" s="2" t="n">
        <v>9</v>
      </c>
      <c r="D238" s="2">
        <f>VLOOKUP(B238,Products!$A$2:$D$201,3,FALSE())</f>
        <v/>
      </c>
      <c r="E238" s="2">
        <f>C238*D238</f>
        <v/>
      </c>
      <c r="F238" s="2">
        <f>C238*INDEX(Products!$D$2:$D$201,MATCH(B238,Products!$A$2:$A$201,0))</f>
        <v/>
      </c>
      <c r="G238" s="2">
        <f>E238-F238</f>
        <v/>
      </c>
    </row>
    <row r="239" ht="15" customHeight="1" s="1">
      <c r="A239" s="2" t="n">
        <v>50237</v>
      </c>
      <c r="B239" s="2" t="inlineStr">
        <is>
          <t>SKU-0159</t>
        </is>
      </c>
      <c r="C239" s="2" t="n">
        <v>3</v>
      </c>
      <c r="D239" s="2">
        <f>VLOOKUP(B239,Products!$A$2:$D$201,3,FALSE())</f>
        <v/>
      </c>
      <c r="E239" s="2">
        <f>C239*D239</f>
        <v/>
      </c>
      <c r="F239" s="2">
        <f>C239*INDEX(Products!$D$2:$D$201,MATCH(B239,Products!$A$2:$A$201,0))</f>
        <v/>
      </c>
      <c r="G239" s="2">
        <f>E239-F239</f>
        <v/>
      </c>
    </row>
    <row r="240" ht="15" customHeight="1" s="1">
      <c r="A240" s="2" t="n">
        <v>50238</v>
      </c>
      <c r="B240" s="2" t="inlineStr">
        <is>
          <t>SKU-0042</t>
        </is>
      </c>
      <c r="C240" s="2" t="n">
        <v>3</v>
      </c>
      <c r="D240" s="2">
        <f>VLOOKUP(B240,Products!$A$2:$D$201,3,FALSE())</f>
        <v/>
      </c>
      <c r="E240" s="2">
        <f>C240*D240</f>
        <v/>
      </c>
      <c r="F240" s="2">
        <f>C240*INDEX(Products!$D$2:$D$201,MATCH(B240,Products!$A$2:$A$201,0))</f>
        <v/>
      </c>
      <c r="G240" s="2">
        <f>E240-F240</f>
        <v/>
      </c>
    </row>
    <row r="241" ht="15" customHeight="1" s="1">
      <c r="A241" s="2" t="n">
        <v>50239</v>
      </c>
      <c r="B241" s="2" t="inlineStr">
        <is>
          <t>SKU-0161</t>
        </is>
      </c>
      <c r="C241" s="2" t="n">
        <v>14</v>
      </c>
      <c r="D241" s="2">
        <f>VLOOKUP(B241,Products!$A$2:$D$201,3,FALSE())</f>
        <v/>
      </c>
      <c r="E241" s="2">
        <f>C241*D241</f>
        <v/>
      </c>
      <c r="F241" s="2">
        <f>C241*INDEX(Products!$D$2:$D$201,MATCH(B241,Products!$A$2:$A$201,0))</f>
        <v/>
      </c>
      <c r="G241" s="2">
        <f>E241-F241</f>
        <v/>
      </c>
    </row>
    <row r="242" ht="15" customHeight="1" s="1">
      <c r="A242" s="2" t="n">
        <v>50240</v>
      </c>
      <c r="B242" s="2" t="inlineStr">
        <is>
          <t>SKU-0196</t>
        </is>
      </c>
      <c r="C242" s="2" t="n">
        <v>6</v>
      </c>
      <c r="D242" s="2">
        <f>VLOOKUP(B242,Products!$A$2:$D$201,3,FALSE())</f>
        <v/>
      </c>
      <c r="E242" s="2">
        <f>C242*D242</f>
        <v/>
      </c>
      <c r="F242" s="2">
        <f>C242*INDEX(Products!$D$2:$D$201,MATCH(B242,Products!$A$2:$A$201,0))</f>
        <v/>
      </c>
      <c r="G242" s="2">
        <f>E242-F242</f>
        <v/>
      </c>
    </row>
    <row r="243" ht="15" customHeight="1" s="1">
      <c r="A243" s="2" t="n">
        <v>50241</v>
      </c>
      <c r="B243" s="2" t="inlineStr">
        <is>
          <t>SKU-0057</t>
        </is>
      </c>
      <c r="C243" s="2" t="n">
        <v>3</v>
      </c>
      <c r="D243" s="2">
        <f>VLOOKUP(B243,Products!$A$2:$D$201,3,FALSE())</f>
        <v/>
      </c>
      <c r="E243" s="2">
        <f>C243*D243</f>
        <v/>
      </c>
      <c r="F243" s="2">
        <f>C243*INDEX(Products!$D$2:$D$201,MATCH(B243,Products!$A$2:$A$201,0))</f>
        <v/>
      </c>
      <c r="G243" s="2">
        <f>E243-F243</f>
        <v/>
      </c>
    </row>
    <row r="244" ht="15" customHeight="1" s="1">
      <c r="A244" s="2" t="n">
        <v>50242</v>
      </c>
      <c r="B244" s="2" t="inlineStr">
        <is>
          <t>SKU-0145</t>
        </is>
      </c>
      <c r="C244" s="2" t="n">
        <v>19</v>
      </c>
      <c r="D244" s="2">
        <f>VLOOKUP(B244,Products!$A$2:$D$201,3,FALSE())</f>
        <v/>
      </c>
      <c r="E244" s="2">
        <f>C244*D244</f>
        <v/>
      </c>
      <c r="F244" s="2">
        <f>C244*INDEX(Products!$D$2:$D$201,MATCH(B244,Products!$A$2:$A$201,0))</f>
        <v/>
      </c>
      <c r="G244" s="2">
        <f>E244-F244</f>
        <v/>
      </c>
    </row>
    <row r="245" ht="15" customHeight="1" s="1">
      <c r="A245" s="2" t="n">
        <v>50243</v>
      </c>
      <c r="B245" s="2" t="inlineStr">
        <is>
          <t>SKU-0160</t>
        </is>
      </c>
      <c r="C245" s="2" t="n">
        <v>18</v>
      </c>
      <c r="D245" s="2">
        <f>VLOOKUP(B245,Products!$A$2:$D$201,3,FALSE())</f>
        <v/>
      </c>
      <c r="E245" s="2">
        <f>C245*D245</f>
        <v/>
      </c>
      <c r="F245" s="2">
        <f>C245*INDEX(Products!$D$2:$D$201,MATCH(B245,Products!$A$2:$A$201,0))</f>
        <v/>
      </c>
      <c r="G245" s="2">
        <f>E245-F245</f>
        <v/>
      </c>
    </row>
    <row r="246" ht="15" customHeight="1" s="1">
      <c r="A246" s="2" t="n">
        <v>50244</v>
      </c>
      <c r="B246" s="2" t="inlineStr">
        <is>
          <t>SKU-0186</t>
        </is>
      </c>
      <c r="C246" s="2" t="n">
        <v>14</v>
      </c>
      <c r="D246" s="2">
        <f>VLOOKUP(B246,Products!$A$2:$D$201,3,FALSE())</f>
        <v/>
      </c>
      <c r="E246" s="2">
        <f>C246*D246</f>
        <v/>
      </c>
      <c r="F246" s="2">
        <f>C246*INDEX(Products!$D$2:$D$201,MATCH(B246,Products!$A$2:$A$201,0))</f>
        <v/>
      </c>
      <c r="G246" s="2">
        <f>E246-F246</f>
        <v/>
      </c>
    </row>
    <row r="247" ht="15" customHeight="1" s="1">
      <c r="A247" s="2" t="n">
        <v>50245</v>
      </c>
      <c r="B247" s="2" t="inlineStr">
        <is>
          <t>SKU-0106</t>
        </is>
      </c>
      <c r="C247" s="2" t="n">
        <v>8</v>
      </c>
      <c r="D247" s="2">
        <f>VLOOKUP(B247,Products!$A$2:$D$201,3,FALSE())</f>
        <v/>
      </c>
      <c r="E247" s="2">
        <f>C247*D247</f>
        <v/>
      </c>
      <c r="F247" s="2">
        <f>C247*INDEX(Products!$D$2:$D$201,MATCH(B247,Products!$A$2:$A$201,0))</f>
        <v/>
      </c>
      <c r="G247" s="2">
        <f>E247-F247</f>
        <v/>
      </c>
    </row>
    <row r="248" ht="15" customHeight="1" s="1">
      <c r="A248" s="2" t="n">
        <v>50246</v>
      </c>
      <c r="B248" s="2" t="inlineStr">
        <is>
          <t>SKU-0108</t>
        </is>
      </c>
      <c r="C248" s="2" t="n">
        <v>16</v>
      </c>
      <c r="D248" s="2">
        <f>VLOOKUP(B248,Products!$A$2:$D$201,3,FALSE())</f>
        <v/>
      </c>
      <c r="E248" s="2">
        <f>C248*D248</f>
        <v/>
      </c>
      <c r="F248" s="2">
        <f>C248*INDEX(Products!$D$2:$D$201,MATCH(B248,Products!$A$2:$A$201,0))</f>
        <v/>
      </c>
      <c r="G248" s="2">
        <f>E248-F248</f>
        <v/>
      </c>
    </row>
    <row r="249" ht="15" customHeight="1" s="1">
      <c r="A249" s="2" t="n">
        <v>50247</v>
      </c>
      <c r="B249" s="2" t="inlineStr">
        <is>
          <t>SKU-0135</t>
        </is>
      </c>
      <c r="C249" s="2" t="n">
        <v>20</v>
      </c>
      <c r="D249" s="2">
        <f>VLOOKUP(B249,Products!$A$2:$D$201,3,FALSE())</f>
        <v/>
      </c>
      <c r="E249" s="2">
        <f>C249*D249</f>
        <v/>
      </c>
      <c r="F249" s="2">
        <f>C249*INDEX(Products!$D$2:$D$201,MATCH(B249,Products!$A$2:$A$201,0))</f>
        <v/>
      </c>
      <c r="G249" s="2">
        <f>E249-F249</f>
        <v/>
      </c>
    </row>
    <row r="250" ht="15" customHeight="1" s="1">
      <c r="A250" s="2" t="n">
        <v>50248</v>
      </c>
      <c r="B250" s="2" t="inlineStr">
        <is>
          <t>SKU-0062</t>
        </is>
      </c>
      <c r="C250" s="2" t="n">
        <v>10</v>
      </c>
      <c r="D250" s="2">
        <f>VLOOKUP(B250,Products!$A$2:$D$201,3,FALSE())</f>
        <v/>
      </c>
      <c r="E250" s="2">
        <f>C250*D250</f>
        <v/>
      </c>
      <c r="F250" s="2">
        <f>C250*INDEX(Products!$D$2:$D$201,MATCH(B250,Products!$A$2:$A$201,0))</f>
        <v/>
      </c>
      <c r="G250" s="2">
        <f>E250-F250</f>
        <v/>
      </c>
    </row>
    <row r="251" ht="15" customHeight="1" s="1">
      <c r="A251" s="2" t="n">
        <v>50249</v>
      </c>
      <c r="B251" s="2" t="inlineStr">
        <is>
          <t>SKU-0107</t>
        </is>
      </c>
      <c r="C251" s="2" t="n">
        <v>9</v>
      </c>
      <c r="D251" s="2">
        <f>VLOOKUP(B251,Products!$A$2:$D$201,3,FALSE())</f>
        <v/>
      </c>
      <c r="E251" s="2">
        <f>C251*D251</f>
        <v/>
      </c>
      <c r="F251" s="2">
        <f>C251*INDEX(Products!$D$2:$D$201,MATCH(B251,Products!$A$2:$A$201,0))</f>
        <v/>
      </c>
      <c r="G251" s="2">
        <f>E251-F251</f>
        <v/>
      </c>
    </row>
    <row r="252" ht="15" customHeight="1" s="1">
      <c r="A252" s="2" t="n">
        <v>50250</v>
      </c>
      <c r="B252" s="2" t="inlineStr">
        <is>
          <t>SKU-0021</t>
        </is>
      </c>
      <c r="C252" s="2" t="n">
        <v>20</v>
      </c>
      <c r="D252" s="2">
        <f>VLOOKUP(B252,Products!$A$2:$D$201,3,FALSE())</f>
        <v/>
      </c>
      <c r="E252" s="2">
        <f>C252*D252</f>
        <v/>
      </c>
      <c r="F252" s="2">
        <f>C252*INDEX(Products!$D$2:$D$201,MATCH(B252,Products!$A$2:$A$201,0))</f>
        <v/>
      </c>
      <c r="G252" s="2">
        <f>E252-F252</f>
        <v/>
      </c>
    </row>
    <row r="253" ht="15" customHeight="1" s="1">
      <c r="A253" s="2" t="n">
        <v>50251</v>
      </c>
      <c r="B253" s="2" t="inlineStr">
        <is>
          <t>SKU-0084</t>
        </is>
      </c>
      <c r="C253" s="2" t="n">
        <v>6</v>
      </c>
      <c r="D253" s="2">
        <f>VLOOKUP(B253,Products!$A$2:$D$201,3,FALSE())</f>
        <v/>
      </c>
      <c r="E253" s="2">
        <f>C253*D253</f>
        <v/>
      </c>
      <c r="F253" s="2">
        <f>C253*INDEX(Products!$D$2:$D$201,MATCH(B253,Products!$A$2:$A$201,0))</f>
        <v/>
      </c>
      <c r="G253" s="2">
        <f>E253-F253</f>
        <v/>
      </c>
    </row>
    <row r="254" ht="15" customHeight="1" s="1">
      <c r="A254" s="2" t="n">
        <v>50252</v>
      </c>
      <c r="B254" s="2" t="inlineStr">
        <is>
          <t>SKU-0107</t>
        </is>
      </c>
      <c r="C254" s="2" t="n">
        <v>1</v>
      </c>
      <c r="D254" s="2">
        <f>VLOOKUP(B254,Products!$A$2:$D$201,3,FALSE())</f>
        <v/>
      </c>
      <c r="E254" s="2">
        <f>C254*D254</f>
        <v/>
      </c>
      <c r="F254" s="2">
        <f>C254*INDEX(Products!$D$2:$D$201,MATCH(B254,Products!$A$2:$A$201,0))</f>
        <v/>
      </c>
      <c r="G254" s="2">
        <f>E254-F254</f>
        <v/>
      </c>
    </row>
    <row r="255" ht="15" customHeight="1" s="1">
      <c r="A255" s="2" t="n">
        <v>50253</v>
      </c>
      <c r="B255" s="2" t="inlineStr">
        <is>
          <t>SKU-0038</t>
        </is>
      </c>
      <c r="C255" s="2" t="n">
        <v>4</v>
      </c>
      <c r="D255" s="2">
        <f>VLOOKUP(B255,Products!$A$2:$D$201,3,FALSE())</f>
        <v/>
      </c>
      <c r="E255" s="2">
        <f>C255*D255</f>
        <v/>
      </c>
      <c r="F255" s="2">
        <f>C255*INDEX(Products!$D$2:$D$201,MATCH(B255,Products!$A$2:$A$201,0))</f>
        <v/>
      </c>
      <c r="G255" s="2">
        <f>E255-F255</f>
        <v/>
      </c>
    </row>
    <row r="256" ht="15" customHeight="1" s="1">
      <c r="A256" s="2" t="n">
        <v>50254</v>
      </c>
      <c r="B256" s="2" t="inlineStr">
        <is>
          <t>SKU-0075</t>
        </is>
      </c>
      <c r="C256" s="2" t="n">
        <v>19</v>
      </c>
      <c r="D256" s="2">
        <f>VLOOKUP(B256,Products!$A$2:$D$201,3,FALSE())</f>
        <v/>
      </c>
      <c r="E256" s="2">
        <f>C256*D256</f>
        <v/>
      </c>
      <c r="F256" s="2">
        <f>C256*INDEX(Products!$D$2:$D$201,MATCH(B256,Products!$A$2:$A$201,0))</f>
        <v/>
      </c>
      <c r="G256" s="2">
        <f>E256-F256</f>
        <v/>
      </c>
    </row>
    <row r="257" ht="15" customHeight="1" s="1">
      <c r="A257" s="2" t="n">
        <v>50255</v>
      </c>
      <c r="B257" s="2" t="inlineStr">
        <is>
          <t>SKU-0142</t>
        </is>
      </c>
      <c r="C257" s="2" t="n">
        <v>20</v>
      </c>
      <c r="D257" s="2">
        <f>VLOOKUP(B257,Products!$A$2:$D$201,3,FALSE())</f>
        <v/>
      </c>
      <c r="E257" s="2">
        <f>C257*D257</f>
        <v/>
      </c>
      <c r="F257" s="2">
        <f>C257*INDEX(Products!$D$2:$D$201,MATCH(B257,Products!$A$2:$A$201,0))</f>
        <v/>
      </c>
      <c r="G257" s="2">
        <f>E257-F257</f>
        <v/>
      </c>
    </row>
    <row r="258" ht="15" customHeight="1" s="1">
      <c r="A258" s="2" t="n">
        <v>50256</v>
      </c>
      <c r="B258" s="2" t="inlineStr">
        <is>
          <t>SKU-0144</t>
        </is>
      </c>
      <c r="C258" s="2" t="n">
        <v>6</v>
      </c>
      <c r="D258" s="2">
        <f>VLOOKUP(B258,Products!$A$2:$D$201,3,FALSE())</f>
        <v/>
      </c>
      <c r="E258" s="2">
        <f>C258*D258</f>
        <v/>
      </c>
      <c r="F258" s="2">
        <f>C258*INDEX(Products!$D$2:$D$201,MATCH(B258,Products!$A$2:$A$201,0))</f>
        <v/>
      </c>
      <c r="G258" s="2">
        <f>E258-F258</f>
        <v/>
      </c>
    </row>
    <row r="259" ht="15" customHeight="1" s="1">
      <c r="A259" s="2" t="n">
        <v>50257</v>
      </c>
      <c r="B259" s="2" t="inlineStr">
        <is>
          <t>SKU-0111</t>
        </is>
      </c>
      <c r="C259" s="2" t="n">
        <v>7</v>
      </c>
      <c r="D259" s="2">
        <f>VLOOKUP(B259,Products!$A$2:$D$201,3,FALSE())</f>
        <v/>
      </c>
      <c r="E259" s="2">
        <f>C259*D259</f>
        <v/>
      </c>
      <c r="F259" s="2">
        <f>C259*INDEX(Products!$D$2:$D$201,MATCH(B259,Products!$A$2:$A$201,0))</f>
        <v/>
      </c>
      <c r="G259" s="2">
        <f>E259-F259</f>
        <v/>
      </c>
    </row>
    <row r="260" ht="15" customHeight="1" s="1">
      <c r="A260" s="2" t="n">
        <v>50258</v>
      </c>
      <c r="B260" s="2" t="inlineStr">
        <is>
          <t>SKU-0083</t>
        </is>
      </c>
      <c r="C260" s="2" t="n">
        <v>20</v>
      </c>
      <c r="D260" s="2">
        <f>VLOOKUP(B260,Products!$A$2:$D$201,3,FALSE())</f>
        <v/>
      </c>
      <c r="E260" s="2">
        <f>C260*D260</f>
        <v/>
      </c>
      <c r="F260" s="2">
        <f>C260*INDEX(Products!$D$2:$D$201,MATCH(B260,Products!$A$2:$A$201,0))</f>
        <v/>
      </c>
      <c r="G260" s="2">
        <f>E260-F260</f>
        <v/>
      </c>
    </row>
    <row r="261" ht="15" customHeight="1" s="1">
      <c r="A261" s="2" t="n">
        <v>50259</v>
      </c>
      <c r="B261" s="2" t="inlineStr">
        <is>
          <t>SKU-0026</t>
        </is>
      </c>
      <c r="C261" s="2" t="n">
        <v>11</v>
      </c>
      <c r="D261" s="2">
        <f>VLOOKUP(B261,Products!$A$2:$D$201,3,FALSE())</f>
        <v/>
      </c>
      <c r="E261" s="2">
        <f>C261*D261</f>
        <v/>
      </c>
      <c r="F261" s="2">
        <f>C261*INDEX(Products!$D$2:$D$201,MATCH(B261,Products!$A$2:$A$201,0))</f>
        <v/>
      </c>
      <c r="G261" s="2">
        <f>E261-F261</f>
        <v/>
      </c>
    </row>
    <row r="262" ht="15" customHeight="1" s="1">
      <c r="A262" s="2" t="n">
        <v>50260</v>
      </c>
      <c r="B262" s="2" t="inlineStr">
        <is>
          <t>SKU-0186</t>
        </is>
      </c>
      <c r="C262" s="2" t="n">
        <v>3</v>
      </c>
      <c r="D262" s="2">
        <f>VLOOKUP(B262,Products!$A$2:$D$201,3,FALSE())</f>
        <v/>
      </c>
      <c r="E262" s="2">
        <f>C262*D262</f>
        <v/>
      </c>
      <c r="F262" s="2">
        <f>C262*INDEX(Products!$D$2:$D$201,MATCH(B262,Products!$A$2:$A$201,0))</f>
        <v/>
      </c>
      <c r="G262" s="2">
        <f>E262-F262</f>
        <v/>
      </c>
    </row>
    <row r="263" ht="15" customHeight="1" s="1">
      <c r="A263" s="2" t="n">
        <v>50261</v>
      </c>
      <c r="B263" s="2" t="inlineStr">
        <is>
          <t>SKU-0015</t>
        </is>
      </c>
      <c r="C263" s="2" t="n">
        <v>16</v>
      </c>
      <c r="D263" s="2">
        <f>VLOOKUP(B263,Products!$A$2:$D$201,3,FALSE())</f>
        <v/>
      </c>
      <c r="E263" s="2">
        <f>C263*D263</f>
        <v/>
      </c>
      <c r="F263" s="2">
        <f>C263*INDEX(Products!$D$2:$D$201,MATCH(B263,Products!$A$2:$A$201,0))</f>
        <v/>
      </c>
      <c r="G263" s="2">
        <f>E263-F263</f>
        <v/>
      </c>
    </row>
    <row r="264" ht="15" customHeight="1" s="1">
      <c r="A264" s="2" t="n">
        <v>50262</v>
      </c>
      <c r="B264" s="2" t="inlineStr">
        <is>
          <t>SKU-0035</t>
        </is>
      </c>
      <c r="C264" s="2" t="n">
        <v>17</v>
      </c>
      <c r="D264" s="2">
        <f>VLOOKUP(B264,Products!$A$2:$D$201,3,FALSE())</f>
        <v/>
      </c>
      <c r="E264" s="2">
        <f>C264*D264</f>
        <v/>
      </c>
      <c r="F264" s="2">
        <f>C264*INDEX(Products!$D$2:$D$201,MATCH(B264,Products!$A$2:$A$201,0))</f>
        <v/>
      </c>
      <c r="G264" s="2">
        <f>E264-F264</f>
        <v/>
      </c>
    </row>
    <row r="265" ht="15" customHeight="1" s="1">
      <c r="A265" s="2" t="n">
        <v>50263</v>
      </c>
      <c r="B265" s="2" t="inlineStr">
        <is>
          <t>SKU-0018</t>
        </is>
      </c>
      <c r="C265" s="2" t="n">
        <v>11</v>
      </c>
      <c r="D265" s="2">
        <f>VLOOKUP(B265,Products!$A$2:$D$201,3,FALSE())</f>
        <v/>
      </c>
      <c r="E265" s="2">
        <f>C265*D265</f>
        <v/>
      </c>
      <c r="F265" s="2">
        <f>C265*INDEX(Products!$D$2:$D$201,MATCH(B265,Products!$A$2:$A$201,0))</f>
        <v/>
      </c>
      <c r="G265" s="2">
        <f>E265-F265</f>
        <v/>
      </c>
    </row>
    <row r="266" ht="15" customHeight="1" s="1">
      <c r="A266" s="2" t="n">
        <v>50264</v>
      </c>
      <c r="B266" s="2" t="inlineStr">
        <is>
          <t>SKU-0048</t>
        </is>
      </c>
      <c r="C266" s="2" t="n">
        <v>15</v>
      </c>
      <c r="D266" s="2">
        <f>VLOOKUP(B266,Products!$A$2:$D$201,3,FALSE())</f>
        <v/>
      </c>
      <c r="E266" s="2">
        <f>C266*D266</f>
        <v/>
      </c>
      <c r="F266" s="2">
        <f>C266*INDEX(Products!$D$2:$D$201,MATCH(B266,Products!$A$2:$A$201,0))</f>
        <v/>
      </c>
      <c r="G266" s="2">
        <f>E266-F266</f>
        <v/>
      </c>
    </row>
    <row r="267" ht="15" customHeight="1" s="1">
      <c r="A267" s="2" t="n">
        <v>50265</v>
      </c>
      <c r="B267" s="2" t="inlineStr">
        <is>
          <t>SKU-0165</t>
        </is>
      </c>
      <c r="C267" s="2" t="n">
        <v>13</v>
      </c>
      <c r="D267" s="2">
        <f>VLOOKUP(B267,Products!$A$2:$D$201,3,FALSE())</f>
        <v/>
      </c>
      <c r="E267" s="2">
        <f>C267*D267</f>
        <v/>
      </c>
      <c r="F267" s="2">
        <f>C267*INDEX(Products!$D$2:$D$201,MATCH(B267,Products!$A$2:$A$201,0))</f>
        <v/>
      </c>
      <c r="G267" s="2">
        <f>E267-F267</f>
        <v/>
      </c>
    </row>
    <row r="268" ht="15" customHeight="1" s="1">
      <c r="A268" s="2" t="n">
        <v>50266</v>
      </c>
      <c r="B268" s="2" t="inlineStr">
        <is>
          <t>SKU-0058</t>
        </is>
      </c>
      <c r="C268" s="2" t="n">
        <v>20</v>
      </c>
      <c r="D268" s="2">
        <f>VLOOKUP(B268,Products!$A$2:$D$201,3,FALSE())</f>
        <v/>
      </c>
      <c r="E268" s="2">
        <f>C268*D268</f>
        <v/>
      </c>
      <c r="F268" s="2">
        <f>C268*INDEX(Products!$D$2:$D$201,MATCH(B268,Products!$A$2:$A$201,0))</f>
        <v/>
      </c>
      <c r="G268" s="2">
        <f>E268-F268</f>
        <v/>
      </c>
    </row>
    <row r="269" ht="15" customHeight="1" s="1">
      <c r="A269" s="2" t="n">
        <v>50267</v>
      </c>
      <c r="B269" s="2" t="inlineStr">
        <is>
          <t>SKU-0122</t>
        </is>
      </c>
      <c r="C269" s="2" t="n">
        <v>4</v>
      </c>
      <c r="D269" s="2">
        <f>VLOOKUP(B269,Products!$A$2:$D$201,3,FALSE())</f>
        <v/>
      </c>
      <c r="E269" s="2">
        <f>C269*D269</f>
        <v/>
      </c>
      <c r="F269" s="2">
        <f>C269*INDEX(Products!$D$2:$D$201,MATCH(B269,Products!$A$2:$A$201,0))</f>
        <v/>
      </c>
      <c r="G269" s="2">
        <f>E269-F269</f>
        <v/>
      </c>
    </row>
    <row r="270" ht="15" customHeight="1" s="1">
      <c r="A270" s="2" t="n">
        <v>50268</v>
      </c>
      <c r="B270" s="2" t="inlineStr">
        <is>
          <t>SKU-0000</t>
        </is>
      </c>
      <c r="C270" s="2" t="n">
        <v>7</v>
      </c>
      <c r="D270" s="2">
        <f>VLOOKUP(B270,Products!$A$2:$D$201,3,FALSE())</f>
        <v/>
      </c>
      <c r="E270" s="2">
        <f>C270*D270</f>
        <v/>
      </c>
      <c r="F270" s="2">
        <f>C270*INDEX(Products!$D$2:$D$201,MATCH(B270,Products!$A$2:$A$201,0))</f>
        <v/>
      </c>
      <c r="G270" s="2">
        <f>E270-F270</f>
        <v/>
      </c>
    </row>
    <row r="271" ht="15" customHeight="1" s="1">
      <c r="A271" s="2" t="n">
        <v>50269</v>
      </c>
      <c r="B271" s="2" t="inlineStr">
        <is>
          <t>SKU-0172</t>
        </is>
      </c>
      <c r="C271" s="2" t="n">
        <v>6</v>
      </c>
      <c r="D271" s="2">
        <f>VLOOKUP(B271,Products!$A$2:$D$201,3,FALSE())</f>
        <v/>
      </c>
      <c r="E271" s="2">
        <f>C271*D271</f>
        <v/>
      </c>
      <c r="F271" s="2">
        <f>C271*INDEX(Products!$D$2:$D$201,MATCH(B271,Products!$A$2:$A$201,0))</f>
        <v/>
      </c>
      <c r="G271" s="2">
        <f>E271-F271</f>
        <v/>
      </c>
    </row>
    <row r="272" ht="15" customHeight="1" s="1">
      <c r="A272" s="2" t="n">
        <v>50270</v>
      </c>
      <c r="B272" s="2" t="inlineStr">
        <is>
          <t>SKU-0028</t>
        </is>
      </c>
      <c r="C272" s="2" t="n">
        <v>3</v>
      </c>
      <c r="D272" s="2">
        <f>VLOOKUP(B272,Products!$A$2:$D$201,3,FALSE())</f>
        <v/>
      </c>
      <c r="E272" s="2">
        <f>C272*D272</f>
        <v/>
      </c>
      <c r="F272" s="2">
        <f>C272*INDEX(Products!$D$2:$D$201,MATCH(B272,Products!$A$2:$A$201,0))</f>
        <v/>
      </c>
      <c r="G272" s="2">
        <f>E272-F272</f>
        <v/>
      </c>
    </row>
    <row r="273" ht="15" customHeight="1" s="1">
      <c r="A273" s="2" t="n">
        <v>50271</v>
      </c>
      <c r="B273" s="2" t="inlineStr">
        <is>
          <t>SKU-0085</t>
        </is>
      </c>
      <c r="C273" s="2" t="n">
        <v>5</v>
      </c>
      <c r="D273" s="2">
        <f>VLOOKUP(B273,Products!$A$2:$D$201,3,FALSE())</f>
        <v/>
      </c>
      <c r="E273" s="2">
        <f>C273*D273</f>
        <v/>
      </c>
      <c r="F273" s="2">
        <f>C273*INDEX(Products!$D$2:$D$201,MATCH(B273,Products!$A$2:$A$201,0))</f>
        <v/>
      </c>
      <c r="G273" s="2">
        <f>E273-F273</f>
        <v/>
      </c>
    </row>
    <row r="274" ht="15" customHeight="1" s="1">
      <c r="A274" s="2" t="n">
        <v>50272</v>
      </c>
      <c r="B274" s="2" t="inlineStr">
        <is>
          <t>SKU-0094</t>
        </is>
      </c>
      <c r="C274" s="2" t="n">
        <v>20</v>
      </c>
      <c r="D274" s="2">
        <f>VLOOKUP(B274,Products!$A$2:$D$201,3,FALSE())</f>
        <v/>
      </c>
      <c r="E274" s="2">
        <f>C274*D274</f>
        <v/>
      </c>
      <c r="F274" s="2">
        <f>C274*INDEX(Products!$D$2:$D$201,MATCH(B274,Products!$A$2:$A$201,0))</f>
        <v/>
      </c>
      <c r="G274" s="2">
        <f>E274-F274</f>
        <v/>
      </c>
    </row>
    <row r="275" ht="15" customHeight="1" s="1">
      <c r="A275" s="2" t="n">
        <v>50273</v>
      </c>
      <c r="B275" s="2" t="inlineStr">
        <is>
          <t>SKU-0194</t>
        </is>
      </c>
      <c r="C275" s="2" t="n">
        <v>4</v>
      </c>
      <c r="D275" s="2">
        <f>VLOOKUP(B275,Products!$A$2:$D$201,3,FALSE())</f>
        <v/>
      </c>
      <c r="E275" s="2">
        <f>C275*D275</f>
        <v/>
      </c>
      <c r="F275" s="2">
        <f>C275*INDEX(Products!$D$2:$D$201,MATCH(B275,Products!$A$2:$A$201,0))</f>
        <v/>
      </c>
      <c r="G275" s="2">
        <f>E275-F275</f>
        <v/>
      </c>
    </row>
    <row r="276" ht="15" customHeight="1" s="1">
      <c r="A276" s="2" t="n">
        <v>50274</v>
      </c>
      <c r="B276" s="2" t="inlineStr">
        <is>
          <t>SKU-0147</t>
        </is>
      </c>
      <c r="C276" s="2" t="n">
        <v>15</v>
      </c>
      <c r="D276" s="2">
        <f>VLOOKUP(B276,Products!$A$2:$D$201,3,FALSE())</f>
        <v/>
      </c>
      <c r="E276" s="2">
        <f>C276*D276</f>
        <v/>
      </c>
      <c r="F276" s="2">
        <f>C276*INDEX(Products!$D$2:$D$201,MATCH(B276,Products!$A$2:$A$201,0))</f>
        <v/>
      </c>
      <c r="G276" s="2">
        <f>E276-F276</f>
        <v/>
      </c>
    </row>
    <row r="277" ht="15" customHeight="1" s="1">
      <c r="A277" s="2" t="n">
        <v>50275</v>
      </c>
      <c r="B277" s="2" t="inlineStr">
        <is>
          <t>SKU-0188</t>
        </is>
      </c>
      <c r="C277" s="2" t="n">
        <v>11</v>
      </c>
      <c r="D277" s="2">
        <f>VLOOKUP(B277,Products!$A$2:$D$201,3,FALSE())</f>
        <v/>
      </c>
      <c r="E277" s="2">
        <f>C277*D277</f>
        <v/>
      </c>
      <c r="F277" s="2">
        <f>C277*INDEX(Products!$D$2:$D$201,MATCH(B277,Products!$A$2:$A$201,0))</f>
        <v/>
      </c>
      <c r="G277" s="2">
        <f>E277-F277</f>
        <v/>
      </c>
    </row>
    <row r="278" ht="15" customHeight="1" s="1">
      <c r="A278" s="2" t="n">
        <v>50276</v>
      </c>
      <c r="B278" s="2" t="inlineStr">
        <is>
          <t>SKU-0197</t>
        </is>
      </c>
      <c r="C278" s="2" t="n">
        <v>6</v>
      </c>
      <c r="D278" s="2">
        <f>VLOOKUP(B278,Products!$A$2:$D$201,3,FALSE())</f>
        <v/>
      </c>
      <c r="E278" s="2">
        <f>C278*D278</f>
        <v/>
      </c>
      <c r="F278" s="2">
        <f>C278*INDEX(Products!$D$2:$D$201,MATCH(B278,Products!$A$2:$A$201,0))</f>
        <v/>
      </c>
      <c r="G278" s="2">
        <f>E278-F278</f>
        <v/>
      </c>
    </row>
    <row r="279" ht="15" customHeight="1" s="1">
      <c r="A279" s="2" t="n">
        <v>50277</v>
      </c>
      <c r="B279" s="2" t="inlineStr">
        <is>
          <t>SKU-0182</t>
        </is>
      </c>
      <c r="C279" s="2" t="n">
        <v>18</v>
      </c>
      <c r="D279" s="2">
        <f>VLOOKUP(B279,Products!$A$2:$D$201,3,FALSE())</f>
        <v/>
      </c>
      <c r="E279" s="2">
        <f>C279*D279</f>
        <v/>
      </c>
      <c r="F279" s="2">
        <f>C279*INDEX(Products!$D$2:$D$201,MATCH(B279,Products!$A$2:$A$201,0))</f>
        <v/>
      </c>
      <c r="G279" s="2">
        <f>E279-F279</f>
        <v/>
      </c>
    </row>
    <row r="280" ht="15" customHeight="1" s="1">
      <c r="A280" s="2" t="n">
        <v>50278</v>
      </c>
      <c r="B280" s="2" t="inlineStr">
        <is>
          <t>SKU-0148</t>
        </is>
      </c>
      <c r="C280" s="2" t="n">
        <v>4</v>
      </c>
      <c r="D280" s="2">
        <f>VLOOKUP(B280,Products!$A$2:$D$201,3,FALSE())</f>
        <v/>
      </c>
      <c r="E280" s="2">
        <f>C280*D280</f>
        <v/>
      </c>
      <c r="F280" s="2">
        <f>C280*INDEX(Products!$D$2:$D$201,MATCH(B280,Products!$A$2:$A$201,0))</f>
        <v/>
      </c>
      <c r="G280" s="2">
        <f>E280-F280</f>
        <v/>
      </c>
    </row>
    <row r="281" ht="15" customHeight="1" s="1">
      <c r="A281" s="2" t="n">
        <v>50279</v>
      </c>
      <c r="B281" s="2" t="inlineStr">
        <is>
          <t>SKU-0093</t>
        </is>
      </c>
      <c r="C281" s="2" t="n">
        <v>4</v>
      </c>
      <c r="D281" s="2">
        <f>VLOOKUP(B281,Products!$A$2:$D$201,3,FALSE())</f>
        <v/>
      </c>
      <c r="E281" s="2">
        <f>C281*D281</f>
        <v/>
      </c>
      <c r="F281" s="2">
        <f>C281*INDEX(Products!$D$2:$D$201,MATCH(B281,Products!$A$2:$A$201,0))</f>
        <v/>
      </c>
      <c r="G281" s="2">
        <f>E281-F281</f>
        <v/>
      </c>
    </row>
    <row r="282" ht="15" customHeight="1" s="1">
      <c r="A282" s="2" t="n">
        <v>50280</v>
      </c>
      <c r="B282" s="2" t="inlineStr">
        <is>
          <t>SKU-0016</t>
        </is>
      </c>
      <c r="C282" s="2" t="n">
        <v>7</v>
      </c>
      <c r="D282" s="2">
        <f>VLOOKUP(B282,Products!$A$2:$D$201,3,FALSE())</f>
        <v/>
      </c>
      <c r="E282" s="2">
        <f>C282*D282</f>
        <v/>
      </c>
      <c r="F282" s="2">
        <f>C282*INDEX(Products!$D$2:$D$201,MATCH(B282,Products!$A$2:$A$201,0))</f>
        <v/>
      </c>
      <c r="G282" s="2">
        <f>E282-F282</f>
        <v/>
      </c>
    </row>
    <row r="283" ht="15" customHeight="1" s="1">
      <c r="A283" s="2" t="n">
        <v>50281</v>
      </c>
      <c r="B283" s="2" t="inlineStr">
        <is>
          <t>SKU-0052</t>
        </is>
      </c>
      <c r="C283" s="2" t="n">
        <v>11</v>
      </c>
      <c r="D283" s="2">
        <f>VLOOKUP(B283,Products!$A$2:$D$201,3,FALSE())</f>
        <v/>
      </c>
      <c r="E283" s="2">
        <f>C283*D283</f>
        <v/>
      </c>
      <c r="F283" s="2">
        <f>C283*INDEX(Products!$D$2:$D$201,MATCH(B283,Products!$A$2:$A$201,0))</f>
        <v/>
      </c>
      <c r="G283" s="2">
        <f>E283-F283</f>
        <v/>
      </c>
    </row>
    <row r="284" ht="15" customHeight="1" s="1">
      <c r="A284" s="2" t="n">
        <v>50282</v>
      </c>
      <c r="B284" s="2" t="inlineStr">
        <is>
          <t>SKU-0095</t>
        </is>
      </c>
      <c r="C284" s="2" t="n">
        <v>6</v>
      </c>
      <c r="D284" s="2">
        <f>VLOOKUP(B284,Products!$A$2:$D$201,3,FALSE())</f>
        <v/>
      </c>
      <c r="E284" s="2">
        <f>C284*D284</f>
        <v/>
      </c>
      <c r="F284" s="2">
        <f>C284*INDEX(Products!$D$2:$D$201,MATCH(B284,Products!$A$2:$A$201,0))</f>
        <v/>
      </c>
      <c r="G284" s="2">
        <f>E284-F284</f>
        <v/>
      </c>
    </row>
    <row r="285" ht="15" customHeight="1" s="1">
      <c r="A285" s="2" t="n">
        <v>50283</v>
      </c>
      <c r="B285" s="2" t="inlineStr">
        <is>
          <t>SKU-0117</t>
        </is>
      </c>
      <c r="C285" s="2" t="n">
        <v>3</v>
      </c>
      <c r="D285" s="2">
        <f>VLOOKUP(B285,Products!$A$2:$D$201,3,FALSE())</f>
        <v/>
      </c>
      <c r="E285" s="2">
        <f>C285*D285</f>
        <v/>
      </c>
      <c r="F285" s="2">
        <f>C285*INDEX(Products!$D$2:$D$201,MATCH(B285,Products!$A$2:$A$201,0))</f>
        <v/>
      </c>
      <c r="G285" s="2">
        <f>E285-F285</f>
        <v/>
      </c>
    </row>
    <row r="286" ht="15" customHeight="1" s="1">
      <c r="A286" s="2" t="n">
        <v>50284</v>
      </c>
      <c r="B286" s="2" t="inlineStr">
        <is>
          <t>SKU-0062</t>
        </is>
      </c>
      <c r="C286" s="2" t="n">
        <v>13</v>
      </c>
      <c r="D286" s="2">
        <f>VLOOKUP(B286,Products!$A$2:$D$201,3,FALSE())</f>
        <v/>
      </c>
      <c r="E286" s="2">
        <f>C286*D286</f>
        <v/>
      </c>
      <c r="F286" s="2">
        <f>C286*INDEX(Products!$D$2:$D$201,MATCH(B286,Products!$A$2:$A$201,0))</f>
        <v/>
      </c>
      <c r="G286" s="2">
        <f>E286-F286</f>
        <v/>
      </c>
    </row>
    <row r="287" ht="15" customHeight="1" s="1">
      <c r="A287" s="2" t="n">
        <v>50285</v>
      </c>
      <c r="B287" s="2" t="inlineStr">
        <is>
          <t>SKU-0139</t>
        </is>
      </c>
      <c r="C287" s="2" t="n">
        <v>15</v>
      </c>
      <c r="D287" s="2">
        <f>VLOOKUP(B287,Products!$A$2:$D$201,3,FALSE())</f>
        <v/>
      </c>
      <c r="E287" s="2">
        <f>C287*D287</f>
        <v/>
      </c>
      <c r="F287" s="2">
        <f>C287*INDEX(Products!$D$2:$D$201,MATCH(B287,Products!$A$2:$A$201,0))</f>
        <v/>
      </c>
      <c r="G287" s="2">
        <f>E287-F287</f>
        <v/>
      </c>
    </row>
    <row r="288" ht="15" customHeight="1" s="1">
      <c r="A288" s="2" t="n">
        <v>50286</v>
      </c>
      <c r="B288" s="2" t="inlineStr">
        <is>
          <t>SKU-0096</t>
        </is>
      </c>
      <c r="C288" s="2" t="n">
        <v>1</v>
      </c>
      <c r="D288" s="2">
        <f>VLOOKUP(B288,Products!$A$2:$D$201,3,FALSE())</f>
        <v/>
      </c>
      <c r="E288" s="2">
        <f>C288*D288</f>
        <v/>
      </c>
      <c r="F288" s="2">
        <f>C288*INDEX(Products!$D$2:$D$201,MATCH(B288,Products!$A$2:$A$201,0))</f>
        <v/>
      </c>
      <c r="G288" s="2">
        <f>E288-F288</f>
        <v/>
      </c>
    </row>
    <row r="289" ht="15" customHeight="1" s="1">
      <c r="A289" s="2" t="n">
        <v>50287</v>
      </c>
      <c r="B289" s="2" t="inlineStr">
        <is>
          <t>SKU-0030</t>
        </is>
      </c>
      <c r="C289" s="2" t="n">
        <v>20</v>
      </c>
      <c r="D289" s="2">
        <f>VLOOKUP(B289,Products!$A$2:$D$201,3,FALSE())</f>
        <v/>
      </c>
      <c r="E289" s="2">
        <f>C289*D289</f>
        <v/>
      </c>
      <c r="F289" s="2">
        <f>C289*INDEX(Products!$D$2:$D$201,MATCH(B289,Products!$A$2:$A$201,0))</f>
        <v/>
      </c>
      <c r="G289" s="2">
        <f>E289-F289</f>
        <v/>
      </c>
    </row>
    <row r="290" ht="15" customHeight="1" s="1">
      <c r="A290" s="2" t="n">
        <v>50288</v>
      </c>
      <c r="B290" s="2" t="inlineStr">
        <is>
          <t>SKU-0095</t>
        </is>
      </c>
      <c r="C290" s="2" t="n">
        <v>5</v>
      </c>
      <c r="D290" s="2">
        <f>VLOOKUP(B290,Products!$A$2:$D$201,3,FALSE())</f>
        <v/>
      </c>
      <c r="E290" s="2">
        <f>C290*D290</f>
        <v/>
      </c>
      <c r="F290" s="2">
        <f>C290*INDEX(Products!$D$2:$D$201,MATCH(B290,Products!$A$2:$A$201,0))</f>
        <v/>
      </c>
      <c r="G290" s="2">
        <f>E290-F290</f>
        <v/>
      </c>
    </row>
    <row r="291" ht="15" customHeight="1" s="1">
      <c r="A291" s="2" t="n">
        <v>50289</v>
      </c>
      <c r="B291" s="2" t="inlineStr">
        <is>
          <t>SKU-0175</t>
        </is>
      </c>
      <c r="C291" s="2" t="n">
        <v>1</v>
      </c>
      <c r="D291" s="2">
        <f>VLOOKUP(B291,Products!$A$2:$D$201,3,FALSE())</f>
        <v/>
      </c>
      <c r="E291" s="2">
        <f>C291*D291</f>
        <v/>
      </c>
      <c r="F291" s="2">
        <f>C291*INDEX(Products!$D$2:$D$201,MATCH(B291,Products!$A$2:$A$201,0))</f>
        <v/>
      </c>
      <c r="G291" s="2">
        <f>E291-F291</f>
        <v/>
      </c>
    </row>
    <row r="292" ht="15" customHeight="1" s="1">
      <c r="A292" s="2" t="n">
        <v>50290</v>
      </c>
      <c r="B292" s="2" t="inlineStr">
        <is>
          <t>SKU-0126</t>
        </is>
      </c>
      <c r="C292" s="2" t="n">
        <v>13</v>
      </c>
      <c r="D292" s="2">
        <f>VLOOKUP(B292,Products!$A$2:$D$201,3,FALSE())</f>
        <v/>
      </c>
      <c r="E292" s="2">
        <f>C292*D292</f>
        <v/>
      </c>
      <c r="F292" s="2">
        <f>C292*INDEX(Products!$D$2:$D$201,MATCH(B292,Products!$A$2:$A$201,0))</f>
        <v/>
      </c>
      <c r="G292" s="2">
        <f>E292-F292</f>
        <v/>
      </c>
    </row>
    <row r="293" ht="15" customHeight="1" s="1">
      <c r="A293" s="2" t="n">
        <v>50291</v>
      </c>
      <c r="B293" s="2" t="inlineStr">
        <is>
          <t>SKU-0087</t>
        </is>
      </c>
      <c r="C293" s="2" t="n">
        <v>3</v>
      </c>
      <c r="D293" s="2">
        <f>VLOOKUP(B293,Products!$A$2:$D$201,3,FALSE())</f>
        <v/>
      </c>
      <c r="E293" s="2">
        <f>C293*D293</f>
        <v/>
      </c>
      <c r="F293" s="2">
        <f>C293*INDEX(Products!$D$2:$D$201,MATCH(B293,Products!$A$2:$A$201,0))</f>
        <v/>
      </c>
      <c r="G293" s="2">
        <f>E293-F293</f>
        <v/>
      </c>
    </row>
    <row r="294" ht="15" customHeight="1" s="1">
      <c r="A294" s="2" t="n">
        <v>50292</v>
      </c>
      <c r="B294" s="2" t="inlineStr">
        <is>
          <t>SKU-0125</t>
        </is>
      </c>
      <c r="C294" s="2" t="n">
        <v>10</v>
      </c>
      <c r="D294" s="2">
        <f>VLOOKUP(B294,Products!$A$2:$D$201,3,FALSE())</f>
        <v/>
      </c>
      <c r="E294" s="2">
        <f>C294*D294</f>
        <v/>
      </c>
      <c r="F294" s="2">
        <f>C294*INDEX(Products!$D$2:$D$201,MATCH(B294,Products!$A$2:$A$201,0))</f>
        <v/>
      </c>
      <c r="G294" s="2">
        <f>E294-F294</f>
        <v/>
      </c>
    </row>
    <row r="295" ht="15" customHeight="1" s="1">
      <c r="A295" s="2" t="n">
        <v>50293</v>
      </c>
      <c r="B295" s="2" t="inlineStr">
        <is>
          <t>SKU-0004</t>
        </is>
      </c>
      <c r="C295" s="2" t="n">
        <v>4</v>
      </c>
      <c r="D295" s="2">
        <f>VLOOKUP(B295,Products!$A$2:$D$201,3,FALSE())</f>
        <v/>
      </c>
      <c r="E295" s="2">
        <f>C295*D295</f>
        <v/>
      </c>
      <c r="F295" s="2">
        <f>C295*INDEX(Products!$D$2:$D$201,MATCH(B295,Products!$A$2:$A$201,0))</f>
        <v/>
      </c>
      <c r="G295" s="2">
        <f>E295-F295</f>
        <v/>
      </c>
    </row>
    <row r="296" ht="15" customHeight="1" s="1">
      <c r="A296" s="2" t="n">
        <v>50294</v>
      </c>
      <c r="B296" s="2" t="inlineStr">
        <is>
          <t>SKU-0122</t>
        </is>
      </c>
      <c r="C296" s="2" t="n">
        <v>12</v>
      </c>
      <c r="D296" s="2">
        <f>VLOOKUP(B296,Products!$A$2:$D$201,3,FALSE())</f>
        <v/>
      </c>
      <c r="E296" s="2">
        <f>C296*D296</f>
        <v/>
      </c>
      <c r="F296" s="2">
        <f>C296*INDEX(Products!$D$2:$D$201,MATCH(B296,Products!$A$2:$A$201,0))</f>
        <v/>
      </c>
      <c r="G296" s="2">
        <f>E296-F296</f>
        <v/>
      </c>
    </row>
    <row r="297" ht="15" customHeight="1" s="1">
      <c r="A297" s="2" t="n">
        <v>50295</v>
      </c>
      <c r="B297" s="2" t="inlineStr">
        <is>
          <t>SKU-0192</t>
        </is>
      </c>
      <c r="C297" s="2" t="n">
        <v>7</v>
      </c>
      <c r="D297" s="2">
        <f>VLOOKUP(B297,Products!$A$2:$D$201,3,FALSE())</f>
        <v/>
      </c>
      <c r="E297" s="2">
        <f>C297*D297</f>
        <v/>
      </c>
      <c r="F297" s="2">
        <f>C297*INDEX(Products!$D$2:$D$201,MATCH(B297,Products!$A$2:$A$201,0))</f>
        <v/>
      </c>
      <c r="G297" s="2">
        <f>E297-F297</f>
        <v/>
      </c>
    </row>
    <row r="298" ht="15" customHeight="1" s="1">
      <c r="A298" s="2" t="n">
        <v>50296</v>
      </c>
      <c r="B298" s="2" t="inlineStr">
        <is>
          <t>SKU-0087</t>
        </is>
      </c>
      <c r="C298" s="2" t="n">
        <v>13</v>
      </c>
      <c r="D298" s="2">
        <f>VLOOKUP(B298,Products!$A$2:$D$201,3,FALSE())</f>
        <v/>
      </c>
      <c r="E298" s="2">
        <f>C298*D298</f>
        <v/>
      </c>
      <c r="F298" s="2">
        <f>C298*INDEX(Products!$D$2:$D$201,MATCH(B298,Products!$A$2:$A$201,0))</f>
        <v/>
      </c>
      <c r="G298" s="2">
        <f>E298-F298</f>
        <v/>
      </c>
    </row>
    <row r="299" ht="15" customHeight="1" s="1">
      <c r="A299" s="2" t="n">
        <v>50297</v>
      </c>
      <c r="B299" s="2" t="inlineStr">
        <is>
          <t>SKU-0036</t>
        </is>
      </c>
      <c r="C299" s="2" t="n">
        <v>10</v>
      </c>
      <c r="D299" s="2">
        <f>VLOOKUP(B299,Products!$A$2:$D$201,3,FALSE())</f>
        <v/>
      </c>
      <c r="E299" s="2">
        <f>C299*D299</f>
        <v/>
      </c>
      <c r="F299" s="2">
        <f>C299*INDEX(Products!$D$2:$D$201,MATCH(B299,Products!$A$2:$A$201,0))</f>
        <v/>
      </c>
      <c r="G299" s="2">
        <f>E299-F299</f>
        <v/>
      </c>
    </row>
    <row r="300" ht="15" customHeight="1" s="1">
      <c r="A300" s="2" t="n">
        <v>50298</v>
      </c>
      <c r="B300" s="2" t="inlineStr">
        <is>
          <t>SKU-0127</t>
        </is>
      </c>
      <c r="C300" s="2" t="n">
        <v>3</v>
      </c>
      <c r="D300" s="2">
        <f>VLOOKUP(B300,Products!$A$2:$D$201,3,FALSE())</f>
        <v/>
      </c>
      <c r="E300" s="2">
        <f>C300*D300</f>
        <v/>
      </c>
      <c r="F300" s="2">
        <f>C300*INDEX(Products!$D$2:$D$201,MATCH(B300,Products!$A$2:$A$201,0))</f>
        <v/>
      </c>
      <c r="G300" s="2">
        <f>E300-F300</f>
        <v/>
      </c>
    </row>
    <row r="301" ht="15" customHeight="1" s="1">
      <c r="A301" s="2" t="n">
        <v>50299</v>
      </c>
      <c r="B301" s="2" t="inlineStr">
        <is>
          <t>SKU-0147</t>
        </is>
      </c>
      <c r="C301" s="2" t="n">
        <v>4</v>
      </c>
      <c r="D301" s="2">
        <f>VLOOKUP(B301,Products!$A$2:$D$201,3,FALSE())</f>
        <v/>
      </c>
      <c r="E301" s="2">
        <f>C301*D301</f>
        <v/>
      </c>
      <c r="F301" s="2">
        <f>C301*INDEX(Products!$D$2:$D$201,MATCH(B301,Products!$A$2:$A$201,0))</f>
        <v/>
      </c>
      <c r="G301" s="2">
        <f>E301-F301</f>
        <v/>
      </c>
    </row>
    <row r="302" ht="15" customHeight="1" s="1">
      <c r="A302" s="2" t="n">
        <v>50300</v>
      </c>
      <c r="B302" s="2" t="inlineStr">
        <is>
          <t>SKU-0075</t>
        </is>
      </c>
      <c r="C302" s="2" t="n">
        <v>14</v>
      </c>
      <c r="D302" s="2">
        <f>VLOOKUP(B302,Products!$A$2:$D$201,3,FALSE())</f>
        <v/>
      </c>
      <c r="E302" s="2">
        <f>C302*D302</f>
        <v/>
      </c>
      <c r="F302" s="2">
        <f>C302*INDEX(Products!$D$2:$D$201,MATCH(B302,Products!$A$2:$A$201,0))</f>
        <v/>
      </c>
      <c r="G302" s="2">
        <f>E302-F302</f>
        <v/>
      </c>
    </row>
    <row r="303" ht="15" customHeight="1" s="1">
      <c r="A303" s="2" t="n">
        <v>50301</v>
      </c>
      <c r="B303" s="2" t="inlineStr">
        <is>
          <t>SKU-0086</t>
        </is>
      </c>
      <c r="C303" s="2" t="n">
        <v>3</v>
      </c>
      <c r="D303" s="2">
        <f>VLOOKUP(B303,Products!$A$2:$D$201,3,FALSE())</f>
        <v/>
      </c>
      <c r="E303" s="2">
        <f>C303*D303</f>
        <v/>
      </c>
      <c r="F303" s="2">
        <f>C303*INDEX(Products!$D$2:$D$201,MATCH(B303,Products!$A$2:$A$201,0))</f>
        <v/>
      </c>
      <c r="G303" s="2">
        <f>E303-F303</f>
        <v/>
      </c>
    </row>
    <row r="304" ht="15" customHeight="1" s="1">
      <c r="A304" s="2" t="n">
        <v>50302</v>
      </c>
      <c r="B304" s="2" t="inlineStr">
        <is>
          <t>SKU-0132</t>
        </is>
      </c>
      <c r="C304" s="2" t="n">
        <v>14</v>
      </c>
      <c r="D304" s="2">
        <f>VLOOKUP(B304,Products!$A$2:$D$201,3,FALSE())</f>
        <v/>
      </c>
      <c r="E304" s="2">
        <f>C304*D304</f>
        <v/>
      </c>
      <c r="F304" s="2">
        <f>C304*INDEX(Products!$D$2:$D$201,MATCH(B304,Products!$A$2:$A$201,0))</f>
        <v/>
      </c>
      <c r="G304" s="2">
        <f>E304-F304</f>
        <v/>
      </c>
    </row>
    <row r="305" ht="15" customHeight="1" s="1">
      <c r="A305" s="2" t="n">
        <v>50303</v>
      </c>
      <c r="B305" s="2" t="inlineStr">
        <is>
          <t>SKU-0012</t>
        </is>
      </c>
      <c r="C305" s="2" t="n">
        <v>8</v>
      </c>
      <c r="D305" s="2">
        <f>VLOOKUP(B305,Products!$A$2:$D$201,3,FALSE())</f>
        <v/>
      </c>
      <c r="E305" s="2">
        <f>C305*D305</f>
        <v/>
      </c>
      <c r="F305" s="2">
        <f>C305*INDEX(Products!$D$2:$D$201,MATCH(B305,Products!$A$2:$A$201,0))</f>
        <v/>
      </c>
      <c r="G305" s="2">
        <f>E305-F305</f>
        <v/>
      </c>
    </row>
    <row r="306" ht="15" customHeight="1" s="1">
      <c r="A306" s="2" t="n">
        <v>50304</v>
      </c>
      <c r="B306" s="2" t="inlineStr">
        <is>
          <t>SKU-0107</t>
        </is>
      </c>
      <c r="C306" s="2" t="n">
        <v>8</v>
      </c>
      <c r="D306" s="2">
        <f>VLOOKUP(B306,Products!$A$2:$D$201,3,FALSE())</f>
        <v/>
      </c>
      <c r="E306" s="2">
        <f>C306*D306</f>
        <v/>
      </c>
      <c r="F306" s="2">
        <f>C306*INDEX(Products!$D$2:$D$201,MATCH(B306,Products!$A$2:$A$201,0))</f>
        <v/>
      </c>
      <c r="G306" s="2">
        <f>E306-F306</f>
        <v/>
      </c>
    </row>
    <row r="307" ht="15" customHeight="1" s="1">
      <c r="A307" s="2" t="n">
        <v>50305</v>
      </c>
      <c r="B307" s="2" t="inlineStr">
        <is>
          <t>SKU-0069</t>
        </is>
      </c>
      <c r="C307" s="2" t="n">
        <v>3</v>
      </c>
      <c r="D307" s="2">
        <f>VLOOKUP(B307,Products!$A$2:$D$201,3,FALSE())</f>
        <v/>
      </c>
      <c r="E307" s="2">
        <f>C307*D307</f>
        <v/>
      </c>
      <c r="F307" s="2">
        <f>C307*INDEX(Products!$D$2:$D$201,MATCH(B307,Products!$A$2:$A$201,0))</f>
        <v/>
      </c>
      <c r="G307" s="2">
        <f>E307-F307</f>
        <v/>
      </c>
    </row>
    <row r="308" ht="15" customHeight="1" s="1">
      <c r="A308" s="2" t="n">
        <v>50306</v>
      </c>
      <c r="B308" s="2" t="inlineStr">
        <is>
          <t>SKU-0037</t>
        </is>
      </c>
      <c r="C308" s="2" t="n">
        <v>9</v>
      </c>
      <c r="D308" s="2">
        <f>VLOOKUP(B308,Products!$A$2:$D$201,3,FALSE())</f>
        <v/>
      </c>
      <c r="E308" s="2">
        <f>C308*D308</f>
        <v/>
      </c>
      <c r="F308" s="2">
        <f>C308*INDEX(Products!$D$2:$D$201,MATCH(B308,Products!$A$2:$A$201,0))</f>
        <v/>
      </c>
      <c r="G308" s="2">
        <f>E308-F308</f>
        <v/>
      </c>
    </row>
    <row r="309" ht="15" customHeight="1" s="1">
      <c r="A309" s="2" t="n">
        <v>50307</v>
      </c>
      <c r="B309" s="2" t="inlineStr">
        <is>
          <t>SKU-0024</t>
        </is>
      </c>
      <c r="C309" s="2" t="n">
        <v>18</v>
      </c>
      <c r="D309" s="2">
        <f>VLOOKUP(B309,Products!$A$2:$D$201,3,FALSE())</f>
        <v/>
      </c>
      <c r="E309" s="2">
        <f>C309*D309</f>
        <v/>
      </c>
      <c r="F309" s="2">
        <f>C309*INDEX(Products!$D$2:$D$201,MATCH(B309,Products!$A$2:$A$201,0))</f>
        <v/>
      </c>
      <c r="G309" s="2">
        <f>E309-F309</f>
        <v/>
      </c>
    </row>
    <row r="310" ht="15" customHeight="1" s="1">
      <c r="A310" s="2" t="n">
        <v>50308</v>
      </c>
      <c r="B310" s="2" t="inlineStr">
        <is>
          <t>SKU-0122</t>
        </is>
      </c>
      <c r="C310" s="2" t="n">
        <v>14</v>
      </c>
      <c r="D310" s="2">
        <f>VLOOKUP(B310,Products!$A$2:$D$201,3,FALSE())</f>
        <v/>
      </c>
      <c r="E310" s="2">
        <f>C310*D310</f>
        <v/>
      </c>
      <c r="F310" s="2">
        <f>C310*INDEX(Products!$D$2:$D$201,MATCH(B310,Products!$A$2:$A$201,0))</f>
        <v/>
      </c>
      <c r="G310" s="2">
        <f>E310-F310</f>
        <v/>
      </c>
    </row>
    <row r="311" ht="15" customHeight="1" s="1">
      <c r="A311" s="2" t="n">
        <v>50309</v>
      </c>
      <c r="B311" s="2" t="inlineStr">
        <is>
          <t>SKU-0046</t>
        </is>
      </c>
      <c r="C311" s="2" t="n">
        <v>18</v>
      </c>
      <c r="D311" s="2">
        <f>VLOOKUP(B311,Products!$A$2:$D$201,3,FALSE())</f>
        <v/>
      </c>
      <c r="E311" s="2">
        <f>C311*D311</f>
        <v/>
      </c>
      <c r="F311" s="2">
        <f>C311*INDEX(Products!$D$2:$D$201,MATCH(B311,Products!$A$2:$A$201,0))</f>
        <v/>
      </c>
      <c r="G311" s="2">
        <f>E311-F311</f>
        <v/>
      </c>
    </row>
    <row r="312" ht="15" customHeight="1" s="1">
      <c r="A312" s="2" t="n">
        <v>50310</v>
      </c>
      <c r="B312" s="2" t="inlineStr">
        <is>
          <t>SKU-0098</t>
        </is>
      </c>
      <c r="C312" s="2" t="n">
        <v>8</v>
      </c>
      <c r="D312" s="2">
        <f>VLOOKUP(B312,Products!$A$2:$D$201,3,FALSE())</f>
        <v/>
      </c>
      <c r="E312" s="2">
        <f>C312*D312</f>
        <v/>
      </c>
      <c r="F312" s="2">
        <f>C312*INDEX(Products!$D$2:$D$201,MATCH(B312,Products!$A$2:$A$201,0))</f>
        <v/>
      </c>
      <c r="G312" s="2">
        <f>E312-F312</f>
        <v/>
      </c>
    </row>
    <row r="313" ht="15" customHeight="1" s="1">
      <c r="A313" s="2" t="n">
        <v>50311</v>
      </c>
      <c r="B313" s="2" t="inlineStr">
        <is>
          <t>SKU-0023</t>
        </is>
      </c>
      <c r="C313" s="2" t="n">
        <v>15</v>
      </c>
      <c r="D313" s="2">
        <f>VLOOKUP(B313,Products!$A$2:$D$201,3,FALSE())</f>
        <v/>
      </c>
      <c r="E313" s="2">
        <f>C313*D313</f>
        <v/>
      </c>
      <c r="F313" s="2">
        <f>C313*INDEX(Products!$D$2:$D$201,MATCH(B313,Products!$A$2:$A$201,0))</f>
        <v/>
      </c>
      <c r="G313" s="2">
        <f>E313-F313</f>
        <v/>
      </c>
    </row>
    <row r="314" ht="15" customHeight="1" s="1">
      <c r="A314" s="2" t="n">
        <v>50312</v>
      </c>
      <c r="B314" s="2" t="inlineStr">
        <is>
          <t>SKU-0091</t>
        </is>
      </c>
      <c r="C314" s="2" t="n">
        <v>5</v>
      </c>
      <c r="D314" s="2">
        <f>VLOOKUP(B314,Products!$A$2:$D$201,3,FALSE())</f>
        <v/>
      </c>
      <c r="E314" s="2">
        <f>C314*D314</f>
        <v/>
      </c>
      <c r="F314" s="2">
        <f>C314*INDEX(Products!$D$2:$D$201,MATCH(B314,Products!$A$2:$A$201,0))</f>
        <v/>
      </c>
      <c r="G314" s="2">
        <f>E314-F314</f>
        <v/>
      </c>
    </row>
    <row r="315" ht="15" customHeight="1" s="1">
      <c r="A315" s="2" t="n">
        <v>50313</v>
      </c>
      <c r="B315" s="2" t="inlineStr">
        <is>
          <t>SKU-0021</t>
        </is>
      </c>
      <c r="C315" s="2" t="n">
        <v>1</v>
      </c>
      <c r="D315" s="2">
        <f>VLOOKUP(B315,Products!$A$2:$D$201,3,FALSE())</f>
        <v/>
      </c>
      <c r="E315" s="2">
        <f>C315*D315</f>
        <v/>
      </c>
      <c r="F315" s="2">
        <f>C315*INDEX(Products!$D$2:$D$201,MATCH(B315,Products!$A$2:$A$201,0))</f>
        <v/>
      </c>
      <c r="G315" s="2">
        <f>E315-F315</f>
        <v/>
      </c>
    </row>
    <row r="316" ht="15" customHeight="1" s="1">
      <c r="A316" s="2" t="n">
        <v>50314</v>
      </c>
      <c r="B316" s="2" t="inlineStr">
        <is>
          <t>SKU-0196</t>
        </is>
      </c>
      <c r="C316" s="2" t="n">
        <v>5</v>
      </c>
      <c r="D316" s="2">
        <f>VLOOKUP(B316,Products!$A$2:$D$201,3,FALSE())</f>
        <v/>
      </c>
      <c r="E316" s="2">
        <f>C316*D316</f>
        <v/>
      </c>
      <c r="F316" s="2">
        <f>C316*INDEX(Products!$D$2:$D$201,MATCH(B316,Products!$A$2:$A$201,0))</f>
        <v/>
      </c>
      <c r="G316" s="2">
        <f>E316-F316</f>
        <v/>
      </c>
    </row>
    <row r="317" ht="15" customHeight="1" s="1">
      <c r="A317" s="2" t="n">
        <v>50315</v>
      </c>
      <c r="B317" s="2" t="inlineStr">
        <is>
          <t>SKU-0092</t>
        </is>
      </c>
      <c r="C317" s="2" t="n">
        <v>1</v>
      </c>
      <c r="D317" s="2">
        <f>VLOOKUP(B317,Products!$A$2:$D$201,3,FALSE())</f>
        <v/>
      </c>
      <c r="E317" s="2">
        <f>C317*D317</f>
        <v/>
      </c>
      <c r="F317" s="2">
        <f>C317*INDEX(Products!$D$2:$D$201,MATCH(B317,Products!$A$2:$A$201,0))</f>
        <v/>
      </c>
      <c r="G317" s="2">
        <f>E317-F317</f>
        <v/>
      </c>
    </row>
    <row r="318" ht="15" customHeight="1" s="1">
      <c r="A318" s="2" t="n">
        <v>50316</v>
      </c>
      <c r="B318" s="2" t="inlineStr">
        <is>
          <t>SKU-0005</t>
        </is>
      </c>
      <c r="C318" s="2" t="n">
        <v>9</v>
      </c>
      <c r="D318" s="2">
        <f>VLOOKUP(B318,Products!$A$2:$D$201,3,FALSE())</f>
        <v/>
      </c>
      <c r="E318" s="2">
        <f>C318*D318</f>
        <v/>
      </c>
      <c r="F318" s="2">
        <f>C318*INDEX(Products!$D$2:$D$201,MATCH(B318,Products!$A$2:$A$201,0))</f>
        <v/>
      </c>
      <c r="G318" s="2">
        <f>E318-F318</f>
        <v/>
      </c>
    </row>
    <row r="319" ht="15" customHeight="1" s="1">
      <c r="A319" s="2" t="n">
        <v>50317</v>
      </c>
      <c r="B319" s="2" t="inlineStr">
        <is>
          <t>SKU-0143</t>
        </is>
      </c>
      <c r="C319" s="2" t="n">
        <v>15</v>
      </c>
      <c r="D319" s="2">
        <f>VLOOKUP(B319,Products!$A$2:$D$201,3,FALSE())</f>
        <v/>
      </c>
      <c r="E319" s="2">
        <f>C319*D319</f>
        <v/>
      </c>
      <c r="F319" s="2">
        <f>C319*INDEX(Products!$D$2:$D$201,MATCH(B319,Products!$A$2:$A$201,0))</f>
        <v/>
      </c>
      <c r="G319" s="2">
        <f>E319-F319</f>
        <v/>
      </c>
    </row>
    <row r="320" ht="15" customHeight="1" s="1">
      <c r="A320" s="2" t="n">
        <v>50318</v>
      </c>
      <c r="B320" s="2" t="inlineStr">
        <is>
          <t>SKU-0098</t>
        </is>
      </c>
      <c r="C320" s="2" t="n">
        <v>17</v>
      </c>
      <c r="D320" s="2">
        <f>VLOOKUP(B320,Products!$A$2:$D$201,3,FALSE())</f>
        <v/>
      </c>
      <c r="E320" s="2">
        <f>C320*D320</f>
        <v/>
      </c>
      <c r="F320" s="2">
        <f>C320*INDEX(Products!$D$2:$D$201,MATCH(B320,Products!$A$2:$A$201,0))</f>
        <v/>
      </c>
      <c r="G320" s="2">
        <f>E320-F320</f>
        <v/>
      </c>
    </row>
    <row r="321" ht="15" customHeight="1" s="1">
      <c r="A321" s="2" t="n">
        <v>50319</v>
      </c>
      <c r="B321" s="2" t="inlineStr">
        <is>
          <t>SKU-0020</t>
        </is>
      </c>
      <c r="C321" s="2" t="n">
        <v>2</v>
      </c>
      <c r="D321" s="2">
        <f>VLOOKUP(B321,Products!$A$2:$D$201,3,FALSE())</f>
        <v/>
      </c>
      <c r="E321" s="2">
        <f>C321*D321</f>
        <v/>
      </c>
      <c r="F321" s="2">
        <f>C321*INDEX(Products!$D$2:$D$201,MATCH(B321,Products!$A$2:$A$201,0))</f>
        <v/>
      </c>
      <c r="G321" s="2">
        <f>E321-F321</f>
        <v/>
      </c>
    </row>
    <row r="322" ht="15" customHeight="1" s="1">
      <c r="A322" s="2" t="n">
        <v>50320</v>
      </c>
      <c r="B322" s="2" t="inlineStr">
        <is>
          <t>SKU-0055</t>
        </is>
      </c>
      <c r="C322" s="2" t="n">
        <v>7</v>
      </c>
      <c r="D322" s="2">
        <f>VLOOKUP(B322,Products!$A$2:$D$201,3,FALSE())</f>
        <v/>
      </c>
      <c r="E322" s="2">
        <f>C322*D322</f>
        <v/>
      </c>
      <c r="F322" s="2">
        <f>C322*INDEX(Products!$D$2:$D$201,MATCH(B322,Products!$A$2:$A$201,0))</f>
        <v/>
      </c>
      <c r="G322" s="2">
        <f>E322-F322</f>
        <v/>
      </c>
    </row>
    <row r="323" ht="15" customHeight="1" s="1">
      <c r="A323" s="2" t="n">
        <v>50321</v>
      </c>
      <c r="B323" s="2" t="inlineStr">
        <is>
          <t>SKU-0113</t>
        </is>
      </c>
      <c r="C323" s="2" t="n">
        <v>1</v>
      </c>
      <c r="D323" s="2">
        <f>VLOOKUP(B323,Products!$A$2:$D$201,3,FALSE())</f>
        <v/>
      </c>
      <c r="E323" s="2">
        <f>C323*D323</f>
        <v/>
      </c>
      <c r="F323" s="2">
        <f>C323*INDEX(Products!$D$2:$D$201,MATCH(B323,Products!$A$2:$A$201,0))</f>
        <v/>
      </c>
      <c r="G323" s="2">
        <f>E323-F323</f>
        <v/>
      </c>
    </row>
    <row r="324" ht="15" customHeight="1" s="1">
      <c r="A324" s="2" t="n">
        <v>50322</v>
      </c>
      <c r="B324" s="2" t="inlineStr">
        <is>
          <t>SKU-0120</t>
        </is>
      </c>
      <c r="C324" s="2" t="n">
        <v>17</v>
      </c>
      <c r="D324" s="2">
        <f>VLOOKUP(B324,Products!$A$2:$D$201,3,FALSE())</f>
        <v/>
      </c>
      <c r="E324" s="2">
        <f>C324*D324</f>
        <v/>
      </c>
      <c r="F324" s="2">
        <f>C324*INDEX(Products!$D$2:$D$201,MATCH(B324,Products!$A$2:$A$201,0))</f>
        <v/>
      </c>
      <c r="G324" s="2">
        <f>E324-F324</f>
        <v/>
      </c>
    </row>
    <row r="325" ht="15" customHeight="1" s="1">
      <c r="A325" s="2" t="n">
        <v>50323</v>
      </c>
      <c r="B325" s="2" t="inlineStr">
        <is>
          <t>SKU-0021</t>
        </is>
      </c>
      <c r="C325" s="2" t="n">
        <v>9</v>
      </c>
      <c r="D325" s="2">
        <f>VLOOKUP(B325,Products!$A$2:$D$201,3,FALSE())</f>
        <v/>
      </c>
      <c r="E325" s="2">
        <f>C325*D325</f>
        <v/>
      </c>
      <c r="F325" s="2">
        <f>C325*INDEX(Products!$D$2:$D$201,MATCH(B325,Products!$A$2:$A$201,0))</f>
        <v/>
      </c>
      <c r="G325" s="2">
        <f>E325-F325</f>
        <v/>
      </c>
    </row>
    <row r="326" ht="15" customHeight="1" s="1">
      <c r="A326" s="2" t="n">
        <v>50324</v>
      </c>
      <c r="B326" s="2" t="inlineStr">
        <is>
          <t>SKU-0153</t>
        </is>
      </c>
      <c r="C326" s="2" t="n">
        <v>16</v>
      </c>
      <c r="D326" s="2">
        <f>VLOOKUP(B326,Products!$A$2:$D$201,3,FALSE())</f>
        <v/>
      </c>
      <c r="E326" s="2">
        <f>C326*D326</f>
        <v/>
      </c>
      <c r="F326" s="2">
        <f>C326*INDEX(Products!$D$2:$D$201,MATCH(B326,Products!$A$2:$A$201,0))</f>
        <v/>
      </c>
      <c r="G326" s="2">
        <f>E326-F326</f>
        <v/>
      </c>
    </row>
    <row r="327" ht="15" customHeight="1" s="1">
      <c r="A327" s="2" t="n">
        <v>50325</v>
      </c>
      <c r="B327" s="2" t="inlineStr">
        <is>
          <t>SKU-0130</t>
        </is>
      </c>
      <c r="C327" s="2" t="n">
        <v>1</v>
      </c>
      <c r="D327" s="2">
        <f>VLOOKUP(B327,Products!$A$2:$D$201,3,FALSE())</f>
        <v/>
      </c>
      <c r="E327" s="2">
        <f>C327*D327</f>
        <v/>
      </c>
      <c r="F327" s="2">
        <f>C327*INDEX(Products!$D$2:$D$201,MATCH(B327,Products!$A$2:$A$201,0))</f>
        <v/>
      </c>
      <c r="G327" s="2">
        <f>E327-F327</f>
        <v/>
      </c>
    </row>
    <row r="328" ht="15" customHeight="1" s="1">
      <c r="A328" s="2" t="n">
        <v>50326</v>
      </c>
      <c r="B328" s="2" t="inlineStr">
        <is>
          <t>SKU-0013</t>
        </is>
      </c>
      <c r="C328" s="2" t="n">
        <v>6</v>
      </c>
      <c r="D328" s="2">
        <f>VLOOKUP(B328,Products!$A$2:$D$201,3,FALSE())</f>
        <v/>
      </c>
      <c r="E328" s="2">
        <f>C328*D328</f>
        <v/>
      </c>
      <c r="F328" s="2">
        <f>C328*INDEX(Products!$D$2:$D$201,MATCH(B328,Products!$A$2:$A$201,0))</f>
        <v/>
      </c>
      <c r="G328" s="2">
        <f>E328-F328</f>
        <v/>
      </c>
    </row>
    <row r="329" ht="15" customHeight="1" s="1">
      <c r="A329" s="2" t="n">
        <v>50327</v>
      </c>
      <c r="B329" s="2" t="inlineStr">
        <is>
          <t>SKU-0100</t>
        </is>
      </c>
      <c r="C329" s="2" t="n">
        <v>17</v>
      </c>
      <c r="D329" s="2">
        <f>VLOOKUP(B329,Products!$A$2:$D$201,3,FALSE())</f>
        <v/>
      </c>
      <c r="E329" s="2">
        <f>C329*D329</f>
        <v/>
      </c>
      <c r="F329" s="2">
        <f>C329*INDEX(Products!$D$2:$D$201,MATCH(B329,Products!$A$2:$A$201,0))</f>
        <v/>
      </c>
      <c r="G329" s="2">
        <f>E329-F329</f>
        <v/>
      </c>
    </row>
    <row r="330" ht="15" customHeight="1" s="1">
      <c r="A330" s="2" t="n">
        <v>50328</v>
      </c>
      <c r="B330" s="2" t="inlineStr">
        <is>
          <t>SKU-0111</t>
        </is>
      </c>
      <c r="C330" s="2" t="n">
        <v>19</v>
      </c>
      <c r="D330" s="2">
        <f>VLOOKUP(B330,Products!$A$2:$D$201,3,FALSE())</f>
        <v/>
      </c>
      <c r="E330" s="2">
        <f>C330*D330</f>
        <v/>
      </c>
      <c r="F330" s="2">
        <f>C330*INDEX(Products!$D$2:$D$201,MATCH(B330,Products!$A$2:$A$201,0))</f>
        <v/>
      </c>
      <c r="G330" s="2">
        <f>E330-F330</f>
        <v/>
      </c>
    </row>
    <row r="331" ht="15" customHeight="1" s="1">
      <c r="A331" s="2" t="n">
        <v>50329</v>
      </c>
      <c r="B331" s="2" t="inlineStr">
        <is>
          <t>SKU-0169</t>
        </is>
      </c>
      <c r="C331" s="2" t="n">
        <v>20</v>
      </c>
      <c r="D331" s="2">
        <f>VLOOKUP(B331,Products!$A$2:$D$201,3,FALSE())</f>
        <v/>
      </c>
      <c r="E331" s="2">
        <f>C331*D331</f>
        <v/>
      </c>
      <c r="F331" s="2">
        <f>C331*INDEX(Products!$D$2:$D$201,MATCH(B331,Products!$A$2:$A$201,0))</f>
        <v/>
      </c>
      <c r="G331" s="2">
        <f>E331-F331</f>
        <v/>
      </c>
    </row>
    <row r="332" ht="15" customHeight="1" s="1">
      <c r="A332" s="2" t="n">
        <v>50330</v>
      </c>
      <c r="B332" s="2" t="inlineStr">
        <is>
          <t>SKU-0162</t>
        </is>
      </c>
      <c r="C332" s="2" t="n">
        <v>19</v>
      </c>
      <c r="D332" s="2">
        <f>VLOOKUP(B332,Products!$A$2:$D$201,3,FALSE())</f>
        <v/>
      </c>
      <c r="E332" s="2">
        <f>C332*D332</f>
        <v/>
      </c>
      <c r="F332" s="2">
        <f>C332*INDEX(Products!$D$2:$D$201,MATCH(B332,Products!$A$2:$A$201,0))</f>
        <v/>
      </c>
      <c r="G332" s="2">
        <f>E332-F332</f>
        <v/>
      </c>
    </row>
    <row r="333" ht="15" customHeight="1" s="1">
      <c r="A333" s="2" t="n">
        <v>50331</v>
      </c>
      <c r="B333" s="2" t="inlineStr">
        <is>
          <t>SKU-0009</t>
        </is>
      </c>
      <c r="C333" s="2" t="n">
        <v>7</v>
      </c>
      <c r="D333" s="2">
        <f>VLOOKUP(B333,Products!$A$2:$D$201,3,FALSE())</f>
        <v/>
      </c>
      <c r="E333" s="2">
        <f>C333*D333</f>
        <v/>
      </c>
      <c r="F333" s="2">
        <f>C333*INDEX(Products!$D$2:$D$201,MATCH(B333,Products!$A$2:$A$201,0))</f>
        <v/>
      </c>
      <c r="G333" s="2">
        <f>E333-F333</f>
        <v/>
      </c>
    </row>
    <row r="334" ht="15" customHeight="1" s="1">
      <c r="A334" s="2" t="n">
        <v>50332</v>
      </c>
      <c r="B334" s="2" t="inlineStr">
        <is>
          <t>SKU-0006</t>
        </is>
      </c>
      <c r="C334" s="2" t="n">
        <v>14</v>
      </c>
      <c r="D334" s="2">
        <f>VLOOKUP(B334,Products!$A$2:$D$201,3,FALSE())</f>
        <v/>
      </c>
      <c r="E334" s="2">
        <f>C334*D334</f>
        <v/>
      </c>
      <c r="F334" s="2">
        <f>C334*INDEX(Products!$D$2:$D$201,MATCH(B334,Products!$A$2:$A$201,0))</f>
        <v/>
      </c>
      <c r="G334" s="2">
        <f>E334-F334</f>
        <v/>
      </c>
    </row>
    <row r="335" ht="15" customHeight="1" s="1">
      <c r="A335" s="2" t="n">
        <v>50333</v>
      </c>
      <c r="B335" s="2" t="inlineStr">
        <is>
          <t>SKU-0197</t>
        </is>
      </c>
      <c r="C335" s="2" t="n">
        <v>14</v>
      </c>
      <c r="D335" s="2">
        <f>VLOOKUP(B335,Products!$A$2:$D$201,3,FALSE())</f>
        <v/>
      </c>
      <c r="E335" s="2">
        <f>C335*D335</f>
        <v/>
      </c>
      <c r="F335" s="2">
        <f>C335*INDEX(Products!$D$2:$D$201,MATCH(B335,Products!$A$2:$A$201,0))</f>
        <v/>
      </c>
      <c r="G335" s="2">
        <f>E335-F335</f>
        <v/>
      </c>
    </row>
    <row r="336" ht="15" customHeight="1" s="1">
      <c r="A336" s="2" t="n">
        <v>50334</v>
      </c>
      <c r="B336" s="2" t="inlineStr">
        <is>
          <t>SKU-0110</t>
        </is>
      </c>
      <c r="C336" s="2" t="n">
        <v>13</v>
      </c>
      <c r="D336" s="2">
        <f>VLOOKUP(B336,Products!$A$2:$D$201,3,FALSE())</f>
        <v/>
      </c>
      <c r="E336" s="2">
        <f>C336*D336</f>
        <v/>
      </c>
      <c r="F336" s="2">
        <f>C336*INDEX(Products!$D$2:$D$201,MATCH(B336,Products!$A$2:$A$201,0))</f>
        <v/>
      </c>
      <c r="G336" s="2">
        <f>E336-F336</f>
        <v/>
      </c>
    </row>
    <row r="337" ht="15" customHeight="1" s="1">
      <c r="A337" s="2" t="n">
        <v>50335</v>
      </c>
      <c r="B337" s="2" t="inlineStr">
        <is>
          <t>SKU-0003</t>
        </is>
      </c>
      <c r="C337" s="2" t="n">
        <v>6</v>
      </c>
      <c r="D337" s="2">
        <f>VLOOKUP(B337,Products!$A$2:$D$201,3,FALSE())</f>
        <v/>
      </c>
      <c r="E337" s="2">
        <f>C337*D337</f>
        <v/>
      </c>
      <c r="F337" s="2">
        <f>C337*INDEX(Products!$D$2:$D$201,MATCH(B337,Products!$A$2:$A$201,0))</f>
        <v/>
      </c>
      <c r="G337" s="2">
        <f>E337-F337</f>
        <v/>
      </c>
    </row>
    <row r="338" ht="15" customHeight="1" s="1">
      <c r="A338" s="2" t="n">
        <v>50336</v>
      </c>
      <c r="B338" s="2" t="inlineStr">
        <is>
          <t>SKU-0086</t>
        </is>
      </c>
      <c r="C338" s="2" t="n">
        <v>5</v>
      </c>
      <c r="D338" s="2">
        <f>VLOOKUP(B338,Products!$A$2:$D$201,3,FALSE())</f>
        <v/>
      </c>
      <c r="E338" s="2">
        <f>C338*D338</f>
        <v/>
      </c>
      <c r="F338" s="2">
        <f>C338*INDEX(Products!$D$2:$D$201,MATCH(B338,Products!$A$2:$A$201,0))</f>
        <v/>
      </c>
      <c r="G338" s="2">
        <f>E338-F338</f>
        <v/>
      </c>
    </row>
    <row r="339" ht="15" customHeight="1" s="1">
      <c r="A339" s="2" t="n">
        <v>50337</v>
      </c>
      <c r="B339" s="2" t="inlineStr">
        <is>
          <t>SKU-0077</t>
        </is>
      </c>
      <c r="C339" s="2" t="n">
        <v>7</v>
      </c>
      <c r="D339" s="2">
        <f>VLOOKUP(B339,Products!$A$2:$D$201,3,FALSE())</f>
        <v/>
      </c>
      <c r="E339" s="2">
        <f>C339*D339</f>
        <v/>
      </c>
      <c r="F339" s="2">
        <f>C339*INDEX(Products!$D$2:$D$201,MATCH(B339,Products!$A$2:$A$201,0))</f>
        <v/>
      </c>
      <c r="G339" s="2">
        <f>E339-F339</f>
        <v/>
      </c>
    </row>
    <row r="340" ht="15" customHeight="1" s="1">
      <c r="A340" s="2" t="n">
        <v>50338</v>
      </c>
      <c r="B340" s="2" t="inlineStr">
        <is>
          <t>SKU-0108</t>
        </is>
      </c>
      <c r="C340" s="2" t="n">
        <v>3</v>
      </c>
      <c r="D340" s="2">
        <f>VLOOKUP(B340,Products!$A$2:$D$201,3,FALSE())</f>
        <v/>
      </c>
      <c r="E340" s="2">
        <f>C340*D340</f>
        <v/>
      </c>
      <c r="F340" s="2">
        <f>C340*INDEX(Products!$D$2:$D$201,MATCH(B340,Products!$A$2:$A$201,0))</f>
        <v/>
      </c>
      <c r="G340" s="2">
        <f>E340-F340</f>
        <v/>
      </c>
    </row>
    <row r="341" ht="15" customHeight="1" s="1">
      <c r="A341" s="2" t="n">
        <v>50339</v>
      </c>
      <c r="B341" s="2" t="inlineStr">
        <is>
          <t>SKU-0094</t>
        </is>
      </c>
      <c r="C341" s="2" t="n">
        <v>7</v>
      </c>
      <c r="D341" s="2">
        <f>VLOOKUP(B341,Products!$A$2:$D$201,3,FALSE())</f>
        <v/>
      </c>
      <c r="E341" s="2">
        <f>C341*D341</f>
        <v/>
      </c>
      <c r="F341" s="2">
        <f>C341*INDEX(Products!$D$2:$D$201,MATCH(B341,Products!$A$2:$A$201,0))</f>
        <v/>
      </c>
      <c r="G341" s="2">
        <f>E341-F341</f>
        <v/>
      </c>
    </row>
    <row r="342" ht="15" customHeight="1" s="1">
      <c r="A342" s="2" t="n">
        <v>50340</v>
      </c>
      <c r="B342" s="2" t="inlineStr">
        <is>
          <t>SKU-0100</t>
        </is>
      </c>
      <c r="C342" s="2" t="n">
        <v>14</v>
      </c>
      <c r="D342" s="2">
        <f>VLOOKUP(B342,Products!$A$2:$D$201,3,FALSE())</f>
        <v/>
      </c>
      <c r="E342" s="2">
        <f>C342*D342</f>
        <v/>
      </c>
      <c r="F342" s="2">
        <f>C342*INDEX(Products!$D$2:$D$201,MATCH(B342,Products!$A$2:$A$201,0))</f>
        <v/>
      </c>
      <c r="G342" s="2">
        <f>E342-F342</f>
        <v/>
      </c>
    </row>
    <row r="343" ht="15" customHeight="1" s="1">
      <c r="A343" s="2" t="n">
        <v>50341</v>
      </c>
      <c r="B343" s="2" t="inlineStr">
        <is>
          <t>SKU-0048</t>
        </is>
      </c>
      <c r="C343" s="2" t="n">
        <v>9</v>
      </c>
      <c r="D343" s="2">
        <f>VLOOKUP(B343,Products!$A$2:$D$201,3,FALSE())</f>
        <v/>
      </c>
      <c r="E343" s="2">
        <f>C343*D343</f>
        <v/>
      </c>
      <c r="F343" s="2">
        <f>C343*INDEX(Products!$D$2:$D$201,MATCH(B343,Products!$A$2:$A$201,0))</f>
        <v/>
      </c>
      <c r="G343" s="2">
        <f>E343-F343</f>
        <v/>
      </c>
    </row>
    <row r="344" ht="15" customHeight="1" s="1">
      <c r="A344" s="2" t="n">
        <v>50342</v>
      </c>
      <c r="B344" s="2" t="inlineStr">
        <is>
          <t>SKU-0035</t>
        </is>
      </c>
      <c r="C344" s="2" t="n">
        <v>16</v>
      </c>
      <c r="D344" s="2">
        <f>VLOOKUP(B344,Products!$A$2:$D$201,3,FALSE())</f>
        <v/>
      </c>
      <c r="E344" s="2">
        <f>C344*D344</f>
        <v/>
      </c>
      <c r="F344" s="2">
        <f>C344*INDEX(Products!$D$2:$D$201,MATCH(B344,Products!$A$2:$A$201,0))</f>
        <v/>
      </c>
      <c r="G344" s="2">
        <f>E344-F344</f>
        <v/>
      </c>
    </row>
    <row r="345" ht="15" customHeight="1" s="1">
      <c r="A345" s="2" t="n">
        <v>50343</v>
      </c>
      <c r="B345" s="2" t="inlineStr">
        <is>
          <t>SKU-0093</t>
        </is>
      </c>
      <c r="C345" s="2" t="n">
        <v>10</v>
      </c>
      <c r="D345" s="2">
        <f>VLOOKUP(B345,Products!$A$2:$D$201,3,FALSE())</f>
        <v/>
      </c>
      <c r="E345" s="2">
        <f>C345*D345</f>
        <v/>
      </c>
      <c r="F345" s="2">
        <f>C345*INDEX(Products!$D$2:$D$201,MATCH(B345,Products!$A$2:$A$201,0))</f>
        <v/>
      </c>
      <c r="G345" s="2">
        <f>E345-F345</f>
        <v/>
      </c>
    </row>
    <row r="346" ht="15" customHeight="1" s="1">
      <c r="A346" s="2" t="n">
        <v>50344</v>
      </c>
      <c r="B346" s="2" t="inlineStr">
        <is>
          <t>SKU-0000</t>
        </is>
      </c>
      <c r="C346" s="2" t="n">
        <v>4</v>
      </c>
      <c r="D346" s="2">
        <f>VLOOKUP(B346,Products!$A$2:$D$201,3,FALSE())</f>
        <v/>
      </c>
      <c r="E346" s="2">
        <f>C346*D346</f>
        <v/>
      </c>
      <c r="F346" s="2">
        <f>C346*INDEX(Products!$D$2:$D$201,MATCH(B346,Products!$A$2:$A$201,0))</f>
        <v/>
      </c>
      <c r="G346" s="2">
        <f>E346-F346</f>
        <v/>
      </c>
    </row>
    <row r="347" ht="15" customHeight="1" s="1">
      <c r="A347" s="2" t="n">
        <v>50345</v>
      </c>
      <c r="B347" s="2" t="inlineStr">
        <is>
          <t>SKU-0196</t>
        </is>
      </c>
      <c r="C347" s="2" t="n">
        <v>6</v>
      </c>
      <c r="D347" s="2">
        <f>VLOOKUP(B347,Products!$A$2:$D$201,3,FALSE())</f>
        <v/>
      </c>
      <c r="E347" s="2">
        <f>C347*D347</f>
        <v/>
      </c>
      <c r="F347" s="2">
        <f>C347*INDEX(Products!$D$2:$D$201,MATCH(B347,Products!$A$2:$A$201,0))</f>
        <v/>
      </c>
      <c r="G347" s="2">
        <f>E347-F347</f>
        <v/>
      </c>
    </row>
    <row r="348" ht="15" customHeight="1" s="1">
      <c r="A348" s="2" t="n">
        <v>50346</v>
      </c>
      <c r="B348" s="2" t="inlineStr">
        <is>
          <t>SKU-0194</t>
        </is>
      </c>
      <c r="C348" s="2" t="n">
        <v>15</v>
      </c>
      <c r="D348" s="2">
        <f>VLOOKUP(B348,Products!$A$2:$D$201,3,FALSE())</f>
        <v/>
      </c>
      <c r="E348" s="2">
        <f>C348*D348</f>
        <v/>
      </c>
      <c r="F348" s="2">
        <f>C348*INDEX(Products!$D$2:$D$201,MATCH(B348,Products!$A$2:$A$201,0))</f>
        <v/>
      </c>
      <c r="G348" s="2">
        <f>E348-F348</f>
        <v/>
      </c>
    </row>
    <row r="349" ht="15" customHeight="1" s="1">
      <c r="A349" s="2" t="n">
        <v>50347</v>
      </c>
      <c r="B349" s="2" t="inlineStr">
        <is>
          <t>SKU-0019</t>
        </is>
      </c>
      <c r="C349" s="2" t="n">
        <v>3</v>
      </c>
      <c r="D349" s="2">
        <f>VLOOKUP(B349,Products!$A$2:$D$201,3,FALSE())</f>
        <v/>
      </c>
      <c r="E349" s="2">
        <f>C349*D349</f>
        <v/>
      </c>
      <c r="F349" s="2">
        <f>C349*INDEX(Products!$D$2:$D$201,MATCH(B349,Products!$A$2:$A$201,0))</f>
        <v/>
      </c>
      <c r="G349" s="2">
        <f>E349-F349</f>
        <v/>
      </c>
    </row>
    <row r="350" ht="15" customHeight="1" s="1">
      <c r="A350" s="2" t="n">
        <v>50348</v>
      </c>
      <c r="B350" s="2" t="inlineStr">
        <is>
          <t>SKU-0175</t>
        </is>
      </c>
      <c r="C350" s="2" t="n">
        <v>13</v>
      </c>
      <c r="D350" s="2">
        <f>VLOOKUP(B350,Products!$A$2:$D$201,3,FALSE())</f>
        <v/>
      </c>
      <c r="E350" s="2">
        <f>C350*D350</f>
        <v/>
      </c>
      <c r="F350" s="2">
        <f>C350*INDEX(Products!$D$2:$D$201,MATCH(B350,Products!$A$2:$A$201,0))</f>
        <v/>
      </c>
      <c r="G350" s="2">
        <f>E350-F350</f>
        <v/>
      </c>
    </row>
    <row r="351" ht="15" customHeight="1" s="1">
      <c r="A351" s="2" t="n">
        <v>50349</v>
      </c>
      <c r="B351" s="2" t="inlineStr">
        <is>
          <t>SKU-0009</t>
        </is>
      </c>
      <c r="C351" s="2" t="n">
        <v>14</v>
      </c>
      <c r="D351" s="2">
        <f>VLOOKUP(B351,Products!$A$2:$D$201,3,FALSE())</f>
        <v/>
      </c>
      <c r="E351" s="2">
        <f>C351*D351</f>
        <v/>
      </c>
      <c r="F351" s="2">
        <f>C351*INDEX(Products!$D$2:$D$201,MATCH(B351,Products!$A$2:$A$201,0))</f>
        <v/>
      </c>
      <c r="G351" s="2">
        <f>E351-F351</f>
        <v/>
      </c>
    </row>
    <row r="352" ht="15" customHeight="1" s="1">
      <c r="A352" s="2" t="n">
        <v>50350</v>
      </c>
      <c r="B352" s="2" t="inlineStr">
        <is>
          <t>SKU-0038</t>
        </is>
      </c>
      <c r="C352" s="2" t="n">
        <v>7</v>
      </c>
      <c r="D352" s="2">
        <f>VLOOKUP(B352,Products!$A$2:$D$201,3,FALSE())</f>
        <v/>
      </c>
      <c r="E352" s="2">
        <f>C352*D352</f>
        <v/>
      </c>
      <c r="F352" s="2">
        <f>C352*INDEX(Products!$D$2:$D$201,MATCH(B352,Products!$A$2:$A$201,0))</f>
        <v/>
      </c>
      <c r="G352" s="2">
        <f>E352-F352</f>
        <v/>
      </c>
    </row>
    <row r="353" ht="15" customHeight="1" s="1">
      <c r="A353" s="2" t="n">
        <v>50351</v>
      </c>
      <c r="B353" s="2" t="inlineStr">
        <is>
          <t>SKU-0165</t>
        </is>
      </c>
      <c r="C353" s="2" t="n">
        <v>1</v>
      </c>
      <c r="D353" s="2">
        <f>VLOOKUP(B353,Products!$A$2:$D$201,3,FALSE())</f>
        <v/>
      </c>
      <c r="E353" s="2">
        <f>C353*D353</f>
        <v/>
      </c>
      <c r="F353" s="2">
        <f>C353*INDEX(Products!$D$2:$D$201,MATCH(B353,Products!$A$2:$A$201,0))</f>
        <v/>
      </c>
      <c r="G353" s="2">
        <f>E353-F353</f>
        <v/>
      </c>
    </row>
    <row r="354" ht="15" customHeight="1" s="1">
      <c r="A354" s="2" t="n">
        <v>50352</v>
      </c>
      <c r="B354" s="2" t="inlineStr">
        <is>
          <t>SKU-0191</t>
        </is>
      </c>
      <c r="C354" s="2" t="n">
        <v>16</v>
      </c>
      <c r="D354" s="2">
        <f>VLOOKUP(B354,Products!$A$2:$D$201,3,FALSE())</f>
        <v/>
      </c>
      <c r="E354" s="2">
        <f>C354*D354</f>
        <v/>
      </c>
      <c r="F354" s="2">
        <f>C354*INDEX(Products!$D$2:$D$201,MATCH(B354,Products!$A$2:$A$201,0))</f>
        <v/>
      </c>
      <c r="G354" s="2">
        <f>E354-F354</f>
        <v/>
      </c>
    </row>
    <row r="355" ht="15" customHeight="1" s="1">
      <c r="A355" s="2" t="n">
        <v>50353</v>
      </c>
      <c r="B355" s="2" t="inlineStr">
        <is>
          <t>SKU-0081</t>
        </is>
      </c>
      <c r="C355" s="2" t="n">
        <v>20</v>
      </c>
      <c r="D355" s="2">
        <f>VLOOKUP(B355,Products!$A$2:$D$201,3,FALSE())</f>
        <v/>
      </c>
      <c r="E355" s="2">
        <f>C355*D355</f>
        <v/>
      </c>
      <c r="F355" s="2">
        <f>C355*INDEX(Products!$D$2:$D$201,MATCH(B355,Products!$A$2:$A$201,0))</f>
        <v/>
      </c>
      <c r="G355" s="2">
        <f>E355-F355</f>
        <v/>
      </c>
    </row>
    <row r="356" ht="15" customHeight="1" s="1">
      <c r="A356" s="2" t="n">
        <v>50354</v>
      </c>
      <c r="B356" s="2" t="inlineStr">
        <is>
          <t>SKU-0117</t>
        </is>
      </c>
      <c r="C356" s="2" t="n">
        <v>5</v>
      </c>
      <c r="D356" s="2">
        <f>VLOOKUP(B356,Products!$A$2:$D$201,3,FALSE())</f>
        <v/>
      </c>
      <c r="E356" s="2">
        <f>C356*D356</f>
        <v/>
      </c>
      <c r="F356" s="2">
        <f>C356*INDEX(Products!$D$2:$D$201,MATCH(B356,Products!$A$2:$A$201,0))</f>
        <v/>
      </c>
      <c r="G356" s="2">
        <f>E356-F356</f>
        <v/>
      </c>
    </row>
    <row r="357" ht="15" customHeight="1" s="1">
      <c r="A357" s="2" t="n">
        <v>50355</v>
      </c>
      <c r="B357" s="2" t="inlineStr">
        <is>
          <t>SKU-0119</t>
        </is>
      </c>
      <c r="C357" s="2" t="n">
        <v>8</v>
      </c>
      <c r="D357" s="2">
        <f>VLOOKUP(B357,Products!$A$2:$D$201,3,FALSE())</f>
        <v/>
      </c>
      <c r="E357" s="2">
        <f>C357*D357</f>
        <v/>
      </c>
      <c r="F357" s="2">
        <f>C357*INDEX(Products!$D$2:$D$201,MATCH(B357,Products!$A$2:$A$201,0))</f>
        <v/>
      </c>
      <c r="G357" s="2">
        <f>E357-F357</f>
        <v/>
      </c>
    </row>
    <row r="358" ht="15" customHeight="1" s="1">
      <c r="A358" s="2" t="n">
        <v>50356</v>
      </c>
      <c r="B358" s="2" t="inlineStr">
        <is>
          <t>SKU-0019</t>
        </is>
      </c>
      <c r="C358" s="2" t="n">
        <v>12</v>
      </c>
      <c r="D358" s="2">
        <f>VLOOKUP(B358,Products!$A$2:$D$201,3,FALSE())</f>
        <v/>
      </c>
      <c r="E358" s="2">
        <f>C358*D358</f>
        <v/>
      </c>
      <c r="F358" s="2">
        <f>C358*INDEX(Products!$D$2:$D$201,MATCH(B358,Products!$A$2:$A$201,0))</f>
        <v/>
      </c>
      <c r="G358" s="2">
        <f>E358-F358</f>
        <v/>
      </c>
    </row>
    <row r="359" ht="15" customHeight="1" s="1">
      <c r="A359" s="2" t="n">
        <v>50357</v>
      </c>
      <c r="B359" s="2" t="inlineStr">
        <is>
          <t>SKU-0158</t>
        </is>
      </c>
      <c r="C359" s="2" t="n">
        <v>1</v>
      </c>
      <c r="D359" s="2">
        <f>VLOOKUP(B359,Products!$A$2:$D$201,3,FALSE())</f>
        <v/>
      </c>
      <c r="E359" s="2">
        <f>C359*D359</f>
        <v/>
      </c>
      <c r="F359" s="2">
        <f>C359*INDEX(Products!$D$2:$D$201,MATCH(B359,Products!$A$2:$A$201,0))</f>
        <v/>
      </c>
      <c r="G359" s="2">
        <f>E359-F359</f>
        <v/>
      </c>
    </row>
    <row r="360" ht="15" customHeight="1" s="1">
      <c r="A360" s="2" t="n">
        <v>50358</v>
      </c>
      <c r="B360" s="2" t="inlineStr">
        <is>
          <t>SKU-0003</t>
        </is>
      </c>
      <c r="C360" s="2" t="n">
        <v>6</v>
      </c>
      <c r="D360" s="2">
        <f>VLOOKUP(B360,Products!$A$2:$D$201,3,FALSE())</f>
        <v/>
      </c>
      <c r="E360" s="2">
        <f>C360*D360</f>
        <v/>
      </c>
      <c r="F360" s="2">
        <f>C360*INDEX(Products!$D$2:$D$201,MATCH(B360,Products!$A$2:$A$201,0))</f>
        <v/>
      </c>
      <c r="G360" s="2">
        <f>E360-F360</f>
        <v/>
      </c>
    </row>
    <row r="361" ht="15" customHeight="1" s="1">
      <c r="A361" s="2" t="n">
        <v>50359</v>
      </c>
      <c r="B361" s="2" t="inlineStr">
        <is>
          <t>SKU-0109</t>
        </is>
      </c>
      <c r="C361" s="2" t="n">
        <v>3</v>
      </c>
      <c r="D361" s="2">
        <f>VLOOKUP(B361,Products!$A$2:$D$201,3,FALSE())</f>
        <v/>
      </c>
      <c r="E361" s="2">
        <f>C361*D361</f>
        <v/>
      </c>
      <c r="F361" s="2">
        <f>C361*INDEX(Products!$D$2:$D$201,MATCH(B361,Products!$A$2:$A$201,0))</f>
        <v/>
      </c>
      <c r="G361" s="2">
        <f>E361-F361</f>
        <v/>
      </c>
    </row>
    <row r="362" ht="15" customHeight="1" s="1">
      <c r="A362" s="2" t="n">
        <v>50360</v>
      </c>
      <c r="B362" s="2" t="inlineStr">
        <is>
          <t>SKU-0068</t>
        </is>
      </c>
      <c r="C362" s="2" t="n">
        <v>5</v>
      </c>
      <c r="D362" s="2">
        <f>VLOOKUP(B362,Products!$A$2:$D$201,3,FALSE())</f>
        <v/>
      </c>
      <c r="E362" s="2">
        <f>C362*D362</f>
        <v/>
      </c>
      <c r="F362" s="2">
        <f>C362*INDEX(Products!$D$2:$D$201,MATCH(B362,Products!$A$2:$A$201,0))</f>
        <v/>
      </c>
      <c r="G362" s="2">
        <f>E362-F362</f>
        <v/>
      </c>
    </row>
    <row r="363" ht="15" customHeight="1" s="1">
      <c r="A363" s="2" t="n">
        <v>50361</v>
      </c>
      <c r="B363" s="2" t="inlineStr">
        <is>
          <t>SKU-0192</t>
        </is>
      </c>
      <c r="C363" s="2" t="n">
        <v>12</v>
      </c>
      <c r="D363" s="2">
        <f>VLOOKUP(B363,Products!$A$2:$D$201,3,FALSE())</f>
        <v/>
      </c>
      <c r="E363" s="2">
        <f>C363*D363</f>
        <v/>
      </c>
      <c r="F363" s="2">
        <f>C363*INDEX(Products!$D$2:$D$201,MATCH(B363,Products!$A$2:$A$201,0))</f>
        <v/>
      </c>
      <c r="G363" s="2">
        <f>E363-F363</f>
        <v/>
      </c>
    </row>
    <row r="364" ht="15" customHeight="1" s="1">
      <c r="A364" s="2" t="n">
        <v>50362</v>
      </c>
      <c r="B364" s="2" t="inlineStr">
        <is>
          <t>SKU-0085</t>
        </is>
      </c>
      <c r="C364" s="2" t="n">
        <v>7</v>
      </c>
      <c r="D364" s="2">
        <f>VLOOKUP(B364,Products!$A$2:$D$201,3,FALSE())</f>
        <v/>
      </c>
      <c r="E364" s="2">
        <f>C364*D364</f>
        <v/>
      </c>
      <c r="F364" s="2">
        <f>C364*INDEX(Products!$D$2:$D$201,MATCH(B364,Products!$A$2:$A$201,0))</f>
        <v/>
      </c>
      <c r="G364" s="2">
        <f>E364-F364</f>
        <v/>
      </c>
    </row>
    <row r="365" ht="15" customHeight="1" s="1">
      <c r="A365" s="2" t="n">
        <v>50363</v>
      </c>
      <c r="B365" s="2" t="inlineStr">
        <is>
          <t>SKU-0038</t>
        </is>
      </c>
      <c r="C365" s="2" t="n">
        <v>10</v>
      </c>
      <c r="D365" s="2">
        <f>VLOOKUP(B365,Products!$A$2:$D$201,3,FALSE())</f>
        <v/>
      </c>
      <c r="E365" s="2">
        <f>C365*D365</f>
        <v/>
      </c>
      <c r="F365" s="2">
        <f>C365*INDEX(Products!$D$2:$D$201,MATCH(B365,Products!$A$2:$A$201,0))</f>
        <v/>
      </c>
      <c r="G365" s="2">
        <f>E365-F365</f>
        <v/>
      </c>
    </row>
    <row r="366" ht="15" customHeight="1" s="1">
      <c r="A366" s="2" t="n">
        <v>50364</v>
      </c>
      <c r="B366" s="2" t="inlineStr">
        <is>
          <t>SKU-0132</t>
        </is>
      </c>
      <c r="C366" s="2" t="n">
        <v>18</v>
      </c>
      <c r="D366" s="2">
        <f>VLOOKUP(B366,Products!$A$2:$D$201,3,FALSE())</f>
        <v/>
      </c>
      <c r="E366" s="2">
        <f>C366*D366</f>
        <v/>
      </c>
      <c r="F366" s="2">
        <f>C366*INDEX(Products!$D$2:$D$201,MATCH(B366,Products!$A$2:$A$201,0))</f>
        <v/>
      </c>
      <c r="G366" s="2">
        <f>E366-F366</f>
        <v/>
      </c>
    </row>
    <row r="367" ht="15" customHeight="1" s="1">
      <c r="A367" s="2" t="n">
        <v>50365</v>
      </c>
      <c r="B367" s="2" t="inlineStr">
        <is>
          <t>SKU-0023</t>
        </is>
      </c>
      <c r="C367" s="2" t="n">
        <v>10</v>
      </c>
      <c r="D367" s="2">
        <f>VLOOKUP(B367,Products!$A$2:$D$201,3,FALSE())</f>
        <v/>
      </c>
      <c r="E367" s="2">
        <f>C367*D367</f>
        <v/>
      </c>
      <c r="F367" s="2">
        <f>C367*INDEX(Products!$D$2:$D$201,MATCH(B367,Products!$A$2:$A$201,0))</f>
        <v/>
      </c>
      <c r="G367" s="2">
        <f>E367-F367</f>
        <v/>
      </c>
    </row>
    <row r="368" ht="15" customHeight="1" s="1">
      <c r="A368" s="2" t="n">
        <v>50366</v>
      </c>
      <c r="B368" s="2" t="inlineStr">
        <is>
          <t>SKU-0028</t>
        </is>
      </c>
      <c r="C368" s="2" t="n">
        <v>4</v>
      </c>
      <c r="D368" s="2">
        <f>VLOOKUP(B368,Products!$A$2:$D$201,3,FALSE())</f>
        <v/>
      </c>
      <c r="E368" s="2">
        <f>C368*D368</f>
        <v/>
      </c>
      <c r="F368" s="2">
        <f>C368*INDEX(Products!$D$2:$D$201,MATCH(B368,Products!$A$2:$A$201,0))</f>
        <v/>
      </c>
      <c r="G368" s="2">
        <f>E368-F368</f>
        <v/>
      </c>
    </row>
    <row r="369" ht="15" customHeight="1" s="1">
      <c r="A369" s="2" t="n">
        <v>50367</v>
      </c>
      <c r="B369" s="2" t="inlineStr">
        <is>
          <t>SKU-0164</t>
        </is>
      </c>
      <c r="C369" s="2" t="n">
        <v>13</v>
      </c>
      <c r="D369" s="2">
        <f>VLOOKUP(B369,Products!$A$2:$D$201,3,FALSE())</f>
        <v/>
      </c>
      <c r="E369" s="2">
        <f>C369*D369</f>
        <v/>
      </c>
      <c r="F369" s="2">
        <f>C369*INDEX(Products!$D$2:$D$201,MATCH(B369,Products!$A$2:$A$201,0))</f>
        <v/>
      </c>
      <c r="G369" s="2">
        <f>E369-F369</f>
        <v/>
      </c>
    </row>
    <row r="370" ht="15" customHeight="1" s="1">
      <c r="A370" s="2" t="n">
        <v>50368</v>
      </c>
      <c r="B370" s="2" t="inlineStr">
        <is>
          <t>SKU-0095</t>
        </is>
      </c>
      <c r="C370" s="2" t="n">
        <v>10</v>
      </c>
      <c r="D370" s="2">
        <f>VLOOKUP(B370,Products!$A$2:$D$201,3,FALSE())</f>
        <v/>
      </c>
      <c r="E370" s="2">
        <f>C370*D370</f>
        <v/>
      </c>
      <c r="F370" s="2">
        <f>C370*INDEX(Products!$D$2:$D$201,MATCH(B370,Products!$A$2:$A$201,0))</f>
        <v/>
      </c>
      <c r="G370" s="2">
        <f>E370-F370</f>
        <v/>
      </c>
    </row>
    <row r="371" ht="15" customHeight="1" s="1">
      <c r="A371" s="2" t="n">
        <v>50369</v>
      </c>
      <c r="B371" s="2" t="inlineStr">
        <is>
          <t>SKU-0094</t>
        </is>
      </c>
      <c r="C371" s="2" t="n">
        <v>16</v>
      </c>
      <c r="D371" s="2">
        <f>VLOOKUP(B371,Products!$A$2:$D$201,3,FALSE())</f>
        <v/>
      </c>
      <c r="E371" s="2">
        <f>C371*D371</f>
        <v/>
      </c>
      <c r="F371" s="2">
        <f>C371*INDEX(Products!$D$2:$D$201,MATCH(B371,Products!$A$2:$A$201,0))</f>
        <v/>
      </c>
      <c r="G371" s="2">
        <f>E371-F371</f>
        <v/>
      </c>
    </row>
    <row r="372" ht="15" customHeight="1" s="1">
      <c r="A372" s="2" t="n">
        <v>50370</v>
      </c>
      <c r="B372" s="2" t="inlineStr">
        <is>
          <t>SKU-0140</t>
        </is>
      </c>
      <c r="C372" s="2" t="n">
        <v>19</v>
      </c>
      <c r="D372" s="2">
        <f>VLOOKUP(B372,Products!$A$2:$D$201,3,FALSE())</f>
        <v/>
      </c>
      <c r="E372" s="2">
        <f>C372*D372</f>
        <v/>
      </c>
      <c r="F372" s="2">
        <f>C372*INDEX(Products!$D$2:$D$201,MATCH(B372,Products!$A$2:$A$201,0))</f>
        <v/>
      </c>
      <c r="G372" s="2">
        <f>E372-F372</f>
        <v/>
      </c>
    </row>
    <row r="373" ht="15" customHeight="1" s="1">
      <c r="A373" s="2" t="n">
        <v>50371</v>
      </c>
      <c r="B373" s="2" t="inlineStr">
        <is>
          <t>SKU-0113</t>
        </is>
      </c>
      <c r="C373" s="2" t="n">
        <v>8</v>
      </c>
      <c r="D373" s="2">
        <f>VLOOKUP(B373,Products!$A$2:$D$201,3,FALSE())</f>
        <v/>
      </c>
      <c r="E373" s="2">
        <f>C373*D373</f>
        <v/>
      </c>
      <c r="F373" s="2">
        <f>C373*INDEX(Products!$D$2:$D$201,MATCH(B373,Products!$A$2:$A$201,0))</f>
        <v/>
      </c>
      <c r="G373" s="2">
        <f>E373-F373</f>
        <v/>
      </c>
    </row>
    <row r="374" ht="15" customHeight="1" s="1">
      <c r="A374" s="2" t="n">
        <v>50372</v>
      </c>
      <c r="B374" s="2" t="inlineStr">
        <is>
          <t>SKU-0145</t>
        </is>
      </c>
      <c r="C374" s="2" t="n">
        <v>5</v>
      </c>
      <c r="D374" s="2">
        <f>VLOOKUP(B374,Products!$A$2:$D$201,3,FALSE())</f>
        <v/>
      </c>
      <c r="E374" s="2">
        <f>C374*D374</f>
        <v/>
      </c>
      <c r="F374" s="2">
        <f>C374*INDEX(Products!$D$2:$D$201,MATCH(B374,Products!$A$2:$A$201,0))</f>
        <v/>
      </c>
      <c r="G374" s="2">
        <f>E374-F374</f>
        <v/>
      </c>
    </row>
    <row r="375" ht="15" customHeight="1" s="1">
      <c r="A375" s="2" t="n">
        <v>50373</v>
      </c>
      <c r="B375" s="2" t="inlineStr">
        <is>
          <t>SKU-0067</t>
        </is>
      </c>
      <c r="C375" s="2" t="n">
        <v>1</v>
      </c>
      <c r="D375" s="2">
        <f>VLOOKUP(B375,Products!$A$2:$D$201,3,FALSE())</f>
        <v/>
      </c>
      <c r="E375" s="2">
        <f>C375*D375</f>
        <v/>
      </c>
      <c r="F375" s="2">
        <f>C375*INDEX(Products!$D$2:$D$201,MATCH(B375,Products!$A$2:$A$201,0))</f>
        <v/>
      </c>
      <c r="G375" s="2">
        <f>E375-F375</f>
        <v/>
      </c>
    </row>
    <row r="376" ht="15" customHeight="1" s="1">
      <c r="A376" s="2" t="n">
        <v>50374</v>
      </c>
      <c r="B376" s="2" t="inlineStr">
        <is>
          <t>SKU-0139</t>
        </is>
      </c>
      <c r="C376" s="2" t="n">
        <v>1</v>
      </c>
      <c r="D376" s="2">
        <f>VLOOKUP(B376,Products!$A$2:$D$201,3,FALSE())</f>
        <v/>
      </c>
      <c r="E376" s="2">
        <f>C376*D376</f>
        <v/>
      </c>
      <c r="F376" s="2">
        <f>C376*INDEX(Products!$D$2:$D$201,MATCH(B376,Products!$A$2:$A$201,0))</f>
        <v/>
      </c>
      <c r="G376" s="2">
        <f>E376-F376</f>
        <v/>
      </c>
    </row>
    <row r="377" ht="15" customHeight="1" s="1">
      <c r="A377" s="2" t="n">
        <v>50375</v>
      </c>
      <c r="B377" s="2" t="inlineStr">
        <is>
          <t>SKU-0187</t>
        </is>
      </c>
      <c r="C377" s="2" t="n">
        <v>13</v>
      </c>
      <c r="D377" s="2">
        <f>VLOOKUP(B377,Products!$A$2:$D$201,3,FALSE())</f>
        <v/>
      </c>
      <c r="E377" s="2">
        <f>C377*D377</f>
        <v/>
      </c>
      <c r="F377" s="2">
        <f>C377*INDEX(Products!$D$2:$D$201,MATCH(B377,Products!$A$2:$A$201,0))</f>
        <v/>
      </c>
      <c r="G377" s="2">
        <f>E377-F377</f>
        <v/>
      </c>
    </row>
    <row r="378" ht="15" customHeight="1" s="1">
      <c r="A378" s="2" t="n">
        <v>50376</v>
      </c>
      <c r="B378" s="2" t="inlineStr">
        <is>
          <t>SKU-0034</t>
        </is>
      </c>
      <c r="C378" s="2" t="n">
        <v>8</v>
      </c>
      <c r="D378" s="2">
        <f>VLOOKUP(B378,Products!$A$2:$D$201,3,FALSE())</f>
        <v/>
      </c>
      <c r="E378" s="2">
        <f>C378*D378</f>
        <v/>
      </c>
      <c r="F378" s="2">
        <f>C378*INDEX(Products!$D$2:$D$201,MATCH(B378,Products!$A$2:$A$201,0))</f>
        <v/>
      </c>
      <c r="G378" s="2">
        <f>E378-F378</f>
        <v/>
      </c>
    </row>
    <row r="379" ht="15" customHeight="1" s="1">
      <c r="A379" s="2" t="n">
        <v>50377</v>
      </c>
      <c r="B379" s="2" t="inlineStr">
        <is>
          <t>SKU-0123</t>
        </is>
      </c>
      <c r="C379" s="2" t="n">
        <v>2</v>
      </c>
      <c r="D379" s="2">
        <f>VLOOKUP(B379,Products!$A$2:$D$201,3,FALSE())</f>
        <v/>
      </c>
      <c r="E379" s="2">
        <f>C379*D379</f>
        <v/>
      </c>
      <c r="F379" s="2">
        <f>C379*INDEX(Products!$D$2:$D$201,MATCH(B379,Products!$A$2:$A$201,0))</f>
        <v/>
      </c>
      <c r="G379" s="2">
        <f>E379-F379</f>
        <v/>
      </c>
    </row>
    <row r="380" ht="15" customHeight="1" s="1">
      <c r="A380" s="2" t="n">
        <v>50378</v>
      </c>
      <c r="B380" s="2" t="inlineStr">
        <is>
          <t>SKU-0002</t>
        </is>
      </c>
      <c r="C380" s="2" t="n">
        <v>1</v>
      </c>
      <c r="D380" s="2">
        <f>VLOOKUP(B380,Products!$A$2:$D$201,3,FALSE())</f>
        <v/>
      </c>
      <c r="E380" s="2">
        <f>C380*D380</f>
        <v/>
      </c>
      <c r="F380" s="2">
        <f>C380*INDEX(Products!$D$2:$D$201,MATCH(B380,Products!$A$2:$A$201,0))</f>
        <v/>
      </c>
      <c r="G380" s="2">
        <f>E380-F380</f>
        <v/>
      </c>
    </row>
    <row r="381" ht="15" customHeight="1" s="1">
      <c r="A381" s="2" t="n">
        <v>50379</v>
      </c>
      <c r="B381" s="2" t="inlineStr">
        <is>
          <t>SKU-0197</t>
        </is>
      </c>
      <c r="C381" s="2" t="n">
        <v>7</v>
      </c>
      <c r="D381" s="2">
        <f>VLOOKUP(B381,Products!$A$2:$D$201,3,FALSE())</f>
        <v/>
      </c>
      <c r="E381" s="2">
        <f>C381*D381</f>
        <v/>
      </c>
      <c r="F381" s="2">
        <f>C381*INDEX(Products!$D$2:$D$201,MATCH(B381,Products!$A$2:$A$201,0))</f>
        <v/>
      </c>
      <c r="G381" s="2">
        <f>E381-F381</f>
        <v/>
      </c>
    </row>
    <row r="382" ht="15" customHeight="1" s="1">
      <c r="A382" s="2" t="n">
        <v>50380</v>
      </c>
      <c r="B382" s="2" t="inlineStr">
        <is>
          <t>SKU-0107</t>
        </is>
      </c>
      <c r="C382" s="2" t="n">
        <v>8</v>
      </c>
      <c r="D382" s="2">
        <f>VLOOKUP(B382,Products!$A$2:$D$201,3,FALSE())</f>
        <v/>
      </c>
      <c r="E382" s="2">
        <f>C382*D382</f>
        <v/>
      </c>
      <c r="F382" s="2">
        <f>C382*INDEX(Products!$D$2:$D$201,MATCH(B382,Products!$A$2:$A$201,0))</f>
        <v/>
      </c>
      <c r="G382" s="2">
        <f>E382-F382</f>
        <v/>
      </c>
    </row>
    <row r="383" ht="15" customHeight="1" s="1">
      <c r="A383" s="2" t="n">
        <v>50381</v>
      </c>
      <c r="B383" s="2" t="inlineStr">
        <is>
          <t>SKU-0129</t>
        </is>
      </c>
      <c r="C383" s="2" t="n">
        <v>20</v>
      </c>
      <c r="D383" s="2">
        <f>VLOOKUP(B383,Products!$A$2:$D$201,3,FALSE())</f>
        <v/>
      </c>
      <c r="E383" s="2">
        <f>C383*D383</f>
        <v/>
      </c>
      <c r="F383" s="2">
        <f>C383*INDEX(Products!$D$2:$D$201,MATCH(B383,Products!$A$2:$A$201,0))</f>
        <v/>
      </c>
      <c r="G383" s="2">
        <f>E383-F383</f>
        <v/>
      </c>
    </row>
    <row r="384" ht="15" customHeight="1" s="1">
      <c r="A384" s="2" t="n">
        <v>50382</v>
      </c>
      <c r="B384" s="2" t="inlineStr">
        <is>
          <t>SKU-0060</t>
        </is>
      </c>
      <c r="C384" s="2" t="n">
        <v>10</v>
      </c>
      <c r="D384" s="2">
        <f>VLOOKUP(B384,Products!$A$2:$D$201,3,FALSE())</f>
        <v/>
      </c>
      <c r="E384" s="2">
        <f>C384*D384</f>
        <v/>
      </c>
      <c r="F384" s="2">
        <f>C384*INDEX(Products!$D$2:$D$201,MATCH(B384,Products!$A$2:$A$201,0))</f>
        <v/>
      </c>
      <c r="G384" s="2">
        <f>E384-F384</f>
        <v/>
      </c>
    </row>
    <row r="385" ht="15" customHeight="1" s="1">
      <c r="A385" s="2" t="n">
        <v>50383</v>
      </c>
      <c r="B385" s="2" t="inlineStr">
        <is>
          <t>SKU-0014</t>
        </is>
      </c>
      <c r="C385" s="2" t="n">
        <v>17</v>
      </c>
      <c r="D385" s="2">
        <f>VLOOKUP(B385,Products!$A$2:$D$201,3,FALSE())</f>
        <v/>
      </c>
      <c r="E385" s="2">
        <f>C385*D385</f>
        <v/>
      </c>
      <c r="F385" s="2">
        <f>C385*INDEX(Products!$D$2:$D$201,MATCH(B385,Products!$A$2:$A$201,0))</f>
        <v/>
      </c>
      <c r="G385" s="2">
        <f>E385-F385</f>
        <v/>
      </c>
    </row>
    <row r="386" ht="15" customHeight="1" s="1">
      <c r="A386" s="2" t="n">
        <v>50384</v>
      </c>
      <c r="B386" s="2" t="inlineStr">
        <is>
          <t>SKU-0061</t>
        </is>
      </c>
      <c r="C386" s="2" t="n">
        <v>2</v>
      </c>
      <c r="D386" s="2">
        <f>VLOOKUP(B386,Products!$A$2:$D$201,3,FALSE())</f>
        <v/>
      </c>
      <c r="E386" s="2">
        <f>C386*D386</f>
        <v/>
      </c>
      <c r="F386" s="2">
        <f>C386*INDEX(Products!$D$2:$D$201,MATCH(B386,Products!$A$2:$A$201,0))</f>
        <v/>
      </c>
      <c r="G386" s="2">
        <f>E386-F386</f>
        <v/>
      </c>
    </row>
    <row r="387" ht="15" customHeight="1" s="1">
      <c r="A387" s="2" t="n">
        <v>50385</v>
      </c>
      <c r="B387" s="2" t="inlineStr">
        <is>
          <t>SKU-0177</t>
        </is>
      </c>
      <c r="C387" s="2" t="n">
        <v>13</v>
      </c>
      <c r="D387" s="2">
        <f>VLOOKUP(B387,Products!$A$2:$D$201,3,FALSE())</f>
        <v/>
      </c>
      <c r="E387" s="2">
        <f>C387*D387</f>
        <v/>
      </c>
      <c r="F387" s="2">
        <f>C387*INDEX(Products!$D$2:$D$201,MATCH(B387,Products!$A$2:$A$201,0))</f>
        <v/>
      </c>
      <c r="G387" s="2">
        <f>E387-F387</f>
        <v/>
      </c>
    </row>
    <row r="388" ht="15" customHeight="1" s="1">
      <c r="A388" s="2" t="n">
        <v>50386</v>
      </c>
      <c r="B388" s="2" t="inlineStr">
        <is>
          <t>SKU-0088</t>
        </is>
      </c>
      <c r="C388" s="2" t="n">
        <v>1</v>
      </c>
      <c r="D388" s="2">
        <f>VLOOKUP(B388,Products!$A$2:$D$201,3,FALSE())</f>
        <v/>
      </c>
      <c r="E388" s="2">
        <f>C388*D388</f>
        <v/>
      </c>
      <c r="F388" s="2">
        <f>C388*INDEX(Products!$D$2:$D$201,MATCH(B388,Products!$A$2:$A$201,0))</f>
        <v/>
      </c>
      <c r="G388" s="2">
        <f>E388-F388</f>
        <v/>
      </c>
    </row>
    <row r="389" ht="15" customHeight="1" s="1">
      <c r="A389" s="2" t="n">
        <v>50387</v>
      </c>
      <c r="B389" s="2" t="inlineStr">
        <is>
          <t>SKU-0142</t>
        </is>
      </c>
      <c r="C389" s="2" t="n">
        <v>10</v>
      </c>
      <c r="D389" s="2">
        <f>VLOOKUP(B389,Products!$A$2:$D$201,3,FALSE())</f>
        <v/>
      </c>
      <c r="E389" s="2">
        <f>C389*D389</f>
        <v/>
      </c>
      <c r="F389" s="2">
        <f>C389*INDEX(Products!$D$2:$D$201,MATCH(B389,Products!$A$2:$A$201,0))</f>
        <v/>
      </c>
      <c r="G389" s="2">
        <f>E389-F389</f>
        <v/>
      </c>
    </row>
    <row r="390" ht="15" customHeight="1" s="1">
      <c r="A390" s="2" t="n">
        <v>50388</v>
      </c>
      <c r="B390" s="2" t="inlineStr">
        <is>
          <t>SKU-0112</t>
        </is>
      </c>
      <c r="C390" s="2" t="n">
        <v>15</v>
      </c>
      <c r="D390" s="2">
        <f>VLOOKUP(B390,Products!$A$2:$D$201,3,FALSE())</f>
        <v/>
      </c>
      <c r="E390" s="2">
        <f>C390*D390</f>
        <v/>
      </c>
      <c r="F390" s="2">
        <f>C390*INDEX(Products!$D$2:$D$201,MATCH(B390,Products!$A$2:$A$201,0))</f>
        <v/>
      </c>
      <c r="G390" s="2">
        <f>E390-F390</f>
        <v/>
      </c>
    </row>
    <row r="391" ht="15" customHeight="1" s="1">
      <c r="A391" s="2" t="n">
        <v>50389</v>
      </c>
      <c r="B391" s="2" t="inlineStr">
        <is>
          <t>SKU-0026</t>
        </is>
      </c>
      <c r="C391" s="2" t="n">
        <v>4</v>
      </c>
      <c r="D391" s="2">
        <f>VLOOKUP(B391,Products!$A$2:$D$201,3,FALSE())</f>
        <v/>
      </c>
      <c r="E391" s="2">
        <f>C391*D391</f>
        <v/>
      </c>
      <c r="F391" s="2">
        <f>C391*INDEX(Products!$D$2:$D$201,MATCH(B391,Products!$A$2:$A$201,0))</f>
        <v/>
      </c>
      <c r="G391" s="2">
        <f>E391-F391</f>
        <v/>
      </c>
    </row>
    <row r="392" ht="15" customHeight="1" s="1">
      <c r="A392" s="2" t="n">
        <v>50390</v>
      </c>
      <c r="B392" s="2" t="inlineStr">
        <is>
          <t>SKU-0094</t>
        </is>
      </c>
      <c r="C392" s="2" t="n">
        <v>19</v>
      </c>
      <c r="D392" s="2">
        <f>VLOOKUP(B392,Products!$A$2:$D$201,3,FALSE())</f>
        <v/>
      </c>
      <c r="E392" s="2">
        <f>C392*D392</f>
        <v/>
      </c>
      <c r="F392" s="2">
        <f>C392*INDEX(Products!$D$2:$D$201,MATCH(B392,Products!$A$2:$A$201,0))</f>
        <v/>
      </c>
      <c r="G392" s="2">
        <f>E392-F392</f>
        <v/>
      </c>
    </row>
    <row r="393" ht="15" customHeight="1" s="1">
      <c r="A393" s="2" t="n">
        <v>50391</v>
      </c>
      <c r="B393" s="2" t="inlineStr">
        <is>
          <t>SKU-0135</t>
        </is>
      </c>
      <c r="C393" s="2" t="n">
        <v>9</v>
      </c>
      <c r="D393" s="2">
        <f>VLOOKUP(B393,Products!$A$2:$D$201,3,FALSE())</f>
        <v/>
      </c>
      <c r="E393" s="2">
        <f>C393*D393</f>
        <v/>
      </c>
      <c r="F393" s="2">
        <f>C393*INDEX(Products!$D$2:$D$201,MATCH(B393,Products!$A$2:$A$201,0))</f>
        <v/>
      </c>
      <c r="G393" s="2">
        <f>E393-F393</f>
        <v/>
      </c>
    </row>
    <row r="394" ht="15" customHeight="1" s="1">
      <c r="A394" s="2" t="n">
        <v>50392</v>
      </c>
      <c r="B394" s="2" t="inlineStr">
        <is>
          <t>SKU-0182</t>
        </is>
      </c>
      <c r="C394" s="2" t="n">
        <v>19</v>
      </c>
      <c r="D394" s="2">
        <f>VLOOKUP(B394,Products!$A$2:$D$201,3,FALSE())</f>
        <v/>
      </c>
      <c r="E394" s="2">
        <f>C394*D394</f>
        <v/>
      </c>
      <c r="F394" s="2">
        <f>C394*INDEX(Products!$D$2:$D$201,MATCH(B394,Products!$A$2:$A$201,0))</f>
        <v/>
      </c>
      <c r="G394" s="2">
        <f>E394-F394</f>
        <v/>
      </c>
    </row>
    <row r="395" ht="15" customHeight="1" s="1">
      <c r="A395" s="2" t="n">
        <v>50393</v>
      </c>
      <c r="B395" s="2" t="inlineStr">
        <is>
          <t>SKU-0152</t>
        </is>
      </c>
      <c r="C395" s="2" t="n">
        <v>13</v>
      </c>
      <c r="D395" s="2">
        <f>VLOOKUP(B395,Products!$A$2:$D$201,3,FALSE())</f>
        <v/>
      </c>
      <c r="E395" s="2">
        <f>C395*D395</f>
        <v/>
      </c>
      <c r="F395" s="2">
        <f>C395*INDEX(Products!$D$2:$D$201,MATCH(B395,Products!$A$2:$A$201,0))</f>
        <v/>
      </c>
      <c r="G395" s="2">
        <f>E395-F395</f>
        <v/>
      </c>
    </row>
    <row r="396" ht="15" customHeight="1" s="1">
      <c r="A396" s="2" t="n">
        <v>50394</v>
      </c>
      <c r="B396" s="2" t="inlineStr">
        <is>
          <t>SKU-0096</t>
        </is>
      </c>
      <c r="C396" s="2" t="n">
        <v>10</v>
      </c>
      <c r="D396" s="2">
        <f>VLOOKUP(B396,Products!$A$2:$D$201,3,FALSE())</f>
        <v/>
      </c>
      <c r="E396" s="2">
        <f>C396*D396</f>
        <v/>
      </c>
      <c r="F396" s="2">
        <f>C396*INDEX(Products!$D$2:$D$201,MATCH(B396,Products!$A$2:$A$201,0))</f>
        <v/>
      </c>
      <c r="G396" s="2">
        <f>E396-F396</f>
        <v/>
      </c>
    </row>
    <row r="397" ht="15" customHeight="1" s="1">
      <c r="A397" s="2" t="n">
        <v>50395</v>
      </c>
      <c r="B397" s="2" t="inlineStr">
        <is>
          <t>SKU-0042</t>
        </is>
      </c>
      <c r="C397" s="2" t="n">
        <v>19</v>
      </c>
      <c r="D397" s="2">
        <f>VLOOKUP(B397,Products!$A$2:$D$201,3,FALSE())</f>
        <v/>
      </c>
      <c r="E397" s="2">
        <f>C397*D397</f>
        <v/>
      </c>
      <c r="F397" s="2">
        <f>C397*INDEX(Products!$D$2:$D$201,MATCH(B397,Products!$A$2:$A$201,0))</f>
        <v/>
      </c>
      <c r="G397" s="2">
        <f>E397-F397</f>
        <v/>
      </c>
    </row>
    <row r="398" ht="15" customHeight="1" s="1">
      <c r="A398" s="2" t="n">
        <v>50396</v>
      </c>
      <c r="B398" s="2" t="inlineStr">
        <is>
          <t>SKU-0174</t>
        </is>
      </c>
      <c r="C398" s="2" t="n">
        <v>3</v>
      </c>
      <c r="D398" s="2">
        <f>VLOOKUP(B398,Products!$A$2:$D$201,3,FALSE())</f>
        <v/>
      </c>
      <c r="E398" s="2">
        <f>C398*D398</f>
        <v/>
      </c>
      <c r="F398" s="2">
        <f>C398*INDEX(Products!$D$2:$D$201,MATCH(B398,Products!$A$2:$A$201,0))</f>
        <v/>
      </c>
      <c r="G398" s="2">
        <f>E398-F398</f>
        <v/>
      </c>
    </row>
    <row r="399" ht="15" customHeight="1" s="1">
      <c r="A399" s="2" t="n">
        <v>50397</v>
      </c>
      <c r="B399" s="2" t="inlineStr">
        <is>
          <t>SKU-0165</t>
        </is>
      </c>
      <c r="C399" s="2" t="n">
        <v>15</v>
      </c>
      <c r="D399" s="2">
        <f>VLOOKUP(B399,Products!$A$2:$D$201,3,FALSE())</f>
        <v/>
      </c>
      <c r="E399" s="2">
        <f>C399*D399</f>
        <v/>
      </c>
      <c r="F399" s="2">
        <f>C399*INDEX(Products!$D$2:$D$201,MATCH(B399,Products!$A$2:$A$201,0))</f>
        <v/>
      </c>
      <c r="G399" s="2">
        <f>E399-F399</f>
        <v/>
      </c>
    </row>
    <row r="400" ht="15" customHeight="1" s="1">
      <c r="A400" s="2" t="n">
        <v>50398</v>
      </c>
      <c r="B400" s="2" t="inlineStr">
        <is>
          <t>SKU-0014</t>
        </is>
      </c>
      <c r="C400" s="2" t="n">
        <v>7</v>
      </c>
      <c r="D400" s="2">
        <f>VLOOKUP(B400,Products!$A$2:$D$201,3,FALSE())</f>
        <v/>
      </c>
      <c r="E400" s="2">
        <f>C400*D400</f>
        <v/>
      </c>
      <c r="F400" s="2">
        <f>C400*INDEX(Products!$D$2:$D$201,MATCH(B400,Products!$A$2:$A$201,0))</f>
        <v/>
      </c>
      <c r="G400" s="2">
        <f>E400-F400</f>
        <v/>
      </c>
    </row>
    <row r="401" ht="15" customHeight="1" s="1">
      <c r="A401" s="2" t="n">
        <v>50399</v>
      </c>
      <c r="B401" s="2" t="inlineStr">
        <is>
          <t>SKU-0135</t>
        </is>
      </c>
      <c r="C401" s="2" t="n">
        <v>20</v>
      </c>
      <c r="D401" s="2">
        <f>VLOOKUP(B401,Products!$A$2:$D$201,3,FALSE())</f>
        <v/>
      </c>
      <c r="E401" s="2">
        <f>C401*D401</f>
        <v/>
      </c>
      <c r="F401" s="2">
        <f>C401*INDEX(Products!$D$2:$D$201,MATCH(B401,Products!$A$2:$A$201,0))</f>
        <v/>
      </c>
      <c r="G401" s="2">
        <f>E401-F401</f>
        <v/>
      </c>
    </row>
    <row r="402" ht="15" customHeight="1" s="1">
      <c r="A402" s="2" t="n">
        <v>50400</v>
      </c>
      <c r="B402" s="2" t="inlineStr">
        <is>
          <t>SKU-0099</t>
        </is>
      </c>
      <c r="C402" s="2" t="n">
        <v>4</v>
      </c>
      <c r="D402" s="2">
        <f>VLOOKUP(B402,Products!$A$2:$D$201,3,FALSE())</f>
        <v/>
      </c>
      <c r="E402" s="2">
        <f>C402*D402</f>
        <v/>
      </c>
      <c r="F402" s="2">
        <f>C402*INDEX(Products!$D$2:$D$201,MATCH(B402,Products!$A$2:$A$201,0))</f>
        <v/>
      </c>
      <c r="G402" s="2">
        <f>E402-F402</f>
        <v/>
      </c>
    </row>
    <row r="403" ht="15" customHeight="1" s="1">
      <c r="A403" s="2" t="n">
        <v>50401</v>
      </c>
      <c r="B403" s="2" t="inlineStr">
        <is>
          <t>SKU-0131</t>
        </is>
      </c>
      <c r="C403" s="2" t="n">
        <v>10</v>
      </c>
      <c r="D403" s="2">
        <f>VLOOKUP(B403,Products!$A$2:$D$201,3,FALSE())</f>
        <v/>
      </c>
      <c r="E403" s="2">
        <f>C403*D403</f>
        <v/>
      </c>
      <c r="F403" s="2">
        <f>C403*INDEX(Products!$D$2:$D$201,MATCH(B403,Products!$A$2:$A$201,0))</f>
        <v/>
      </c>
      <c r="G403" s="2">
        <f>E403-F403</f>
        <v/>
      </c>
    </row>
    <row r="404" ht="15" customHeight="1" s="1">
      <c r="A404" s="2" t="n">
        <v>50402</v>
      </c>
      <c r="B404" s="2" t="inlineStr">
        <is>
          <t>SKU-0141</t>
        </is>
      </c>
      <c r="C404" s="2" t="n">
        <v>12</v>
      </c>
      <c r="D404" s="2">
        <f>VLOOKUP(B404,Products!$A$2:$D$201,3,FALSE())</f>
        <v/>
      </c>
      <c r="E404" s="2">
        <f>C404*D404</f>
        <v/>
      </c>
      <c r="F404" s="2">
        <f>C404*INDEX(Products!$D$2:$D$201,MATCH(B404,Products!$A$2:$A$201,0))</f>
        <v/>
      </c>
      <c r="G404" s="2">
        <f>E404-F404</f>
        <v/>
      </c>
    </row>
    <row r="405" ht="15" customHeight="1" s="1">
      <c r="A405" s="2" t="n">
        <v>50403</v>
      </c>
      <c r="B405" s="2" t="inlineStr">
        <is>
          <t>SKU-0104</t>
        </is>
      </c>
      <c r="C405" s="2" t="n">
        <v>5</v>
      </c>
      <c r="D405" s="2">
        <f>VLOOKUP(B405,Products!$A$2:$D$201,3,FALSE())</f>
        <v/>
      </c>
      <c r="E405" s="2">
        <f>C405*D405</f>
        <v/>
      </c>
      <c r="F405" s="2">
        <f>C405*INDEX(Products!$D$2:$D$201,MATCH(B405,Products!$A$2:$A$201,0))</f>
        <v/>
      </c>
      <c r="G405" s="2">
        <f>E405-F405</f>
        <v/>
      </c>
    </row>
    <row r="406" ht="15" customHeight="1" s="1">
      <c r="A406" s="2" t="n">
        <v>50404</v>
      </c>
      <c r="B406" s="2" t="inlineStr">
        <is>
          <t>SKU-0116</t>
        </is>
      </c>
      <c r="C406" s="2" t="n">
        <v>12</v>
      </c>
      <c r="D406" s="2">
        <f>VLOOKUP(B406,Products!$A$2:$D$201,3,FALSE())</f>
        <v/>
      </c>
      <c r="E406" s="2">
        <f>C406*D406</f>
        <v/>
      </c>
      <c r="F406" s="2">
        <f>C406*INDEX(Products!$D$2:$D$201,MATCH(B406,Products!$A$2:$A$201,0))</f>
        <v/>
      </c>
      <c r="G406" s="2">
        <f>E406-F406</f>
        <v/>
      </c>
    </row>
    <row r="407" ht="15" customHeight="1" s="1">
      <c r="A407" s="2" t="n">
        <v>50405</v>
      </c>
      <c r="B407" s="2" t="inlineStr">
        <is>
          <t>SKU-0016</t>
        </is>
      </c>
      <c r="C407" s="2" t="n">
        <v>16</v>
      </c>
      <c r="D407" s="2">
        <f>VLOOKUP(B407,Products!$A$2:$D$201,3,FALSE())</f>
        <v/>
      </c>
      <c r="E407" s="2">
        <f>C407*D407</f>
        <v/>
      </c>
      <c r="F407" s="2">
        <f>C407*INDEX(Products!$D$2:$D$201,MATCH(B407,Products!$A$2:$A$201,0))</f>
        <v/>
      </c>
      <c r="G407" s="2">
        <f>E407-F407</f>
        <v/>
      </c>
    </row>
    <row r="408" ht="15" customHeight="1" s="1">
      <c r="A408" s="2" t="n">
        <v>50406</v>
      </c>
      <c r="B408" s="2" t="inlineStr">
        <is>
          <t>SKU-0000</t>
        </is>
      </c>
      <c r="C408" s="2" t="n">
        <v>19</v>
      </c>
      <c r="D408" s="2">
        <f>VLOOKUP(B408,Products!$A$2:$D$201,3,FALSE())</f>
        <v/>
      </c>
      <c r="E408" s="2">
        <f>C408*D408</f>
        <v/>
      </c>
      <c r="F408" s="2">
        <f>C408*INDEX(Products!$D$2:$D$201,MATCH(B408,Products!$A$2:$A$201,0))</f>
        <v/>
      </c>
      <c r="G408" s="2">
        <f>E408-F408</f>
        <v/>
      </c>
    </row>
    <row r="409" ht="15" customHeight="1" s="1">
      <c r="A409" s="2" t="n">
        <v>50407</v>
      </c>
      <c r="B409" s="2" t="inlineStr">
        <is>
          <t>SKU-0144</t>
        </is>
      </c>
      <c r="C409" s="2" t="n">
        <v>7</v>
      </c>
      <c r="D409" s="2">
        <f>VLOOKUP(B409,Products!$A$2:$D$201,3,FALSE())</f>
        <v/>
      </c>
      <c r="E409" s="2">
        <f>C409*D409</f>
        <v/>
      </c>
      <c r="F409" s="2">
        <f>C409*INDEX(Products!$D$2:$D$201,MATCH(B409,Products!$A$2:$A$201,0))</f>
        <v/>
      </c>
      <c r="G409" s="2">
        <f>E409-F409</f>
        <v/>
      </c>
    </row>
    <row r="410" ht="15" customHeight="1" s="1">
      <c r="A410" s="2" t="n">
        <v>50408</v>
      </c>
      <c r="B410" s="2" t="inlineStr">
        <is>
          <t>SKU-0145</t>
        </is>
      </c>
      <c r="C410" s="2" t="n">
        <v>15</v>
      </c>
      <c r="D410" s="2">
        <f>VLOOKUP(B410,Products!$A$2:$D$201,3,FALSE())</f>
        <v/>
      </c>
      <c r="E410" s="2">
        <f>C410*D410</f>
        <v/>
      </c>
      <c r="F410" s="2">
        <f>C410*INDEX(Products!$D$2:$D$201,MATCH(B410,Products!$A$2:$A$201,0))</f>
        <v/>
      </c>
      <c r="G410" s="2">
        <f>E410-F410</f>
        <v/>
      </c>
    </row>
    <row r="411" ht="15" customHeight="1" s="1">
      <c r="A411" s="2" t="n">
        <v>50409</v>
      </c>
      <c r="B411" s="2" t="inlineStr">
        <is>
          <t>SKU-0010</t>
        </is>
      </c>
      <c r="C411" s="2" t="n">
        <v>2</v>
      </c>
      <c r="D411" s="2">
        <f>VLOOKUP(B411,Products!$A$2:$D$201,3,FALSE())</f>
        <v/>
      </c>
      <c r="E411" s="2">
        <f>C411*D411</f>
        <v/>
      </c>
      <c r="F411" s="2">
        <f>C411*INDEX(Products!$D$2:$D$201,MATCH(B411,Products!$A$2:$A$201,0))</f>
        <v/>
      </c>
      <c r="G411" s="2">
        <f>E411-F411</f>
        <v/>
      </c>
    </row>
    <row r="412" ht="15" customHeight="1" s="1">
      <c r="A412" s="2" t="n">
        <v>50410</v>
      </c>
      <c r="B412" s="2" t="inlineStr">
        <is>
          <t>SKU-0189</t>
        </is>
      </c>
      <c r="C412" s="2" t="n">
        <v>3</v>
      </c>
      <c r="D412" s="2">
        <f>VLOOKUP(B412,Products!$A$2:$D$201,3,FALSE())</f>
        <v/>
      </c>
      <c r="E412" s="2">
        <f>C412*D412</f>
        <v/>
      </c>
      <c r="F412" s="2">
        <f>C412*INDEX(Products!$D$2:$D$201,MATCH(B412,Products!$A$2:$A$201,0))</f>
        <v/>
      </c>
      <c r="G412" s="2">
        <f>E412-F412</f>
        <v/>
      </c>
    </row>
    <row r="413" ht="15" customHeight="1" s="1">
      <c r="A413" s="2" t="n">
        <v>50411</v>
      </c>
      <c r="B413" s="2" t="inlineStr">
        <is>
          <t>SKU-0029</t>
        </is>
      </c>
      <c r="C413" s="2" t="n">
        <v>11</v>
      </c>
      <c r="D413" s="2">
        <f>VLOOKUP(B413,Products!$A$2:$D$201,3,FALSE())</f>
        <v/>
      </c>
      <c r="E413" s="2">
        <f>C413*D413</f>
        <v/>
      </c>
      <c r="F413" s="2">
        <f>C413*INDEX(Products!$D$2:$D$201,MATCH(B413,Products!$A$2:$A$201,0))</f>
        <v/>
      </c>
      <c r="G413" s="2">
        <f>E413-F413</f>
        <v/>
      </c>
    </row>
    <row r="414" ht="15" customHeight="1" s="1">
      <c r="A414" s="2" t="n">
        <v>50412</v>
      </c>
      <c r="B414" s="2" t="inlineStr">
        <is>
          <t>SKU-0036</t>
        </is>
      </c>
      <c r="C414" s="2" t="n">
        <v>12</v>
      </c>
      <c r="D414" s="2">
        <f>VLOOKUP(B414,Products!$A$2:$D$201,3,FALSE())</f>
        <v/>
      </c>
      <c r="E414" s="2">
        <f>C414*D414</f>
        <v/>
      </c>
      <c r="F414" s="2">
        <f>C414*INDEX(Products!$D$2:$D$201,MATCH(B414,Products!$A$2:$A$201,0))</f>
        <v/>
      </c>
      <c r="G414" s="2">
        <f>E414-F414</f>
        <v/>
      </c>
    </row>
    <row r="415" ht="15" customHeight="1" s="1">
      <c r="A415" s="2" t="n">
        <v>50413</v>
      </c>
      <c r="B415" s="2" t="inlineStr">
        <is>
          <t>SKU-0087</t>
        </is>
      </c>
      <c r="C415" s="2" t="n">
        <v>9</v>
      </c>
      <c r="D415" s="2">
        <f>VLOOKUP(B415,Products!$A$2:$D$201,3,FALSE())</f>
        <v/>
      </c>
      <c r="E415" s="2">
        <f>C415*D415</f>
        <v/>
      </c>
      <c r="F415" s="2">
        <f>C415*INDEX(Products!$D$2:$D$201,MATCH(B415,Products!$A$2:$A$201,0))</f>
        <v/>
      </c>
      <c r="G415" s="2">
        <f>E415-F415</f>
        <v/>
      </c>
    </row>
    <row r="416" ht="15" customHeight="1" s="1">
      <c r="A416" s="2" t="n">
        <v>50414</v>
      </c>
      <c r="B416" s="2" t="inlineStr">
        <is>
          <t>SKU-0070</t>
        </is>
      </c>
      <c r="C416" s="2" t="n">
        <v>16</v>
      </c>
      <c r="D416" s="2">
        <f>VLOOKUP(B416,Products!$A$2:$D$201,3,FALSE())</f>
        <v/>
      </c>
      <c r="E416" s="2">
        <f>C416*D416</f>
        <v/>
      </c>
      <c r="F416" s="2">
        <f>C416*INDEX(Products!$D$2:$D$201,MATCH(B416,Products!$A$2:$A$201,0))</f>
        <v/>
      </c>
      <c r="G416" s="2">
        <f>E416-F416</f>
        <v/>
      </c>
    </row>
    <row r="417" ht="15" customHeight="1" s="1">
      <c r="A417" s="2" t="n">
        <v>50415</v>
      </c>
      <c r="B417" s="2" t="inlineStr">
        <is>
          <t>SKU-0036</t>
        </is>
      </c>
      <c r="C417" s="2" t="n">
        <v>4</v>
      </c>
      <c r="D417" s="2">
        <f>VLOOKUP(B417,Products!$A$2:$D$201,3,FALSE())</f>
        <v/>
      </c>
      <c r="E417" s="2">
        <f>C417*D417</f>
        <v/>
      </c>
      <c r="F417" s="2">
        <f>C417*INDEX(Products!$D$2:$D$201,MATCH(B417,Products!$A$2:$A$201,0))</f>
        <v/>
      </c>
      <c r="G417" s="2">
        <f>E417-F417</f>
        <v/>
      </c>
    </row>
    <row r="418" ht="15" customHeight="1" s="1">
      <c r="A418" s="2" t="n">
        <v>50416</v>
      </c>
      <c r="B418" s="2" t="inlineStr">
        <is>
          <t>SKU-0067</t>
        </is>
      </c>
      <c r="C418" s="2" t="n">
        <v>9</v>
      </c>
      <c r="D418" s="2">
        <f>VLOOKUP(B418,Products!$A$2:$D$201,3,FALSE())</f>
        <v/>
      </c>
      <c r="E418" s="2">
        <f>C418*D418</f>
        <v/>
      </c>
      <c r="F418" s="2">
        <f>C418*INDEX(Products!$D$2:$D$201,MATCH(B418,Products!$A$2:$A$201,0))</f>
        <v/>
      </c>
      <c r="G418" s="2">
        <f>E418-F418</f>
        <v/>
      </c>
    </row>
    <row r="419" ht="15" customHeight="1" s="1">
      <c r="A419" s="2" t="n">
        <v>50417</v>
      </c>
      <c r="B419" s="2" t="inlineStr">
        <is>
          <t>SKU-0006</t>
        </is>
      </c>
      <c r="C419" s="2" t="n">
        <v>9</v>
      </c>
      <c r="D419" s="2">
        <f>VLOOKUP(B419,Products!$A$2:$D$201,3,FALSE())</f>
        <v/>
      </c>
      <c r="E419" s="2">
        <f>C419*D419</f>
        <v/>
      </c>
      <c r="F419" s="2">
        <f>C419*INDEX(Products!$D$2:$D$201,MATCH(B419,Products!$A$2:$A$201,0))</f>
        <v/>
      </c>
      <c r="G419" s="2">
        <f>E419-F419</f>
        <v/>
      </c>
    </row>
    <row r="420" ht="15" customHeight="1" s="1">
      <c r="A420" s="2" t="n">
        <v>50418</v>
      </c>
      <c r="B420" s="2" t="inlineStr">
        <is>
          <t>SKU-0099</t>
        </is>
      </c>
      <c r="C420" s="2" t="n">
        <v>6</v>
      </c>
      <c r="D420" s="2">
        <f>VLOOKUP(B420,Products!$A$2:$D$201,3,FALSE())</f>
        <v/>
      </c>
      <c r="E420" s="2">
        <f>C420*D420</f>
        <v/>
      </c>
      <c r="F420" s="2">
        <f>C420*INDEX(Products!$D$2:$D$201,MATCH(B420,Products!$A$2:$A$201,0))</f>
        <v/>
      </c>
      <c r="G420" s="2">
        <f>E420-F420</f>
        <v/>
      </c>
    </row>
    <row r="421" ht="15" customHeight="1" s="1">
      <c r="A421" s="2" t="n">
        <v>50419</v>
      </c>
      <c r="B421" s="2" t="inlineStr">
        <is>
          <t>SKU-0160</t>
        </is>
      </c>
      <c r="C421" s="2" t="n">
        <v>8</v>
      </c>
      <c r="D421" s="2">
        <f>VLOOKUP(B421,Products!$A$2:$D$201,3,FALSE())</f>
        <v/>
      </c>
      <c r="E421" s="2">
        <f>C421*D421</f>
        <v/>
      </c>
      <c r="F421" s="2">
        <f>C421*INDEX(Products!$D$2:$D$201,MATCH(B421,Products!$A$2:$A$201,0))</f>
        <v/>
      </c>
      <c r="G421" s="2">
        <f>E421-F421</f>
        <v/>
      </c>
    </row>
    <row r="422" ht="15" customHeight="1" s="1">
      <c r="A422" s="2" t="n">
        <v>50420</v>
      </c>
      <c r="B422" s="2" t="inlineStr">
        <is>
          <t>SKU-0179</t>
        </is>
      </c>
      <c r="C422" s="2" t="n">
        <v>9</v>
      </c>
      <c r="D422" s="2">
        <f>VLOOKUP(B422,Products!$A$2:$D$201,3,FALSE())</f>
        <v/>
      </c>
      <c r="E422" s="2">
        <f>C422*D422</f>
        <v/>
      </c>
      <c r="F422" s="2">
        <f>C422*INDEX(Products!$D$2:$D$201,MATCH(B422,Products!$A$2:$A$201,0))</f>
        <v/>
      </c>
      <c r="G422" s="2">
        <f>E422-F422</f>
        <v/>
      </c>
    </row>
    <row r="423" ht="15" customHeight="1" s="1">
      <c r="A423" s="2" t="n">
        <v>50421</v>
      </c>
      <c r="B423" s="2" t="inlineStr">
        <is>
          <t>SKU-0151</t>
        </is>
      </c>
      <c r="C423" s="2" t="n">
        <v>15</v>
      </c>
      <c r="D423" s="2">
        <f>VLOOKUP(B423,Products!$A$2:$D$201,3,FALSE())</f>
        <v/>
      </c>
      <c r="E423" s="2">
        <f>C423*D423</f>
        <v/>
      </c>
      <c r="F423" s="2">
        <f>C423*INDEX(Products!$D$2:$D$201,MATCH(B423,Products!$A$2:$A$201,0))</f>
        <v/>
      </c>
      <c r="G423" s="2">
        <f>E423-F423</f>
        <v/>
      </c>
    </row>
    <row r="424" ht="15" customHeight="1" s="1">
      <c r="A424" s="2" t="n">
        <v>50422</v>
      </c>
      <c r="B424" s="2" t="inlineStr">
        <is>
          <t>SKU-0045</t>
        </is>
      </c>
      <c r="C424" s="2" t="n">
        <v>20</v>
      </c>
      <c r="D424" s="2">
        <f>VLOOKUP(B424,Products!$A$2:$D$201,3,FALSE())</f>
        <v/>
      </c>
      <c r="E424" s="2">
        <f>C424*D424</f>
        <v/>
      </c>
      <c r="F424" s="2">
        <f>C424*INDEX(Products!$D$2:$D$201,MATCH(B424,Products!$A$2:$A$201,0))</f>
        <v/>
      </c>
      <c r="G424" s="2">
        <f>E424-F424</f>
        <v/>
      </c>
    </row>
    <row r="425" ht="15" customHeight="1" s="1">
      <c r="A425" s="2" t="n">
        <v>50423</v>
      </c>
      <c r="B425" s="2" t="inlineStr">
        <is>
          <t>SKU-0035</t>
        </is>
      </c>
      <c r="C425" s="2" t="n">
        <v>19</v>
      </c>
      <c r="D425" s="2">
        <f>VLOOKUP(B425,Products!$A$2:$D$201,3,FALSE())</f>
        <v/>
      </c>
      <c r="E425" s="2">
        <f>C425*D425</f>
        <v/>
      </c>
      <c r="F425" s="2">
        <f>C425*INDEX(Products!$D$2:$D$201,MATCH(B425,Products!$A$2:$A$201,0))</f>
        <v/>
      </c>
      <c r="G425" s="2">
        <f>E425-F425</f>
        <v/>
      </c>
    </row>
    <row r="426" ht="15" customHeight="1" s="1">
      <c r="A426" s="2" t="n">
        <v>50424</v>
      </c>
      <c r="B426" s="2" t="inlineStr">
        <is>
          <t>SKU-0013</t>
        </is>
      </c>
      <c r="C426" s="2" t="n">
        <v>12</v>
      </c>
      <c r="D426" s="2">
        <f>VLOOKUP(B426,Products!$A$2:$D$201,3,FALSE())</f>
        <v/>
      </c>
      <c r="E426" s="2">
        <f>C426*D426</f>
        <v/>
      </c>
      <c r="F426" s="2">
        <f>C426*INDEX(Products!$D$2:$D$201,MATCH(B426,Products!$A$2:$A$201,0))</f>
        <v/>
      </c>
      <c r="G426" s="2">
        <f>E426-F426</f>
        <v/>
      </c>
    </row>
    <row r="427" ht="15" customHeight="1" s="1">
      <c r="A427" s="2" t="n">
        <v>50425</v>
      </c>
      <c r="B427" s="2" t="inlineStr">
        <is>
          <t>SKU-0143</t>
        </is>
      </c>
      <c r="C427" s="2" t="n">
        <v>4</v>
      </c>
      <c r="D427" s="2">
        <f>VLOOKUP(B427,Products!$A$2:$D$201,3,FALSE())</f>
        <v/>
      </c>
      <c r="E427" s="2">
        <f>C427*D427</f>
        <v/>
      </c>
      <c r="F427" s="2">
        <f>C427*INDEX(Products!$D$2:$D$201,MATCH(B427,Products!$A$2:$A$201,0))</f>
        <v/>
      </c>
      <c r="G427" s="2">
        <f>E427-F427</f>
        <v/>
      </c>
    </row>
    <row r="428" ht="15" customHeight="1" s="1">
      <c r="A428" s="2" t="n">
        <v>50426</v>
      </c>
      <c r="B428" s="2" t="inlineStr">
        <is>
          <t>SKU-0002</t>
        </is>
      </c>
      <c r="C428" s="2" t="n">
        <v>15</v>
      </c>
      <c r="D428" s="2">
        <f>VLOOKUP(B428,Products!$A$2:$D$201,3,FALSE())</f>
        <v/>
      </c>
      <c r="E428" s="2">
        <f>C428*D428</f>
        <v/>
      </c>
      <c r="F428" s="2">
        <f>C428*INDEX(Products!$D$2:$D$201,MATCH(B428,Products!$A$2:$A$201,0))</f>
        <v/>
      </c>
      <c r="G428" s="2">
        <f>E428-F428</f>
        <v/>
      </c>
    </row>
    <row r="429" ht="15" customHeight="1" s="1">
      <c r="A429" s="2" t="n">
        <v>50427</v>
      </c>
      <c r="B429" s="2" t="inlineStr">
        <is>
          <t>SKU-0011</t>
        </is>
      </c>
      <c r="C429" s="2" t="n">
        <v>20</v>
      </c>
      <c r="D429" s="2">
        <f>VLOOKUP(B429,Products!$A$2:$D$201,3,FALSE())</f>
        <v/>
      </c>
      <c r="E429" s="2">
        <f>C429*D429</f>
        <v/>
      </c>
      <c r="F429" s="2">
        <f>C429*INDEX(Products!$D$2:$D$201,MATCH(B429,Products!$A$2:$A$201,0))</f>
        <v/>
      </c>
      <c r="G429" s="2">
        <f>E429-F429</f>
        <v/>
      </c>
    </row>
    <row r="430" ht="15" customHeight="1" s="1">
      <c r="A430" s="2" t="n">
        <v>50428</v>
      </c>
      <c r="B430" s="2" t="inlineStr">
        <is>
          <t>SKU-0126</t>
        </is>
      </c>
      <c r="C430" s="2" t="n">
        <v>2</v>
      </c>
      <c r="D430" s="2">
        <f>VLOOKUP(B430,Products!$A$2:$D$201,3,FALSE())</f>
        <v/>
      </c>
      <c r="E430" s="2">
        <f>C430*D430</f>
        <v/>
      </c>
      <c r="F430" s="2">
        <f>C430*INDEX(Products!$D$2:$D$201,MATCH(B430,Products!$A$2:$A$201,0))</f>
        <v/>
      </c>
      <c r="G430" s="2">
        <f>E430-F430</f>
        <v/>
      </c>
    </row>
    <row r="431" ht="15" customHeight="1" s="1">
      <c r="A431" s="2" t="n">
        <v>50429</v>
      </c>
      <c r="B431" s="2" t="inlineStr">
        <is>
          <t>SKU-0006</t>
        </is>
      </c>
      <c r="C431" s="2" t="n">
        <v>19</v>
      </c>
      <c r="D431" s="2">
        <f>VLOOKUP(B431,Products!$A$2:$D$201,3,FALSE())</f>
        <v/>
      </c>
      <c r="E431" s="2">
        <f>C431*D431</f>
        <v/>
      </c>
      <c r="F431" s="2">
        <f>C431*INDEX(Products!$D$2:$D$201,MATCH(B431,Products!$A$2:$A$201,0))</f>
        <v/>
      </c>
      <c r="G431" s="2">
        <f>E431-F431</f>
        <v/>
      </c>
    </row>
    <row r="432" ht="15" customHeight="1" s="1">
      <c r="A432" s="2" t="n">
        <v>50430</v>
      </c>
      <c r="B432" s="2" t="inlineStr">
        <is>
          <t>SKU-0105</t>
        </is>
      </c>
      <c r="C432" s="2" t="n">
        <v>4</v>
      </c>
      <c r="D432" s="2">
        <f>VLOOKUP(B432,Products!$A$2:$D$201,3,FALSE())</f>
        <v/>
      </c>
      <c r="E432" s="2">
        <f>C432*D432</f>
        <v/>
      </c>
      <c r="F432" s="2">
        <f>C432*INDEX(Products!$D$2:$D$201,MATCH(B432,Products!$A$2:$A$201,0))</f>
        <v/>
      </c>
      <c r="G432" s="2">
        <f>E432-F432</f>
        <v/>
      </c>
    </row>
    <row r="433" ht="15" customHeight="1" s="1">
      <c r="A433" s="2" t="n">
        <v>50431</v>
      </c>
      <c r="B433" s="2" t="inlineStr">
        <is>
          <t>SKU-0105</t>
        </is>
      </c>
      <c r="C433" s="2" t="n">
        <v>17</v>
      </c>
      <c r="D433" s="2">
        <f>VLOOKUP(B433,Products!$A$2:$D$201,3,FALSE())</f>
        <v/>
      </c>
      <c r="E433" s="2">
        <f>C433*D433</f>
        <v/>
      </c>
      <c r="F433" s="2">
        <f>C433*INDEX(Products!$D$2:$D$201,MATCH(B433,Products!$A$2:$A$201,0))</f>
        <v/>
      </c>
      <c r="G433" s="2">
        <f>E433-F433</f>
        <v/>
      </c>
    </row>
    <row r="434" ht="15" customHeight="1" s="1">
      <c r="A434" s="2" t="n">
        <v>50432</v>
      </c>
      <c r="B434" s="2" t="inlineStr">
        <is>
          <t>SKU-0156</t>
        </is>
      </c>
      <c r="C434" s="2" t="n">
        <v>15</v>
      </c>
      <c r="D434" s="2">
        <f>VLOOKUP(B434,Products!$A$2:$D$201,3,FALSE())</f>
        <v/>
      </c>
      <c r="E434" s="2">
        <f>C434*D434</f>
        <v/>
      </c>
      <c r="F434" s="2">
        <f>C434*INDEX(Products!$D$2:$D$201,MATCH(B434,Products!$A$2:$A$201,0))</f>
        <v/>
      </c>
      <c r="G434" s="2">
        <f>E434-F434</f>
        <v/>
      </c>
    </row>
    <row r="435" ht="15" customHeight="1" s="1">
      <c r="A435" s="2" t="n">
        <v>50433</v>
      </c>
      <c r="B435" s="2" t="inlineStr">
        <is>
          <t>SKU-0156</t>
        </is>
      </c>
      <c r="C435" s="2" t="n">
        <v>19</v>
      </c>
      <c r="D435" s="2">
        <f>VLOOKUP(B435,Products!$A$2:$D$201,3,FALSE())</f>
        <v/>
      </c>
      <c r="E435" s="2">
        <f>C435*D435</f>
        <v/>
      </c>
      <c r="F435" s="2">
        <f>C435*INDEX(Products!$D$2:$D$201,MATCH(B435,Products!$A$2:$A$201,0))</f>
        <v/>
      </c>
      <c r="G435" s="2">
        <f>E435-F435</f>
        <v/>
      </c>
    </row>
    <row r="436" ht="15" customHeight="1" s="1">
      <c r="A436" s="2" t="n">
        <v>50434</v>
      </c>
      <c r="B436" s="2" t="inlineStr">
        <is>
          <t>SKU-0056</t>
        </is>
      </c>
      <c r="C436" s="2" t="n">
        <v>18</v>
      </c>
      <c r="D436" s="2">
        <f>VLOOKUP(B436,Products!$A$2:$D$201,3,FALSE())</f>
        <v/>
      </c>
      <c r="E436" s="2">
        <f>C436*D436</f>
        <v/>
      </c>
      <c r="F436" s="2">
        <f>C436*INDEX(Products!$D$2:$D$201,MATCH(B436,Products!$A$2:$A$201,0))</f>
        <v/>
      </c>
      <c r="G436" s="2">
        <f>E436-F436</f>
        <v/>
      </c>
    </row>
    <row r="437" ht="15" customHeight="1" s="1">
      <c r="A437" s="2" t="n">
        <v>50435</v>
      </c>
      <c r="B437" s="2" t="inlineStr">
        <is>
          <t>SKU-0178</t>
        </is>
      </c>
      <c r="C437" s="2" t="n">
        <v>4</v>
      </c>
      <c r="D437" s="2">
        <f>VLOOKUP(B437,Products!$A$2:$D$201,3,FALSE())</f>
        <v/>
      </c>
      <c r="E437" s="2">
        <f>C437*D437</f>
        <v/>
      </c>
      <c r="F437" s="2">
        <f>C437*INDEX(Products!$D$2:$D$201,MATCH(B437,Products!$A$2:$A$201,0))</f>
        <v/>
      </c>
      <c r="G437" s="2">
        <f>E437-F437</f>
        <v/>
      </c>
    </row>
    <row r="438" ht="15" customHeight="1" s="1">
      <c r="A438" s="2" t="n">
        <v>50436</v>
      </c>
      <c r="B438" s="2" t="inlineStr">
        <is>
          <t>SKU-0180</t>
        </is>
      </c>
      <c r="C438" s="2" t="n">
        <v>3</v>
      </c>
      <c r="D438" s="2">
        <f>VLOOKUP(B438,Products!$A$2:$D$201,3,FALSE())</f>
        <v/>
      </c>
      <c r="E438" s="2">
        <f>C438*D438</f>
        <v/>
      </c>
      <c r="F438" s="2">
        <f>C438*INDEX(Products!$D$2:$D$201,MATCH(B438,Products!$A$2:$A$201,0))</f>
        <v/>
      </c>
      <c r="G438" s="2">
        <f>E438-F438</f>
        <v/>
      </c>
    </row>
    <row r="439" ht="15" customHeight="1" s="1">
      <c r="A439" s="2" t="n">
        <v>50437</v>
      </c>
      <c r="B439" s="2" t="inlineStr">
        <is>
          <t>SKU-0184</t>
        </is>
      </c>
      <c r="C439" s="2" t="n">
        <v>19</v>
      </c>
      <c r="D439" s="2">
        <f>VLOOKUP(B439,Products!$A$2:$D$201,3,FALSE())</f>
        <v/>
      </c>
      <c r="E439" s="2">
        <f>C439*D439</f>
        <v/>
      </c>
      <c r="F439" s="2">
        <f>C439*INDEX(Products!$D$2:$D$201,MATCH(B439,Products!$A$2:$A$201,0))</f>
        <v/>
      </c>
      <c r="G439" s="2">
        <f>E439-F439</f>
        <v/>
      </c>
    </row>
    <row r="440" ht="15" customHeight="1" s="1">
      <c r="A440" s="2" t="n">
        <v>50438</v>
      </c>
      <c r="B440" s="2" t="inlineStr">
        <is>
          <t>SKU-0023</t>
        </is>
      </c>
      <c r="C440" s="2" t="n">
        <v>2</v>
      </c>
      <c r="D440" s="2">
        <f>VLOOKUP(B440,Products!$A$2:$D$201,3,FALSE())</f>
        <v/>
      </c>
      <c r="E440" s="2">
        <f>C440*D440</f>
        <v/>
      </c>
      <c r="F440" s="2">
        <f>C440*INDEX(Products!$D$2:$D$201,MATCH(B440,Products!$A$2:$A$201,0))</f>
        <v/>
      </c>
      <c r="G440" s="2">
        <f>E440-F440</f>
        <v/>
      </c>
    </row>
    <row r="441" ht="15" customHeight="1" s="1">
      <c r="A441" s="2" t="n">
        <v>50439</v>
      </c>
      <c r="B441" s="2" t="inlineStr">
        <is>
          <t>SKU-0017</t>
        </is>
      </c>
      <c r="C441" s="2" t="n">
        <v>15</v>
      </c>
      <c r="D441" s="2">
        <f>VLOOKUP(B441,Products!$A$2:$D$201,3,FALSE())</f>
        <v/>
      </c>
      <c r="E441" s="2">
        <f>C441*D441</f>
        <v/>
      </c>
      <c r="F441" s="2">
        <f>C441*INDEX(Products!$D$2:$D$201,MATCH(B441,Products!$A$2:$A$201,0))</f>
        <v/>
      </c>
      <c r="G441" s="2">
        <f>E441-F441</f>
        <v/>
      </c>
    </row>
    <row r="442" ht="15" customHeight="1" s="1">
      <c r="A442" s="2" t="n">
        <v>50440</v>
      </c>
      <c r="B442" s="2" t="inlineStr">
        <is>
          <t>SKU-0077</t>
        </is>
      </c>
      <c r="C442" s="2" t="n">
        <v>17</v>
      </c>
      <c r="D442" s="2">
        <f>VLOOKUP(B442,Products!$A$2:$D$201,3,FALSE())</f>
        <v/>
      </c>
      <c r="E442" s="2">
        <f>C442*D442</f>
        <v/>
      </c>
      <c r="F442" s="2">
        <f>C442*INDEX(Products!$D$2:$D$201,MATCH(B442,Products!$A$2:$A$201,0))</f>
        <v/>
      </c>
      <c r="G442" s="2">
        <f>E442-F442</f>
        <v/>
      </c>
    </row>
    <row r="443" ht="15" customHeight="1" s="1">
      <c r="A443" s="2" t="n">
        <v>50441</v>
      </c>
      <c r="B443" s="2" t="inlineStr">
        <is>
          <t>SKU-0138</t>
        </is>
      </c>
      <c r="C443" s="2" t="n">
        <v>3</v>
      </c>
      <c r="D443" s="2">
        <f>VLOOKUP(B443,Products!$A$2:$D$201,3,FALSE())</f>
        <v/>
      </c>
      <c r="E443" s="2">
        <f>C443*D443</f>
        <v/>
      </c>
      <c r="F443" s="2">
        <f>C443*INDEX(Products!$D$2:$D$201,MATCH(B443,Products!$A$2:$A$201,0))</f>
        <v/>
      </c>
      <c r="G443" s="2">
        <f>E443-F443</f>
        <v/>
      </c>
    </row>
    <row r="444" ht="15" customHeight="1" s="1">
      <c r="A444" s="2" t="n">
        <v>50442</v>
      </c>
      <c r="B444" s="2" t="inlineStr">
        <is>
          <t>SKU-0164</t>
        </is>
      </c>
      <c r="C444" s="2" t="n">
        <v>9</v>
      </c>
      <c r="D444" s="2">
        <f>VLOOKUP(B444,Products!$A$2:$D$201,3,FALSE())</f>
        <v/>
      </c>
      <c r="E444" s="2">
        <f>C444*D444</f>
        <v/>
      </c>
      <c r="F444" s="2">
        <f>C444*INDEX(Products!$D$2:$D$201,MATCH(B444,Products!$A$2:$A$201,0))</f>
        <v/>
      </c>
      <c r="G444" s="2">
        <f>E444-F444</f>
        <v/>
      </c>
    </row>
    <row r="445" ht="15" customHeight="1" s="1">
      <c r="A445" s="2" t="n">
        <v>50443</v>
      </c>
      <c r="B445" s="2" t="inlineStr">
        <is>
          <t>SKU-0030</t>
        </is>
      </c>
      <c r="C445" s="2" t="n">
        <v>13</v>
      </c>
      <c r="D445" s="2">
        <f>VLOOKUP(B445,Products!$A$2:$D$201,3,FALSE())</f>
        <v/>
      </c>
      <c r="E445" s="2">
        <f>C445*D445</f>
        <v/>
      </c>
      <c r="F445" s="2">
        <f>C445*INDEX(Products!$D$2:$D$201,MATCH(B445,Products!$A$2:$A$201,0))</f>
        <v/>
      </c>
      <c r="G445" s="2">
        <f>E445-F445</f>
        <v/>
      </c>
    </row>
    <row r="446" ht="15" customHeight="1" s="1">
      <c r="A446" s="2" t="n">
        <v>50444</v>
      </c>
      <c r="B446" s="2" t="inlineStr">
        <is>
          <t>SKU-0193</t>
        </is>
      </c>
      <c r="C446" s="2" t="n">
        <v>10</v>
      </c>
      <c r="D446" s="2">
        <f>VLOOKUP(B446,Products!$A$2:$D$201,3,FALSE())</f>
        <v/>
      </c>
      <c r="E446" s="2">
        <f>C446*D446</f>
        <v/>
      </c>
      <c r="F446" s="2">
        <f>C446*INDEX(Products!$D$2:$D$201,MATCH(B446,Products!$A$2:$A$201,0))</f>
        <v/>
      </c>
      <c r="G446" s="2">
        <f>E446-F446</f>
        <v/>
      </c>
    </row>
    <row r="447" ht="15" customHeight="1" s="1">
      <c r="A447" s="2" t="n">
        <v>50445</v>
      </c>
      <c r="B447" s="2" t="inlineStr">
        <is>
          <t>SKU-0066</t>
        </is>
      </c>
      <c r="C447" s="2" t="n">
        <v>15</v>
      </c>
      <c r="D447" s="2">
        <f>VLOOKUP(B447,Products!$A$2:$D$201,3,FALSE())</f>
        <v/>
      </c>
      <c r="E447" s="2">
        <f>C447*D447</f>
        <v/>
      </c>
      <c r="F447" s="2">
        <f>C447*INDEX(Products!$D$2:$D$201,MATCH(B447,Products!$A$2:$A$201,0))</f>
        <v/>
      </c>
      <c r="G447" s="2">
        <f>E447-F447</f>
        <v/>
      </c>
    </row>
    <row r="448" ht="15" customHeight="1" s="1">
      <c r="A448" s="2" t="n">
        <v>50446</v>
      </c>
      <c r="B448" s="2" t="inlineStr">
        <is>
          <t>SKU-0076</t>
        </is>
      </c>
      <c r="C448" s="2" t="n">
        <v>10</v>
      </c>
      <c r="D448" s="2">
        <f>VLOOKUP(B448,Products!$A$2:$D$201,3,FALSE())</f>
        <v/>
      </c>
      <c r="E448" s="2">
        <f>C448*D448</f>
        <v/>
      </c>
      <c r="F448" s="2">
        <f>C448*INDEX(Products!$D$2:$D$201,MATCH(B448,Products!$A$2:$A$201,0))</f>
        <v/>
      </c>
      <c r="G448" s="2">
        <f>E448-F448</f>
        <v/>
      </c>
    </row>
    <row r="449" ht="15" customHeight="1" s="1">
      <c r="A449" s="2" t="n">
        <v>50447</v>
      </c>
      <c r="B449" s="2" t="inlineStr">
        <is>
          <t>SKU-0000</t>
        </is>
      </c>
      <c r="C449" s="2" t="n">
        <v>11</v>
      </c>
      <c r="D449" s="2">
        <f>VLOOKUP(B449,Products!$A$2:$D$201,3,FALSE())</f>
        <v/>
      </c>
      <c r="E449" s="2">
        <f>C449*D449</f>
        <v/>
      </c>
      <c r="F449" s="2">
        <f>C449*INDEX(Products!$D$2:$D$201,MATCH(B449,Products!$A$2:$A$201,0))</f>
        <v/>
      </c>
      <c r="G449" s="2">
        <f>E449-F449</f>
        <v/>
      </c>
    </row>
    <row r="450" ht="15" customHeight="1" s="1">
      <c r="A450" s="2" t="n">
        <v>50448</v>
      </c>
      <c r="B450" s="2" t="inlineStr">
        <is>
          <t>SKU-0132</t>
        </is>
      </c>
      <c r="C450" s="2" t="n">
        <v>16</v>
      </c>
      <c r="D450" s="2">
        <f>VLOOKUP(B450,Products!$A$2:$D$201,3,FALSE())</f>
        <v/>
      </c>
      <c r="E450" s="2">
        <f>C450*D450</f>
        <v/>
      </c>
      <c r="F450" s="2">
        <f>C450*INDEX(Products!$D$2:$D$201,MATCH(B450,Products!$A$2:$A$201,0))</f>
        <v/>
      </c>
      <c r="G450" s="2">
        <f>E450-F450</f>
        <v/>
      </c>
    </row>
    <row r="451" ht="15" customHeight="1" s="1">
      <c r="A451" s="2" t="n">
        <v>50449</v>
      </c>
      <c r="B451" s="2" t="inlineStr">
        <is>
          <t>SKU-0119</t>
        </is>
      </c>
      <c r="C451" s="2" t="n">
        <v>13</v>
      </c>
      <c r="D451" s="2">
        <f>VLOOKUP(B451,Products!$A$2:$D$201,3,FALSE())</f>
        <v/>
      </c>
      <c r="E451" s="2">
        <f>C451*D451</f>
        <v/>
      </c>
      <c r="F451" s="2">
        <f>C451*INDEX(Products!$D$2:$D$201,MATCH(B451,Products!$A$2:$A$201,0))</f>
        <v/>
      </c>
      <c r="G451" s="2">
        <f>E451-F451</f>
        <v/>
      </c>
    </row>
    <row r="452" ht="15" customHeight="1" s="1">
      <c r="A452" s="2" t="n">
        <v>50450</v>
      </c>
      <c r="B452" s="2" t="inlineStr">
        <is>
          <t>SKU-0039</t>
        </is>
      </c>
      <c r="C452" s="2" t="n">
        <v>7</v>
      </c>
      <c r="D452" s="2">
        <f>VLOOKUP(B452,Products!$A$2:$D$201,3,FALSE())</f>
        <v/>
      </c>
      <c r="E452" s="2">
        <f>C452*D452</f>
        <v/>
      </c>
      <c r="F452" s="2">
        <f>C452*INDEX(Products!$D$2:$D$201,MATCH(B452,Products!$A$2:$A$201,0))</f>
        <v/>
      </c>
      <c r="G452" s="2">
        <f>E452-F452</f>
        <v/>
      </c>
    </row>
    <row r="453" ht="15" customHeight="1" s="1">
      <c r="A453" s="2" t="n">
        <v>50451</v>
      </c>
      <c r="B453" s="2" t="inlineStr">
        <is>
          <t>SKU-0067</t>
        </is>
      </c>
      <c r="C453" s="2" t="n">
        <v>11</v>
      </c>
      <c r="D453" s="2">
        <f>VLOOKUP(B453,Products!$A$2:$D$201,3,FALSE())</f>
        <v/>
      </c>
      <c r="E453" s="2">
        <f>C453*D453</f>
        <v/>
      </c>
      <c r="F453" s="2">
        <f>C453*INDEX(Products!$D$2:$D$201,MATCH(B453,Products!$A$2:$A$201,0))</f>
        <v/>
      </c>
      <c r="G453" s="2">
        <f>E453-F453</f>
        <v/>
      </c>
    </row>
    <row r="454" ht="15" customHeight="1" s="1">
      <c r="A454" s="2" t="n">
        <v>50452</v>
      </c>
      <c r="B454" s="2" t="inlineStr">
        <is>
          <t>SKU-0156</t>
        </is>
      </c>
      <c r="C454" s="2" t="n">
        <v>7</v>
      </c>
      <c r="D454" s="2">
        <f>VLOOKUP(B454,Products!$A$2:$D$201,3,FALSE())</f>
        <v/>
      </c>
      <c r="E454" s="2">
        <f>C454*D454</f>
        <v/>
      </c>
      <c r="F454" s="2">
        <f>C454*INDEX(Products!$D$2:$D$201,MATCH(B454,Products!$A$2:$A$201,0))</f>
        <v/>
      </c>
      <c r="G454" s="2">
        <f>E454-F454</f>
        <v/>
      </c>
    </row>
    <row r="455" ht="15" customHeight="1" s="1">
      <c r="A455" s="2" t="n">
        <v>50453</v>
      </c>
      <c r="B455" s="2" t="inlineStr">
        <is>
          <t>SKU-0117</t>
        </is>
      </c>
      <c r="C455" s="2" t="n">
        <v>3</v>
      </c>
      <c r="D455" s="2">
        <f>VLOOKUP(B455,Products!$A$2:$D$201,3,FALSE())</f>
        <v/>
      </c>
      <c r="E455" s="2">
        <f>C455*D455</f>
        <v/>
      </c>
      <c r="F455" s="2">
        <f>C455*INDEX(Products!$D$2:$D$201,MATCH(B455,Products!$A$2:$A$201,0))</f>
        <v/>
      </c>
      <c r="G455" s="2">
        <f>E455-F455</f>
        <v/>
      </c>
    </row>
    <row r="456" ht="15" customHeight="1" s="1">
      <c r="A456" s="2" t="n">
        <v>50454</v>
      </c>
      <c r="B456" s="2" t="inlineStr">
        <is>
          <t>SKU-0038</t>
        </is>
      </c>
      <c r="C456" s="2" t="n">
        <v>12</v>
      </c>
      <c r="D456" s="2">
        <f>VLOOKUP(B456,Products!$A$2:$D$201,3,FALSE())</f>
        <v/>
      </c>
      <c r="E456" s="2">
        <f>C456*D456</f>
        <v/>
      </c>
      <c r="F456" s="2">
        <f>C456*INDEX(Products!$D$2:$D$201,MATCH(B456,Products!$A$2:$A$201,0))</f>
        <v/>
      </c>
      <c r="G456" s="2">
        <f>E456-F456</f>
        <v/>
      </c>
    </row>
    <row r="457" ht="15" customHeight="1" s="1">
      <c r="A457" s="2" t="n">
        <v>50455</v>
      </c>
      <c r="B457" s="2" t="inlineStr">
        <is>
          <t>SKU-0020</t>
        </is>
      </c>
      <c r="C457" s="2" t="n">
        <v>14</v>
      </c>
      <c r="D457" s="2">
        <f>VLOOKUP(B457,Products!$A$2:$D$201,3,FALSE())</f>
        <v/>
      </c>
      <c r="E457" s="2">
        <f>C457*D457</f>
        <v/>
      </c>
      <c r="F457" s="2">
        <f>C457*INDEX(Products!$D$2:$D$201,MATCH(B457,Products!$A$2:$A$201,0))</f>
        <v/>
      </c>
      <c r="G457" s="2">
        <f>E457-F457</f>
        <v/>
      </c>
    </row>
    <row r="458" ht="15" customHeight="1" s="1">
      <c r="A458" s="2" t="n">
        <v>50456</v>
      </c>
      <c r="B458" s="2" t="inlineStr">
        <is>
          <t>SKU-0112</t>
        </is>
      </c>
      <c r="C458" s="2" t="n">
        <v>20</v>
      </c>
      <c r="D458" s="2">
        <f>VLOOKUP(B458,Products!$A$2:$D$201,3,FALSE())</f>
        <v/>
      </c>
      <c r="E458" s="2">
        <f>C458*D458</f>
        <v/>
      </c>
      <c r="F458" s="2">
        <f>C458*INDEX(Products!$D$2:$D$201,MATCH(B458,Products!$A$2:$A$201,0))</f>
        <v/>
      </c>
      <c r="G458" s="2">
        <f>E458-F458</f>
        <v/>
      </c>
    </row>
    <row r="459" ht="15" customHeight="1" s="1">
      <c r="A459" s="2" t="n">
        <v>50457</v>
      </c>
      <c r="B459" s="2" t="inlineStr">
        <is>
          <t>SKU-0132</t>
        </is>
      </c>
      <c r="C459" s="2" t="n">
        <v>13</v>
      </c>
      <c r="D459" s="2">
        <f>VLOOKUP(B459,Products!$A$2:$D$201,3,FALSE())</f>
        <v/>
      </c>
      <c r="E459" s="2">
        <f>C459*D459</f>
        <v/>
      </c>
      <c r="F459" s="2">
        <f>C459*INDEX(Products!$D$2:$D$201,MATCH(B459,Products!$A$2:$A$201,0))</f>
        <v/>
      </c>
      <c r="G459" s="2">
        <f>E459-F459</f>
        <v/>
      </c>
    </row>
    <row r="460" ht="15" customHeight="1" s="1">
      <c r="A460" s="2" t="n">
        <v>50458</v>
      </c>
      <c r="B460" s="2" t="inlineStr">
        <is>
          <t>SKU-0044</t>
        </is>
      </c>
      <c r="C460" s="2" t="n">
        <v>7</v>
      </c>
      <c r="D460" s="2">
        <f>VLOOKUP(B460,Products!$A$2:$D$201,3,FALSE())</f>
        <v/>
      </c>
      <c r="E460" s="2">
        <f>C460*D460</f>
        <v/>
      </c>
      <c r="F460" s="2">
        <f>C460*INDEX(Products!$D$2:$D$201,MATCH(B460,Products!$A$2:$A$201,0))</f>
        <v/>
      </c>
      <c r="G460" s="2">
        <f>E460-F460</f>
        <v/>
      </c>
    </row>
    <row r="461" ht="15" customHeight="1" s="1">
      <c r="A461" s="2" t="n">
        <v>50459</v>
      </c>
      <c r="B461" s="2" t="inlineStr">
        <is>
          <t>SKU-0035</t>
        </is>
      </c>
      <c r="C461" s="2" t="n">
        <v>16</v>
      </c>
      <c r="D461" s="2">
        <f>VLOOKUP(B461,Products!$A$2:$D$201,3,FALSE())</f>
        <v/>
      </c>
      <c r="E461" s="2">
        <f>C461*D461</f>
        <v/>
      </c>
      <c r="F461" s="2">
        <f>C461*INDEX(Products!$D$2:$D$201,MATCH(B461,Products!$A$2:$A$201,0))</f>
        <v/>
      </c>
      <c r="G461" s="2">
        <f>E461-F461</f>
        <v/>
      </c>
    </row>
    <row r="462" ht="15" customHeight="1" s="1">
      <c r="A462" s="2" t="n">
        <v>50460</v>
      </c>
      <c r="B462" s="2" t="inlineStr">
        <is>
          <t>SKU-0043</t>
        </is>
      </c>
      <c r="C462" s="2" t="n">
        <v>17</v>
      </c>
      <c r="D462" s="2">
        <f>VLOOKUP(B462,Products!$A$2:$D$201,3,FALSE())</f>
        <v/>
      </c>
      <c r="E462" s="2">
        <f>C462*D462</f>
        <v/>
      </c>
      <c r="F462" s="2">
        <f>C462*INDEX(Products!$D$2:$D$201,MATCH(B462,Products!$A$2:$A$201,0))</f>
        <v/>
      </c>
      <c r="G462" s="2">
        <f>E462-F462</f>
        <v/>
      </c>
    </row>
    <row r="463" ht="15" customHeight="1" s="1">
      <c r="A463" s="2" t="n">
        <v>50461</v>
      </c>
      <c r="B463" s="2" t="inlineStr">
        <is>
          <t>SKU-0114</t>
        </is>
      </c>
      <c r="C463" s="2" t="n">
        <v>19</v>
      </c>
      <c r="D463" s="2">
        <f>VLOOKUP(B463,Products!$A$2:$D$201,3,FALSE())</f>
        <v/>
      </c>
      <c r="E463" s="2">
        <f>C463*D463</f>
        <v/>
      </c>
      <c r="F463" s="2">
        <f>C463*INDEX(Products!$D$2:$D$201,MATCH(B463,Products!$A$2:$A$201,0))</f>
        <v/>
      </c>
      <c r="G463" s="2">
        <f>E463-F463</f>
        <v/>
      </c>
    </row>
    <row r="464" ht="15" customHeight="1" s="1">
      <c r="A464" s="2" t="n">
        <v>50462</v>
      </c>
      <c r="B464" s="2" t="inlineStr">
        <is>
          <t>SKU-0088</t>
        </is>
      </c>
      <c r="C464" s="2" t="n">
        <v>1</v>
      </c>
      <c r="D464" s="2">
        <f>VLOOKUP(B464,Products!$A$2:$D$201,3,FALSE())</f>
        <v/>
      </c>
      <c r="E464" s="2">
        <f>C464*D464</f>
        <v/>
      </c>
      <c r="F464" s="2">
        <f>C464*INDEX(Products!$D$2:$D$201,MATCH(B464,Products!$A$2:$A$201,0))</f>
        <v/>
      </c>
      <c r="G464" s="2">
        <f>E464-F464</f>
        <v/>
      </c>
    </row>
    <row r="465" ht="15" customHeight="1" s="1">
      <c r="A465" s="2" t="n">
        <v>50463</v>
      </c>
      <c r="B465" s="2" t="inlineStr">
        <is>
          <t>SKU-0037</t>
        </is>
      </c>
      <c r="C465" s="2" t="n">
        <v>14</v>
      </c>
      <c r="D465" s="2">
        <f>VLOOKUP(B465,Products!$A$2:$D$201,3,FALSE())</f>
        <v/>
      </c>
      <c r="E465" s="2">
        <f>C465*D465</f>
        <v/>
      </c>
      <c r="F465" s="2">
        <f>C465*INDEX(Products!$D$2:$D$201,MATCH(B465,Products!$A$2:$A$201,0))</f>
        <v/>
      </c>
      <c r="G465" s="2">
        <f>E465-F465</f>
        <v/>
      </c>
    </row>
    <row r="466" ht="15" customHeight="1" s="1">
      <c r="A466" s="2" t="n">
        <v>50464</v>
      </c>
      <c r="B466" s="2" t="inlineStr">
        <is>
          <t>SKU-0068</t>
        </is>
      </c>
      <c r="C466" s="2" t="n">
        <v>19</v>
      </c>
      <c r="D466" s="2">
        <f>VLOOKUP(B466,Products!$A$2:$D$201,3,FALSE())</f>
        <v/>
      </c>
      <c r="E466" s="2">
        <f>C466*D466</f>
        <v/>
      </c>
      <c r="F466" s="2">
        <f>C466*INDEX(Products!$D$2:$D$201,MATCH(B466,Products!$A$2:$A$201,0))</f>
        <v/>
      </c>
      <c r="G466" s="2">
        <f>E466-F466</f>
        <v/>
      </c>
    </row>
    <row r="467" ht="15" customHeight="1" s="1">
      <c r="A467" s="2" t="n">
        <v>50465</v>
      </c>
      <c r="B467" s="2" t="inlineStr">
        <is>
          <t>SKU-0126</t>
        </is>
      </c>
      <c r="C467" s="2" t="n">
        <v>17</v>
      </c>
      <c r="D467" s="2">
        <f>VLOOKUP(B467,Products!$A$2:$D$201,3,FALSE())</f>
        <v/>
      </c>
      <c r="E467" s="2">
        <f>C467*D467</f>
        <v/>
      </c>
      <c r="F467" s="2">
        <f>C467*INDEX(Products!$D$2:$D$201,MATCH(B467,Products!$A$2:$A$201,0))</f>
        <v/>
      </c>
      <c r="G467" s="2">
        <f>E467-F467</f>
        <v/>
      </c>
    </row>
    <row r="468" ht="15" customHeight="1" s="1">
      <c r="A468" s="2" t="n">
        <v>50466</v>
      </c>
      <c r="B468" s="2" t="inlineStr">
        <is>
          <t>SKU-0137</t>
        </is>
      </c>
      <c r="C468" s="2" t="n">
        <v>7</v>
      </c>
      <c r="D468" s="2">
        <f>VLOOKUP(B468,Products!$A$2:$D$201,3,FALSE())</f>
        <v/>
      </c>
      <c r="E468" s="2">
        <f>C468*D468</f>
        <v/>
      </c>
      <c r="F468" s="2">
        <f>C468*INDEX(Products!$D$2:$D$201,MATCH(B468,Products!$A$2:$A$201,0))</f>
        <v/>
      </c>
      <c r="G468" s="2">
        <f>E468-F468</f>
        <v/>
      </c>
    </row>
    <row r="469" ht="15" customHeight="1" s="1">
      <c r="A469" s="2" t="n">
        <v>50467</v>
      </c>
      <c r="B469" s="2" t="inlineStr">
        <is>
          <t>SKU-0142</t>
        </is>
      </c>
      <c r="C469" s="2" t="n">
        <v>8</v>
      </c>
      <c r="D469" s="2">
        <f>VLOOKUP(B469,Products!$A$2:$D$201,3,FALSE())</f>
        <v/>
      </c>
      <c r="E469" s="2">
        <f>C469*D469</f>
        <v/>
      </c>
      <c r="F469" s="2">
        <f>C469*INDEX(Products!$D$2:$D$201,MATCH(B469,Products!$A$2:$A$201,0))</f>
        <v/>
      </c>
      <c r="G469" s="2">
        <f>E469-F469</f>
        <v/>
      </c>
    </row>
    <row r="470" ht="15" customHeight="1" s="1">
      <c r="A470" s="2" t="n">
        <v>50468</v>
      </c>
      <c r="B470" s="2" t="inlineStr">
        <is>
          <t>SKU-0169</t>
        </is>
      </c>
      <c r="C470" s="2" t="n">
        <v>6</v>
      </c>
      <c r="D470" s="2">
        <f>VLOOKUP(B470,Products!$A$2:$D$201,3,FALSE())</f>
        <v/>
      </c>
      <c r="E470" s="2">
        <f>C470*D470</f>
        <v/>
      </c>
      <c r="F470" s="2">
        <f>C470*INDEX(Products!$D$2:$D$201,MATCH(B470,Products!$A$2:$A$201,0))</f>
        <v/>
      </c>
      <c r="G470" s="2">
        <f>E470-F470</f>
        <v/>
      </c>
    </row>
    <row r="471" ht="15" customHeight="1" s="1">
      <c r="A471" s="2" t="n">
        <v>50469</v>
      </c>
      <c r="B471" s="2" t="inlineStr">
        <is>
          <t>SKU-0107</t>
        </is>
      </c>
      <c r="C471" s="2" t="n">
        <v>18</v>
      </c>
      <c r="D471" s="2">
        <f>VLOOKUP(B471,Products!$A$2:$D$201,3,FALSE())</f>
        <v/>
      </c>
      <c r="E471" s="2">
        <f>C471*D471</f>
        <v/>
      </c>
      <c r="F471" s="2">
        <f>C471*INDEX(Products!$D$2:$D$201,MATCH(B471,Products!$A$2:$A$201,0))</f>
        <v/>
      </c>
      <c r="G471" s="2">
        <f>E471-F471</f>
        <v/>
      </c>
    </row>
    <row r="472" ht="15" customHeight="1" s="1">
      <c r="A472" s="2" t="n">
        <v>50470</v>
      </c>
      <c r="B472" s="2" t="inlineStr">
        <is>
          <t>SKU-0064</t>
        </is>
      </c>
      <c r="C472" s="2" t="n">
        <v>11</v>
      </c>
      <c r="D472" s="2">
        <f>VLOOKUP(B472,Products!$A$2:$D$201,3,FALSE())</f>
        <v/>
      </c>
      <c r="E472" s="2">
        <f>C472*D472</f>
        <v/>
      </c>
      <c r="F472" s="2">
        <f>C472*INDEX(Products!$D$2:$D$201,MATCH(B472,Products!$A$2:$A$201,0))</f>
        <v/>
      </c>
      <c r="G472" s="2">
        <f>E472-F472</f>
        <v/>
      </c>
    </row>
    <row r="473" ht="15" customHeight="1" s="1">
      <c r="A473" s="2" t="n">
        <v>50471</v>
      </c>
      <c r="B473" s="2" t="inlineStr">
        <is>
          <t>SKU-0075</t>
        </is>
      </c>
      <c r="C473" s="2" t="n">
        <v>20</v>
      </c>
      <c r="D473" s="2">
        <f>VLOOKUP(B473,Products!$A$2:$D$201,3,FALSE())</f>
        <v/>
      </c>
      <c r="E473" s="2">
        <f>C473*D473</f>
        <v/>
      </c>
      <c r="F473" s="2">
        <f>C473*INDEX(Products!$D$2:$D$201,MATCH(B473,Products!$A$2:$A$201,0))</f>
        <v/>
      </c>
      <c r="G473" s="2">
        <f>E473-F473</f>
        <v/>
      </c>
    </row>
    <row r="474" ht="15" customHeight="1" s="1">
      <c r="A474" s="2" t="n">
        <v>50472</v>
      </c>
      <c r="B474" s="2" t="inlineStr">
        <is>
          <t>SKU-0027</t>
        </is>
      </c>
      <c r="C474" s="2" t="n">
        <v>7</v>
      </c>
      <c r="D474" s="2">
        <f>VLOOKUP(B474,Products!$A$2:$D$201,3,FALSE())</f>
        <v/>
      </c>
      <c r="E474" s="2">
        <f>C474*D474</f>
        <v/>
      </c>
      <c r="F474" s="2">
        <f>C474*INDEX(Products!$D$2:$D$201,MATCH(B474,Products!$A$2:$A$201,0))</f>
        <v/>
      </c>
      <c r="G474" s="2">
        <f>E474-F474</f>
        <v/>
      </c>
    </row>
    <row r="475" ht="15" customHeight="1" s="1">
      <c r="A475" s="2" t="n">
        <v>50473</v>
      </c>
      <c r="B475" s="2" t="inlineStr">
        <is>
          <t>SKU-0066</t>
        </is>
      </c>
      <c r="C475" s="2" t="n">
        <v>14</v>
      </c>
      <c r="D475" s="2">
        <f>VLOOKUP(B475,Products!$A$2:$D$201,3,FALSE())</f>
        <v/>
      </c>
      <c r="E475" s="2">
        <f>C475*D475</f>
        <v/>
      </c>
      <c r="F475" s="2">
        <f>C475*INDEX(Products!$D$2:$D$201,MATCH(B475,Products!$A$2:$A$201,0))</f>
        <v/>
      </c>
      <c r="G475" s="2">
        <f>E475-F475</f>
        <v/>
      </c>
    </row>
    <row r="476" ht="15" customHeight="1" s="1">
      <c r="A476" s="2" t="n">
        <v>50474</v>
      </c>
      <c r="B476" s="2" t="inlineStr">
        <is>
          <t>SKU-0091</t>
        </is>
      </c>
      <c r="C476" s="2" t="n">
        <v>17</v>
      </c>
      <c r="D476" s="2">
        <f>VLOOKUP(B476,Products!$A$2:$D$201,3,FALSE())</f>
        <v/>
      </c>
      <c r="E476" s="2">
        <f>C476*D476</f>
        <v/>
      </c>
      <c r="F476" s="2">
        <f>C476*INDEX(Products!$D$2:$D$201,MATCH(B476,Products!$A$2:$A$201,0))</f>
        <v/>
      </c>
      <c r="G476" s="2">
        <f>E476-F476</f>
        <v/>
      </c>
    </row>
    <row r="477" ht="15" customHeight="1" s="1">
      <c r="A477" s="2" t="n">
        <v>50475</v>
      </c>
      <c r="B477" s="2" t="inlineStr">
        <is>
          <t>SKU-0067</t>
        </is>
      </c>
      <c r="C477" s="2" t="n">
        <v>16</v>
      </c>
      <c r="D477" s="2">
        <f>VLOOKUP(B477,Products!$A$2:$D$201,3,FALSE())</f>
        <v/>
      </c>
      <c r="E477" s="2">
        <f>C477*D477</f>
        <v/>
      </c>
      <c r="F477" s="2">
        <f>C477*INDEX(Products!$D$2:$D$201,MATCH(B477,Products!$A$2:$A$201,0))</f>
        <v/>
      </c>
      <c r="G477" s="2">
        <f>E477-F477</f>
        <v/>
      </c>
    </row>
    <row r="478" ht="15" customHeight="1" s="1">
      <c r="A478" s="2" t="n">
        <v>50476</v>
      </c>
      <c r="B478" s="2" t="inlineStr">
        <is>
          <t>SKU-0161</t>
        </is>
      </c>
      <c r="C478" s="2" t="n">
        <v>3</v>
      </c>
      <c r="D478" s="2">
        <f>VLOOKUP(B478,Products!$A$2:$D$201,3,FALSE())</f>
        <v/>
      </c>
      <c r="E478" s="2">
        <f>C478*D478</f>
        <v/>
      </c>
      <c r="F478" s="2">
        <f>C478*INDEX(Products!$D$2:$D$201,MATCH(B478,Products!$A$2:$A$201,0))</f>
        <v/>
      </c>
      <c r="G478" s="2">
        <f>E478-F478</f>
        <v/>
      </c>
    </row>
    <row r="479" ht="15" customHeight="1" s="1">
      <c r="A479" s="2" t="n">
        <v>50477</v>
      </c>
      <c r="B479" s="2" t="inlineStr">
        <is>
          <t>SKU-0029</t>
        </is>
      </c>
      <c r="C479" s="2" t="n">
        <v>4</v>
      </c>
      <c r="D479" s="2">
        <f>VLOOKUP(B479,Products!$A$2:$D$201,3,FALSE())</f>
        <v/>
      </c>
      <c r="E479" s="2">
        <f>C479*D479</f>
        <v/>
      </c>
      <c r="F479" s="2">
        <f>C479*INDEX(Products!$D$2:$D$201,MATCH(B479,Products!$A$2:$A$201,0))</f>
        <v/>
      </c>
      <c r="G479" s="2">
        <f>E479-F479</f>
        <v/>
      </c>
    </row>
    <row r="480" ht="15" customHeight="1" s="1">
      <c r="A480" s="2" t="n">
        <v>50478</v>
      </c>
      <c r="B480" s="2" t="inlineStr">
        <is>
          <t>SKU-0086</t>
        </is>
      </c>
      <c r="C480" s="2" t="n">
        <v>4</v>
      </c>
      <c r="D480" s="2">
        <f>VLOOKUP(B480,Products!$A$2:$D$201,3,FALSE())</f>
        <v/>
      </c>
      <c r="E480" s="2">
        <f>C480*D480</f>
        <v/>
      </c>
      <c r="F480" s="2">
        <f>C480*INDEX(Products!$D$2:$D$201,MATCH(B480,Products!$A$2:$A$201,0))</f>
        <v/>
      </c>
      <c r="G480" s="2">
        <f>E480-F480</f>
        <v/>
      </c>
    </row>
    <row r="481" ht="15" customHeight="1" s="1">
      <c r="A481" s="2" t="n">
        <v>50479</v>
      </c>
      <c r="B481" s="2" t="inlineStr">
        <is>
          <t>SKU-0026</t>
        </is>
      </c>
      <c r="C481" s="2" t="n">
        <v>10</v>
      </c>
      <c r="D481" s="2">
        <f>VLOOKUP(B481,Products!$A$2:$D$201,3,FALSE())</f>
        <v/>
      </c>
      <c r="E481" s="2">
        <f>C481*D481</f>
        <v/>
      </c>
      <c r="F481" s="2">
        <f>C481*INDEX(Products!$D$2:$D$201,MATCH(B481,Products!$A$2:$A$201,0))</f>
        <v/>
      </c>
      <c r="G481" s="2">
        <f>E481-F481</f>
        <v/>
      </c>
    </row>
    <row r="482" ht="15" customHeight="1" s="1">
      <c r="A482" s="2" t="n">
        <v>50480</v>
      </c>
      <c r="B482" s="2" t="inlineStr">
        <is>
          <t>SKU-0193</t>
        </is>
      </c>
      <c r="C482" s="2" t="n">
        <v>19</v>
      </c>
      <c r="D482" s="2">
        <f>VLOOKUP(B482,Products!$A$2:$D$201,3,FALSE())</f>
        <v/>
      </c>
      <c r="E482" s="2">
        <f>C482*D482</f>
        <v/>
      </c>
      <c r="F482" s="2">
        <f>C482*INDEX(Products!$D$2:$D$201,MATCH(B482,Products!$A$2:$A$201,0))</f>
        <v/>
      </c>
      <c r="G482" s="2">
        <f>E482-F482</f>
        <v/>
      </c>
    </row>
    <row r="483" ht="15" customHeight="1" s="1">
      <c r="A483" s="2" t="n">
        <v>50481</v>
      </c>
      <c r="B483" s="2" t="inlineStr">
        <is>
          <t>SKU-0045</t>
        </is>
      </c>
      <c r="C483" s="2" t="n">
        <v>2</v>
      </c>
      <c r="D483" s="2">
        <f>VLOOKUP(B483,Products!$A$2:$D$201,3,FALSE())</f>
        <v/>
      </c>
      <c r="E483" s="2">
        <f>C483*D483</f>
        <v/>
      </c>
      <c r="F483" s="2">
        <f>C483*INDEX(Products!$D$2:$D$201,MATCH(B483,Products!$A$2:$A$201,0))</f>
        <v/>
      </c>
      <c r="G483" s="2">
        <f>E483-F483</f>
        <v/>
      </c>
    </row>
    <row r="484" ht="15" customHeight="1" s="1">
      <c r="A484" s="2" t="n">
        <v>50482</v>
      </c>
      <c r="B484" s="2" t="inlineStr">
        <is>
          <t>SKU-0198</t>
        </is>
      </c>
      <c r="C484" s="2" t="n">
        <v>18</v>
      </c>
      <c r="D484" s="2">
        <f>VLOOKUP(B484,Products!$A$2:$D$201,3,FALSE())</f>
        <v/>
      </c>
      <c r="E484" s="2">
        <f>C484*D484</f>
        <v/>
      </c>
      <c r="F484" s="2">
        <f>C484*INDEX(Products!$D$2:$D$201,MATCH(B484,Products!$A$2:$A$201,0))</f>
        <v/>
      </c>
      <c r="G484" s="2">
        <f>E484-F484</f>
        <v/>
      </c>
    </row>
    <row r="485" ht="15" customHeight="1" s="1">
      <c r="A485" s="2" t="n">
        <v>50483</v>
      </c>
      <c r="B485" s="2" t="inlineStr">
        <is>
          <t>SKU-0098</t>
        </is>
      </c>
      <c r="C485" s="2" t="n">
        <v>6</v>
      </c>
      <c r="D485" s="2">
        <f>VLOOKUP(B485,Products!$A$2:$D$201,3,FALSE())</f>
        <v/>
      </c>
      <c r="E485" s="2">
        <f>C485*D485</f>
        <v/>
      </c>
      <c r="F485" s="2">
        <f>C485*INDEX(Products!$D$2:$D$201,MATCH(B485,Products!$A$2:$A$201,0))</f>
        <v/>
      </c>
      <c r="G485" s="2">
        <f>E485-F485</f>
        <v/>
      </c>
    </row>
    <row r="486" ht="15" customHeight="1" s="1">
      <c r="A486" s="2" t="n">
        <v>50484</v>
      </c>
      <c r="B486" s="2" t="inlineStr">
        <is>
          <t>SKU-0162</t>
        </is>
      </c>
      <c r="C486" s="2" t="n">
        <v>11</v>
      </c>
      <c r="D486" s="2">
        <f>VLOOKUP(B486,Products!$A$2:$D$201,3,FALSE())</f>
        <v/>
      </c>
      <c r="E486" s="2">
        <f>C486*D486</f>
        <v/>
      </c>
      <c r="F486" s="2">
        <f>C486*INDEX(Products!$D$2:$D$201,MATCH(B486,Products!$A$2:$A$201,0))</f>
        <v/>
      </c>
      <c r="G486" s="2">
        <f>E486-F486</f>
        <v/>
      </c>
    </row>
    <row r="487" ht="15" customHeight="1" s="1">
      <c r="A487" s="2" t="n">
        <v>50485</v>
      </c>
      <c r="B487" s="2" t="inlineStr">
        <is>
          <t>SKU-0185</t>
        </is>
      </c>
      <c r="C487" s="2" t="n">
        <v>9</v>
      </c>
      <c r="D487" s="2">
        <f>VLOOKUP(B487,Products!$A$2:$D$201,3,FALSE())</f>
        <v/>
      </c>
      <c r="E487" s="2">
        <f>C487*D487</f>
        <v/>
      </c>
      <c r="F487" s="2">
        <f>C487*INDEX(Products!$D$2:$D$201,MATCH(B487,Products!$A$2:$A$201,0))</f>
        <v/>
      </c>
      <c r="G487" s="2">
        <f>E487-F487</f>
        <v/>
      </c>
    </row>
    <row r="488" ht="15" customHeight="1" s="1">
      <c r="A488" s="2" t="n">
        <v>50486</v>
      </c>
      <c r="B488" s="2" t="inlineStr">
        <is>
          <t>SKU-0025</t>
        </is>
      </c>
      <c r="C488" s="2" t="n">
        <v>14</v>
      </c>
      <c r="D488" s="2">
        <f>VLOOKUP(B488,Products!$A$2:$D$201,3,FALSE())</f>
        <v/>
      </c>
      <c r="E488" s="2">
        <f>C488*D488</f>
        <v/>
      </c>
      <c r="F488" s="2">
        <f>C488*INDEX(Products!$D$2:$D$201,MATCH(B488,Products!$A$2:$A$201,0))</f>
        <v/>
      </c>
      <c r="G488" s="2">
        <f>E488-F488</f>
        <v/>
      </c>
    </row>
    <row r="489" ht="15" customHeight="1" s="1">
      <c r="A489" s="2" t="n">
        <v>50487</v>
      </c>
      <c r="B489" s="2" t="inlineStr">
        <is>
          <t>SKU-0084</t>
        </is>
      </c>
      <c r="C489" s="2" t="n">
        <v>4</v>
      </c>
      <c r="D489" s="2">
        <f>VLOOKUP(B489,Products!$A$2:$D$201,3,FALSE())</f>
        <v/>
      </c>
      <c r="E489" s="2">
        <f>C489*D489</f>
        <v/>
      </c>
      <c r="F489" s="2">
        <f>C489*INDEX(Products!$D$2:$D$201,MATCH(B489,Products!$A$2:$A$201,0))</f>
        <v/>
      </c>
      <c r="G489" s="2">
        <f>E489-F489</f>
        <v/>
      </c>
    </row>
    <row r="490" ht="15" customHeight="1" s="1">
      <c r="A490" s="2" t="n">
        <v>50488</v>
      </c>
      <c r="B490" s="2" t="inlineStr">
        <is>
          <t>SKU-0079</t>
        </is>
      </c>
      <c r="C490" s="2" t="n">
        <v>3</v>
      </c>
      <c r="D490" s="2">
        <f>VLOOKUP(B490,Products!$A$2:$D$201,3,FALSE())</f>
        <v/>
      </c>
      <c r="E490" s="2">
        <f>C490*D490</f>
        <v/>
      </c>
      <c r="F490" s="2">
        <f>C490*INDEX(Products!$D$2:$D$201,MATCH(B490,Products!$A$2:$A$201,0))</f>
        <v/>
      </c>
      <c r="G490" s="2">
        <f>E490-F490</f>
        <v/>
      </c>
    </row>
    <row r="491" ht="15" customHeight="1" s="1">
      <c r="A491" s="2" t="n">
        <v>50489</v>
      </c>
      <c r="B491" s="2" t="inlineStr">
        <is>
          <t>SKU-0074</t>
        </is>
      </c>
      <c r="C491" s="2" t="n">
        <v>11</v>
      </c>
      <c r="D491" s="2">
        <f>VLOOKUP(B491,Products!$A$2:$D$201,3,FALSE())</f>
        <v/>
      </c>
      <c r="E491" s="2">
        <f>C491*D491</f>
        <v/>
      </c>
      <c r="F491" s="2">
        <f>C491*INDEX(Products!$D$2:$D$201,MATCH(B491,Products!$A$2:$A$201,0))</f>
        <v/>
      </c>
      <c r="G491" s="2">
        <f>E491-F491</f>
        <v/>
      </c>
    </row>
    <row r="492" ht="15" customHeight="1" s="1">
      <c r="A492" s="2" t="n">
        <v>50490</v>
      </c>
      <c r="B492" s="2" t="inlineStr">
        <is>
          <t>SKU-0105</t>
        </is>
      </c>
      <c r="C492" s="2" t="n">
        <v>14</v>
      </c>
      <c r="D492" s="2">
        <f>VLOOKUP(B492,Products!$A$2:$D$201,3,FALSE())</f>
        <v/>
      </c>
      <c r="E492" s="2">
        <f>C492*D492</f>
        <v/>
      </c>
      <c r="F492" s="2">
        <f>C492*INDEX(Products!$D$2:$D$201,MATCH(B492,Products!$A$2:$A$201,0))</f>
        <v/>
      </c>
      <c r="G492" s="2">
        <f>E492-F492</f>
        <v/>
      </c>
    </row>
    <row r="493" ht="15" customHeight="1" s="1">
      <c r="A493" s="2" t="n">
        <v>50491</v>
      </c>
      <c r="B493" s="2" t="inlineStr">
        <is>
          <t>SKU-0016</t>
        </is>
      </c>
      <c r="C493" s="2" t="n">
        <v>3</v>
      </c>
      <c r="D493" s="2">
        <f>VLOOKUP(B493,Products!$A$2:$D$201,3,FALSE())</f>
        <v/>
      </c>
      <c r="E493" s="2">
        <f>C493*D493</f>
        <v/>
      </c>
      <c r="F493" s="2">
        <f>C493*INDEX(Products!$D$2:$D$201,MATCH(B493,Products!$A$2:$A$201,0))</f>
        <v/>
      </c>
      <c r="G493" s="2">
        <f>E493-F493</f>
        <v/>
      </c>
    </row>
    <row r="494" ht="15" customHeight="1" s="1">
      <c r="A494" s="2" t="n">
        <v>50492</v>
      </c>
      <c r="B494" s="2" t="inlineStr">
        <is>
          <t>SKU-0077</t>
        </is>
      </c>
      <c r="C494" s="2" t="n">
        <v>3</v>
      </c>
      <c r="D494" s="2">
        <f>VLOOKUP(B494,Products!$A$2:$D$201,3,FALSE())</f>
        <v/>
      </c>
      <c r="E494" s="2">
        <f>C494*D494</f>
        <v/>
      </c>
      <c r="F494" s="2">
        <f>C494*INDEX(Products!$D$2:$D$201,MATCH(B494,Products!$A$2:$A$201,0))</f>
        <v/>
      </c>
      <c r="G494" s="2">
        <f>E494-F494</f>
        <v/>
      </c>
    </row>
    <row r="495" ht="15" customHeight="1" s="1">
      <c r="A495" s="2" t="n">
        <v>50493</v>
      </c>
      <c r="B495" s="2" t="inlineStr">
        <is>
          <t>SKU-0046</t>
        </is>
      </c>
      <c r="C495" s="2" t="n">
        <v>2</v>
      </c>
      <c r="D495" s="2">
        <f>VLOOKUP(B495,Products!$A$2:$D$201,3,FALSE())</f>
        <v/>
      </c>
      <c r="E495" s="2">
        <f>C495*D495</f>
        <v/>
      </c>
      <c r="F495" s="2">
        <f>C495*INDEX(Products!$D$2:$D$201,MATCH(B495,Products!$A$2:$A$201,0))</f>
        <v/>
      </c>
      <c r="G495" s="2">
        <f>E495-F495</f>
        <v/>
      </c>
    </row>
    <row r="496" ht="15" customHeight="1" s="1">
      <c r="A496" s="2" t="n">
        <v>50494</v>
      </c>
      <c r="B496" s="2" t="inlineStr">
        <is>
          <t>SKU-0024</t>
        </is>
      </c>
      <c r="C496" s="2" t="n">
        <v>17</v>
      </c>
      <c r="D496" s="2">
        <f>VLOOKUP(B496,Products!$A$2:$D$201,3,FALSE())</f>
        <v/>
      </c>
      <c r="E496" s="2">
        <f>C496*D496</f>
        <v/>
      </c>
      <c r="F496" s="2">
        <f>C496*INDEX(Products!$D$2:$D$201,MATCH(B496,Products!$A$2:$A$201,0))</f>
        <v/>
      </c>
      <c r="G496" s="2">
        <f>E496-F496</f>
        <v/>
      </c>
    </row>
    <row r="497" ht="15" customHeight="1" s="1">
      <c r="A497" s="2" t="n">
        <v>50495</v>
      </c>
      <c r="B497" s="2" t="inlineStr">
        <is>
          <t>SKU-0104</t>
        </is>
      </c>
      <c r="C497" s="2" t="n">
        <v>4</v>
      </c>
      <c r="D497" s="2">
        <f>VLOOKUP(B497,Products!$A$2:$D$201,3,FALSE())</f>
        <v/>
      </c>
      <c r="E497" s="2">
        <f>C497*D497</f>
        <v/>
      </c>
      <c r="F497" s="2">
        <f>C497*INDEX(Products!$D$2:$D$201,MATCH(B497,Products!$A$2:$A$201,0))</f>
        <v/>
      </c>
      <c r="G497" s="2">
        <f>E497-F497</f>
        <v/>
      </c>
    </row>
    <row r="498" ht="15" customHeight="1" s="1">
      <c r="A498" s="2" t="n">
        <v>50496</v>
      </c>
      <c r="B498" s="2" t="inlineStr">
        <is>
          <t>SKU-0118</t>
        </is>
      </c>
      <c r="C498" s="2" t="n">
        <v>14</v>
      </c>
      <c r="D498" s="2">
        <f>VLOOKUP(B498,Products!$A$2:$D$201,3,FALSE())</f>
        <v/>
      </c>
      <c r="E498" s="2">
        <f>C498*D498</f>
        <v/>
      </c>
      <c r="F498" s="2">
        <f>C498*INDEX(Products!$D$2:$D$201,MATCH(B498,Products!$A$2:$A$201,0))</f>
        <v/>
      </c>
      <c r="G498" s="2">
        <f>E498-F498</f>
        <v/>
      </c>
    </row>
    <row r="499" ht="15" customHeight="1" s="1">
      <c r="A499" s="2" t="n">
        <v>50497</v>
      </c>
      <c r="B499" s="2" t="inlineStr">
        <is>
          <t>SKU-0018</t>
        </is>
      </c>
      <c r="C499" s="2" t="n">
        <v>8</v>
      </c>
      <c r="D499" s="2">
        <f>VLOOKUP(B499,Products!$A$2:$D$201,3,FALSE())</f>
        <v/>
      </c>
      <c r="E499" s="2">
        <f>C499*D499</f>
        <v/>
      </c>
      <c r="F499" s="2">
        <f>C499*INDEX(Products!$D$2:$D$201,MATCH(B499,Products!$A$2:$A$201,0))</f>
        <v/>
      </c>
      <c r="G499" s="2">
        <f>E499-F499</f>
        <v/>
      </c>
    </row>
    <row r="500" ht="15" customHeight="1" s="1">
      <c r="A500" s="2" t="n">
        <v>50498</v>
      </c>
      <c r="B500" s="2" t="inlineStr">
        <is>
          <t>SKU-0107</t>
        </is>
      </c>
      <c r="C500" s="2" t="n">
        <v>1</v>
      </c>
      <c r="D500" s="2">
        <f>VLOOKUP(B500,Products!$A$2:$D$201,3,FALSE())</f>
        <v/>
      </c>
      <c r="E500" s="2">
        <f>C500*D500</f>
        <v/>
      </c>
      <c r="F500" s="2">
        <f>C500*INDEX(Products!$D$2:$D$201,MATCH(B500,Products!$A$2:$A$201,0))</f>
        <v/>
      </c>
      <c r="G500" s="2">
        <f>E500-F500</f>
        <v/>
      </c>
    </row>
    <row r="501" ht="15" customHeight="1" s="1">
      <c r="A501" s="2" t="n">
        <v>50499</v>
      </c>
      <c r="B501" s="2" t="inlineStr">
        <is>
          <t>SKU-0144</t>
        </is>
      </c>
      <c r="C501" s="2" t="n">
        <v>18</v>
      </c>
      <c r="D501" s="2">
        <f>VLOOKUP(B501,Products!$A$2:$D$201,3,FALSE())</f>
        <v/>
      </c>
      <c r="E501" s="2">
        <f>C501*D501</f>
        <v/>
      </c>
      <c r="F501" s="2">
        <f>C501*INDEX(Products!$D$2:$D$201,MATCH(B501,Products!$A$2:$A$201,0))</f>
        <v/>
      </c>
      <c r="G501" s="2">
        <f>E501-F501</f>
        <v/>
      </c>
    </row>
    <row r="502" ht="15" customHeight="1" s="1">
      <c r="A502" s="2" t="n">
        <v>50500</v>
      </c>
      <c r="B502" s="2" t="inlineStr">
        <is>
          <t>SKU-0074</t>
        </is>
      </c>
      <c r="C502" s="2" t="n">
        <v>4</v>
      </c>
      <c r="D502" s="2">
        <f>VLOOKUP(B502,Products!$A$2:$D$201,3,FALSE())</f>
        <v/>
      </c>
      <c r="E502" s="2">
        <f>C502*D502</f>
        <v/>
      </c>
      <c r="F502" s="2">
        <f>C502*INDEX(Products!$D$2:$D$201,MATCH(B502,Products!$A$2:$A$201,0))</f>
        <v/>
      </c>
      <c r="G502" s="2">
        <f>E502-F502</f>
        <v/>
      </c>
    </row>
    <row r="503" ht="15" customHeight="1" s="1">
      <c r="A503" s="2" t="n">
        <v>50501</v>
      </c>
      <c r="B503" s="2" t="inlineStr">
        <is>
          <t>SKU-0174</t>
        </is>
      </c>
      <c r="C503" s="2" t="n">
        <v>17</v>
      </c>
      <c r="D503" s="2">
        <f>VLOOKUP(B503,Products!$A$2:$D$201,3,FALSE())</f>
        <v/>
      </c>
      <c r="E503" s="2">
        <f>C503*D503</f>
        <v/>
      </c>
      <c r="F503" s="2">
        <f>C503*INDEX(Products!$D$2:$D$201,MATCH(B503,Products!$A$2:$A$201,0))</f>
        <v/>
      </c>
      <c r="G503" s="2">
        <f>E503-F503</f>
        <v/>
      </c>
    </row>
    <row r="504" ht="15" customHeight="1" s="1">
      <c r="A504" s="2" t="n">
        <v>50502</v>
      </c>
      <c r="B504" s="2" t="inlineStr">
        <is>
          <t>SKU-0082</t>
        </is>
      </c>
      <c r="C504" s="2" t="n">
        <v>12</v>
      </c>
      <c r="D504" s="2">
        <f>VLOOKUP(B504,Products!$A$2:$D$201,3,FALSE())</f>
        <v/>
      </c>
      <c r="E504" s="2">
        <f>C504*D504</f>
        <v/>
      </c>
      <c r="F504" s="2">
        <f>C504*INDEX(Products!$D$2:$D$201,MATCH(B504,Products!$A$2:$A$201,0))</f>
        <v/>
      </c>
      <c r="G504" s="2">
        <f>E504-F504</f>
        <v/>
      </c>
    </row>
    <row r="505" ht="15" customHeight="1" s="1">
      <c r="A505" s="2" t="n">
        <v>50503</v>
      </c>
      <c r="B505" s="2" t="inlineStr">
        <is>
          <t>SKU-0019</t>
        </is>
      </c>
      <c r="C505" s="2" t="n">
        <v>15</v>
      </c>
      <c r="D505" s="2">
        <f>VLOOKUP(B505,Products!$A$2:$D$201,3,FALSE())</f>
        <v/>
      </c>
      <c r="E505" s="2">
        <f>C505*D505</f>
        <v/>
      </c>
      <c r="F505" s="2">
        <f>C505*INDEX(Products!$D$2:$D$201,MATCH(B505,Products!$A$2:$A$201,0))</f>
        <v/>
      </c>
      <c r="G505" s="2">
        <f>E505-F505</f>
        <v/>
      </c>
    </row>
    <row r="506" ht="15" customHeight="1" s="1">
      <c r="A506" s="2" t="n">
        <v>50504</v>
      </c>
      <c r="B506" s="2" t="inlineStr">
        <is>
          <t>SKU-0097</t>
        </is>
      </c>
      <c r="C506" s="2" t="n">
        <v>4</v>
      </c>
      <c r="D506" s="2">
        <f>VLOOKUP(B506,Products!$A$2:$D$201,3,FALSE())</f>
        <v/>
      </c>
      <c r="E506" s="2">
        <f>C506*D506</f>
        <v/>
      </c>
      <c r="F506" s="2">
        <f>C506*INDEX(Products!$D$2:$D$201,MATCH(B506,Products!$A$2:$A$201,0))</f>
        <v/>
      </c>
      <c r="G506" s="2">
        <f>E506-F506</f>
        <v/>
      </c>
    </row>
    <row r="507" ht="15" customHeight="1" s="1">
      <c r="A507" s="2" t="n">
        <v>50505</v>
      </c>
      <c r="B507" s="2" t="inlineStr">
        <is>
          <t>SKU-0043</t>
        </is>
      </c>
      <c r="C507" s="2" t="n">
        <v>8</v>
      </c>
      <c r="D507" s="2">
        <f>VLOOKUP(B507,Products!$A$2:$D$201,3,FALSE())</f>
        <v/>
      </c>
      <c r="E507" s="2">
        <f>C507*D507</f>
        <v/>
      </c>
      <c r="F507" s="2">
        <f>C507*INDEX(Products!$D$2:$D$201,MATCH(B507,Products!$A$2:$A$201,0))</f>
        <v/>
      </c>
      <c r="G507" s="2">
        <f>E507-F507</f>
        <v/>
      </c>
    </row>
    <row r="508" ht="15" customHeight="1" s="1">
      <c r="A508" s="2" t="n">
        <v>50506</v>
      </c>
      <c r="B508" s="2" t="inlineStr">
        <is>
          <t>SKU-0029</t>
        </is>
      </c>
      <c r="C508" s="2" t="n">
        <v>20</v>
      </c>
      <c r="D508" s="2">
        <f>VLOOKUP(B508,Products!$A$2:$D$201,3,FALSE())</f>
        <v/>
      </c>
      <c r="E508" s="2">
        <f>C508*D508</f>
        <v/>
      </c>
      <c r="F508" s="2">
        <f>C508*INDEX(Products!$D$2:$D$201,MATCH(B508,Products!$A$2:$A$201,0))</f>
        <v/>
      </c>
      <c r="G508" s="2">
        <f>E508-F508</f>
        <v/>
      </c>
    </row>
    <row r="509" ht="15" customHeight="1" s="1">
      <c r="A509" s="2" t="n">
        <v>50507</v>
      </c>
      <c r="B509" s="2" t="inlineStr">
        <is>
          <t>SKU-0137</t>
        </is>
      </c>
      <c r="C509" s="2" t="n">
        <v>4</v>
      </c>
      <c r="D509" s="2">
        <f>VLOOKUP(B509,Products!$A$2:$D$201,3,FALSE())</f>
        <v/>
      </c>
      <c r="E509" s="2">
        <f>C509*D509</f>
        <v/>
      </c>
      <c r="F509" s="2">
        <f>C509*INDEX(Products!$D$2:$D$201,MATCH(B509,Products!$A$2:$A$201,0))</f>
        <v/>
      </c>
      <c r="G509" s="2">
        <f>E509-F509</f>
        <v/>
      </c>
    </row>
    <row r="510" ht="15" customHeight="1" s="1">
      <c r="A510" s="2" t="n">
        <v>50508</v>
      </c>
      <c r="B510" s="2" t="inlineStr">
        <is>
          <t>SKU-0021</t>
        </is>
      </c>
      <c r="C510" s="2" t="n">
        <v>18</v>
      </c>
      <c r="D510" s="2">
        <f>VLOOKUP(B510,Products!$A$2:$D$201,3,FALSE())</f>
        <v/>
      </c>
      <c r="E510" s="2">
        <f>C510*D510</f>
        <v/>
      </c>
      <c r="F510" s="2">
        <f>C510*INDEX(Products!$D$2:$D$201,MATCH(B510,Products!$A$2:$A$201,0))</f>
        <v/>
      </c>
      <c r="G510" s="2">
        <f>E510-F510</f>
        <v/>
      </c>
    </row>
    <row r="511" ht="15" customHeight="1" s="1">
      <c r="A511" s="2" t="n">
        <v>50509</v>
      </c>
      <c r="B511" s="2" t="inlineStr">
        <is>
          <t>SKU-0097</t>
        </is>
      </c>
      <c r="C511" s="2" t="n">
        <v>14</v>
      </c>
      <c r="D511" s="2">
        <f>VLOOKUP(B511,Products!$A$2:$D$201,3,FALSE())</f>
        <v/>
      </c>
      <c r="E511" s="2">
        <f>C511*D511</f>
        <v/>
      </c>
      <c r="F511" s="2">
        <f>C511*INDEX(Products!$D$2:$D$201,MATCH(B511,Products!$A$2:$A$201,0))</f>
        <v/>
      </c>
      <c r="G511" s="2">
        <f>E511-F511</f>
        <v/>
      </c>
    </row>
    <row r="512" ht="15" customHeight="1" s="1">
      <c r="A512" s="2" t="n">
        <v>50510</v>
      </c>
      <c r="B512" s="2" t="inlineStr">
        <is>
          <t>SKU-0029</t>
        </is>
      </c>
      <c r="C512" s="2" t="n">
        <v>9</v>
      </c>
      <c r="D512" s="2">
        <f>VLOOKUP(B512,Products!$A$2:$D$201,3,FALSE())</f>
        <v/>
      </c>
      <c r="E512" s="2">
        <f>C512*D512</f>
        <v/>
      </c>
      <c r="F512" s="2">
        <f>C512*INDEX(Products!$D$2:$D$201,MATCH(B512,Products!$A$2:$A$201,0))</f>
        <v/>
      </c>
      <c r="G512" s="2">
        <f>E512-F512</f>
        <v/>
      </c>
    </row>
    <row r="513" ht="15" customHeight="1" s="1">
      <c r="A513" s="2" t="n">
        <v>50511</v>
      </c>
      <c r="B513" s="2" t="inlineStr">
        <is>
          <t>SKU-0078</t>
        </is>
      </c>
      <c r="C513" s="2" t="n">
        <v>18</v>
      </c>
      <c r="D513" s="2">
        <f>VLOOKUP(B513,Products!$A$2:$D$201,3,FALSE())</f>
        <v/>
      </c>
      <c r="E513" s="2">
        <f>C513*D513</f>
        <v/>
      </c>
      <c r="F513" s="2">
        <f>C513*INDEX(Products!$D$2:$D$201,MATCH(B513,Products!$A$2:$A$201,0))</f>
        <v/>
      </c>
      <c r="G513" s="2">
        <f>E513-F513</f>
        <v/>
      </c>
    </row>
    <row r="514" ht="15" customHeight="1" s="1">
      <c r="A514" s="2" t="n">
        <v>50512</v>
      </c>
      <c r="B514" s="2" t="inlineStr">
        <is>
          <t>SKU-0116</t>
        </is>
      </c>
      <c r="C514" s="2" t="n">
        <v>14</v>
      </c>
      <c r="D514" s="2">
        <f>VLOOKUP(B514,Products!$A$2:$D$201,3,FALSE())</f>
        <v/>
      </c>
      <c r="E514" s="2">
        <f>C514*D514</f>
        <v/>
      </c>
      <c r="F514" s="2">
        <f>C514*INDEX(Products!$D$2:$D$201,MATCH(B514,Products!$A$2:$A$201,0))</f>
        <v/>
      </c>
      <c r="G514" s="2">
        <f>E514-F514</f>
        <v/>
      </c>
    </row>
    <row r="515" ht="15" customHeight="1" s="1">
      <c r="A515" s="2" t="n">
        <v>50513</v>
      </c>
      <c r="B515" s="2" t="inlineStr">
        <is>
          <t>SKU-0010</t>
        </is>
      </c>
      <c r="C515" s="2" t="n">
        <v>7</v>
      </c>
      <c r="D515" s="2">
        <f>VLOOKUP(B515,Products!$A$2:$D$201,3,FALSE())</f>
        <v/>
      </c>
      <c r="E515" s="2">
        <f>C515*D515</f>
        <v/>
      </c>
      <c r="F515" s="2">
        <f>C515*INDEX(Products!$D$2:$D$201,MATCH(B515,Products!$A$2:$A$201,0))</f>
        <v/>
      </c>
      <c r="G515" s="2">
        <f>E515-F515</f>
        <v/>
      </c>
    </row>
    <row r="516" ht="15" customHeight="1" s="1">
      <c r="A516" s="2" t="n">
        <v>50514</v>
      </c>
      <c r="B516" s="2" t="inlineStr">
        <is>
          <t>SKU-0131</t>
        </is>
      </c>
      <c r="C516" s="2" t="n">
        <v>5</v>
      </c>
      <c r="D516" s="2">
        <f>VLOOKUP(B516,Products!$A$2:$D$201,3,FALSE())</f>
        <v/>
      </c>
      <c r="E516" s="2">
        <f>C516*D516</f>
        <v/>
      </c>
      <c r="F516" s="2">
        <f>C516*INDEX(Products!$D$2:$D$201,MATCH(B516,Products!$A$2:$A$201,0))</f>
        <v/>
      </c>
      <c r="G516" s="2">
        <f>E516-F516</f>
        <v/>
      </c>
    </row>
    <row r="517" ht="15" customHeight="1" s="1">
      <c r="A517" s="2" t="n">
        <v>50515</v>
      </c>
      <c r="B517" s="2" t="inlineStr">
        <is>
          <t>SKU-0097</t>
        </is>
      </c>
      <c r="C517" s="2" t="n">
        <v>6</v>
      </c>
      <c r="D517" s="2">
        <f>VLOOKUP(B517,Products!$A$2:$D$201,3,FALSE())</f>
        <v/>
      </c>
      <c r="E517" s="2">
        <f>C517*D517</f>
        <v/>
      </c>
      <c r="F517" s="2">
        <f>C517*INDEX(Products!$D$2:$D$201,MATCH(B517,Products!$A$2:$A$201,0))</f>
        <v/>
      </c>
      <c r="G517" s="2">
        <f>E517-F517</f>
        <v/>
      </c>
    </row>
    <row r="518" ht="15" customHeight="1" s="1">
      <c r="A518" s="2" t="n">
        <v>50516</v>
      </c>
      <c r="B518" s="2" t="inlineStr">
        <is>
          <t>SKU-0049</t>
        </is>
      </c>
      <c r="C518" s="2" t="n">
        <v>11</v>
      </c>
      <c r="D518" s="2">
        <f>VLOOKUP(B518,Products!$A$2:$D$201,3,FALSE())</f>
        <v/>
      </c>
      <c r="E518" s="2">
        <f>C518*D518</f>
        <v/>
      </c>
      <c r="F518" s="2">
        <f>C518*INDEX(Products!$D$2:$D$201,MATCH(B518,Products!$A$2:$A$201,0))</f>
        <v/>
      </c>
      <c r="G518" s="2">
        <f>E518-F518</f>
        <v/>
      </c>
    </row>
    <row r="519" ht="15" customHeight="1" s="1">
      <c r="A519" s="2" t="n">
        <v>50517</v>
      </c>
      <c r="B519" s="2" t="inlineStr">
        <is>
          <t>SKU-0182</t>
        </is>
      </c>
      <c r="C519" s="2" t="n">
        <v>17</v>
      </c>
      <c r="D519" s="2">
        <f>VLOOKUP(B519,Products!$A$2:$D$201,3,FALSE())</f>
        <v/>
      </c>
      <c r="E519" s="2">
        <f>C519*D519</f>
        <v/>
      </c>
      <c r="F519" s="2">
        <f>C519*INDEX(Products!$D$2:$D$201,MATCH(B519,Products!$A$2:$A$201,0))</f>
        <v/>
      </c>
      <c r="G519" s="2">
        <f>E519-F519</f>
        <v/>
      </c>
    </row>
    <row r="520" ht="15" customHeight="1" s="1">
      <c r="A520" s="2" t="n">
        <v>50518</v>
      </c>
      <c r="B520" s="2" t="inlineStr">
        <is>
          <t>SKU-0018</t>
        </is>
      </c>
      <c r="C520" s="2" t="n">
        <v>5</v>
      </c>
      <c r="D520" s="2">
        <f>VLOOKUP(B520,Products!$A$2:$D$201,3,FALSE())</f>
        <v/>
      </c>
      <c r="E520" s="2">
        <f>C520*D520</f>
        <v/>
      </c>
      <c r="F520" s="2">
        <f>C520*INDEX(Products!$D$2:$D$201,MATCH(B520,Products!$A$2:$A$201,0))</f>
        <v/>
      </c>
      <c r="G520" s="2">
        <f>E520-F520</f>
        <v/>
      </c>
    </row>
    <row r="521" ht="15" customHeight="1" s="1">
      <c r="A521" s="2" t="n">
        <v>50519</v>
      </c>
      <c r="B521" s="2" t="inlineStr">
        <is>
          <t>SKU-0078</t>
        </is>
      </c>
      <c r="C521" s="2" t="n">
        <v>2</v>
      </c>
      <c r="D521" s="2">
        <f>VLOOKUP(B521,Products!$A$2:$D$201,3,FALSE())</f>
        <v/>
      </c>
      <c r="E521" s="2">
        <f>C521*D521</f>
        <v/>
      </c>
      <c r="F521" s="2">
        <f>C521*INDEX(Products!$D$2:$D$201,MATCH(B521,Products!$A$2:$A$201,0))</f>
        <v/>
      </c>
      <c r="G521" s="2">
        <f>E521-F521</f>
        <v/>
      </c>
    </row>
    <row r="522" ht="15" customHeight="1" s="1">
      <c r="A522" s="2" t="n">
        <v>50520</v>
      </c>
      <c r="B522" s="2" t="inlineStr">
        <is>
          <t>SKU-0164</t>
        </is>
      </c>
      <c r="C522" s="2" t="n">
        <v>15</v>
      </c>
      <c r="D522" s="2">
        <f>VLOOKUP(B522,Products!$A$2:$D$201,3,FALSE())</f>
        <v/>
      </c>
      <c r="E522" s="2">
        <f>C522*D522</f>
        <v/>
      </c>
      <c r="F522" s="2">
        <f>C522*INDEX(Products!$D$2:$D$201,MATCH(B522,Products!$A$2:$A$201,0))</f>
        <v/>
      </c>
      <c r="G522" s="2">
        <f>E522-F522</f>
        <v/>
      </c>
    </row>
    <row r="523" ht="15" customHeight="1" s="1">
      <c r="A523" s="2" t="n">
        <v>50521</v>
      </c>
      <c r="B523" s="2" t="inlineStr">
        <is>
          <t>SKU-0078</t>
        </is>
      </c>
      <c r="C523" s="2" t="n">
        <v>15</v>
      </c>
      <c r="D523" s="2">
        <f>VLOOKUP(B523,Products!$A$2:$D$201,3,FALSE())</f>
        <v/>
      </c>
      <c r="E523" s="2">
        <f>C523*D523</f>
        <v/>
      </c>
      <c r="F523" s="2">
        <f>C523*INDEX(Products!$D$2:$D$201,MATCH(B523,Products!$A$2:$A$201,0))</f>
        <v/>
      </c>
      <c r="G523" s="2">
        <f>E523-F523</f>
        <v/>
      </c>
    </row>
    <row r="524" ht="15" customHeight="1" s="1">
      <c r="A524" s="2" t="n">
        <v>50522</v>
      </c>
      <c r="B524" s="2" t="inlineStr">
        <is>
          <t>SKU-0141</t>
        </is>
      </c>
      <c r="C524" s="2" t="n">
        <v>19</v>
      </c>
      <c r="D524" s="2">
        <f>VLOOKUP(B524,Products!$A$2:$D$201,3,FALSE())</f>
        <v/>
      </c>
      <c r="E524" s="2">
        <f>C524*D524</f>
        <v/>
      </c>
      <c r="F524" s="2">
        <f>C524*INDEX(Products!$D$2:$D$201,MATCH(B524,Products!$A$2:$A$201,0))</f>
        <v/>
      </c>
      <c r="G524" s="2">
        <f>E524-F524</f>
        <v/>
      </c>
    </row>
    <row r="525" ht="15" customHeight="1" s="1">
      <c r="A525" s="2" t="n">
        <v>50523</v>
      </c>
      <c r="B525" s="2" t="inlineStr">
        <is>
          <t>SKU-0162</t>
        </is>
      </c>
      <c r="C525" s="2" t="n">
        <v>17</v>
      </c>
      <c r="D525" s="2">
        <f>VLOOKUP(B525,Products!$A$2:$D$201,3,FALSE())</f>
        <v/>
      </c>
      <c r="E525" s="2">
        <f>C525*D525</f>
        <v/>
      </c>
      <c r="F525" s="2">
        <f>C525*INDEX(Products!$D$2:$D$201,MATCH(B525,Products!$A$2:$A$201,0))</f>
        <v/>
      </c>
      <c r="G525" s="2">
        <f>E525-F525</f>
        <v/>
      </c>
    </row>
    <row r="526" ht="15" customHeight="1" s="1">
      <c r="A526" s="2" t="n">
        <v>50524</v>
      </c>
      <c r="B526" s="2" t="inlineStr">
        <is>
          <t>SKU-0065</t>
        </is>
      </c>
      <c r="C526" s="2" t="n">
        <v>10</v>
      </c>
      <c r="D526" s="2">
        <f>VLOOKUP(B526,Products!$A$2:$D$201,3,FALSE())</f>
        <v/>
      </c>
      <c r="E526" s="2">
        <f>C526*D526</f>
        <v/>
      </c>
      <c r="F526" s="2">
        <f>C526*INDEX(Products!$D$2:$D$201,MATCH(B526,Products!$A$2:$A$201,0))</f>
        <v/>
      </c>
      <c r="G526" s="2">
        <f>E526-F526</f>
        <v/>
      </c>
    </row>
    <row r="527" ht="15" customHeight="1" s="1">
      <c r="A527" s="2" t="n">
        <v>50525</v>
      </c>
      <c r="B527" s="2" t="inlineStr">
        <is>
          <t>SKU-0042</t>
        </is>
      </c>
      <c r="C527" s="2" t="n">
        <v>9</v>
      </c>
      <c r="D527" s="2">
        <f>VLOOKUP(B527,Products!$A$2:$D$201,3,FALSE())</f>
        <v/>
      </c>
      <c r="E527" s="2">
        <f>C527*D527</f>
        <v/>
      </c>
      <c r="F527" s="2">
        <f>C527*INDEX(Products!$D$2:$D$201,MATCH(B527,Products!$A$2:$A$201,0))</f>
        <v/>
      </c>
      <c r="G527" s="2">
        <f>E527-F527</f>
        <v/>
      </c>
    </row>
    <row r="528" ht="15" customHeight="1" s="1">
      <c r="A528" s="2" t="n">
        <v>50526</v>
      </c>
      <c r="B528" s="2" t="inlineStr">
        <is>
          <t>SKU-0116</t>
        </is>
      </c>
      <c r="C528" s="2" t="n">
        <v>16</v>
      </c>
      <c r="D528" s="2">
        <f>VLOOKUP(B528,Products!$A$2:$D$201,3,FALSE())</f>
        <v/>
      </c>
      <c r="E528" s="2">
        <f>C528*D528</f>
        <v/>
      </c>
      <c r="F528" s="2">
        <f>C528*INDEX(Products!$D$2:$D$201,MATCH(B528,Products!$A$2:$A$201,0))</f>
        <v/>
      </c>
      <c r="G528" s="2">
        <f>E528-F528</f>
        <v/>
      </c>
    </row>
    <row r="529" ht="15" customHeight="1" s="1">
      <c r="A529" s="2" t="n">
        <v>50527</v>
      </c>
      <c r="B529" s="2" t="inlineStr">
        <is>
          <t>SKU-0103</t>
        </is>
      </c>
      <c r="C529" s="2" t="n">
        <v>20</v>
      </c>
      <c r="D529" s="2">
        <f>VLOOKUP(B529,Products!$A$2:$D$201,3,FALSE())</f>
        <v/>
      </c>
      <c r="E529" s="2">
        <f>C529*D529</f>
        <v/>
      </c>
      <c r="F529" s="2">
        <f>C529*INDEX(Products!$D$2:$D$201,MATCH(B529,Products!$A$2:$A$201,0))</f>
        <v/>
      </c>
      <c r="G529" s="2">
        <f>E529-F529</f>
        <v/>
      </c>
    </row>
    <row r="530" ht="15" customHeight="1" s="1">
      <c r="A530" s="2" t="n">
        <v>50528</v>
      </c>
      <c r="B530" s="2" t="inlineStr">
        <is>
          <t>SKU-0025</t>
        </is>
      </c>
      <c r="C530" s="2" t="n">
        <v>5</v>
      </c>
      <c r="D530" s="2">
        <f>VLOOKUP(B530,Products!$A$2:$D$201,3,FALSE())</f>
        <v/>
      </c>
      <c r="E530" s="2">
        <f>C530*D530</f>
        <v/>
      </c>
      <c r="F530" s="2">
        <f>C530*INDEX(Products!$D$2:$D$201,MATCH(B530,Products!$A$2:$A$201,0))</f>
        <v/>
      </c>
      <c r="G530" s="2">
        <f>E530-F530</f>
        <v/>
      </c>
    </row>
    <row r="531" ht="15" customHeight="1" s="1">
      <c r="A531" s="2" t="n">
        <v>50529</v>
      </c>
      <c r="B531" s="2" t="inlineStr">
        <is>
          <t>SKU-0152</t>
        </is>
      </c>
      <c r="C531" s="2" t="n">
        <v>7</v>
      </c>
      <c r="D531" s="2">
        <f>VLOOKUP(B531,Products!$A$2:$D$201,3,FALSE())</f>
        <v/>
      </c>
      <c r="E531" s="2">
        <f>C531*D531</f>
        <v/>
      </c>
      <c r="F531" s="2">
        <f>C531*INDEX(Products!$D$2:$D$201,MATCH(B531,Products!$A$2:$A$201,0))</f>
        <v/>
      </c>
      <c r="G531" s="2">
        <f>E531-F531</f>
        <v/>
      </c>
    </row>
    <row r="532" ht="15" customHeight="1" s="1">
      <c r="A532" s="2" t="n">
        <v>50530</v>
      </c>
      <c r="B532" s="2" t="inlineStr">
        <is>
          <t>SKU-0117</t>
        </is>
      </c>
      <c r="C532" s="2" t="n">
        <v>4</v>
      </c>
      <c r="D532" s="2">
        <f>VLOOKUP(B532,Products!$A$2:$D$201,3,FALSE())</f>
        <v/>
      </c>
      <c r="E532" s="2">
        <f>C532*D532</f>
        <v/>
      </c>
      <c r="F532" s="2">
        <f>C532*INDEX(Products!$D$2:$D$201,MATCH(B532,Products!$A$2:$A$201,0))</f>
        <v/>
      </c>
      <c r="G532" s="2">
        <f>E532-F532</f>
        <v/>
      </c>
    </row>
    <row r="533" ht="15" customHeight="1" s="1">
      <c r="A533" s="2" t="n">
        <v>50531</v>
      </c>
      <c r="B533" s="2" t="inlineStr">
        <is>
          <t>SKU-0113</t>
        </is>
      </c>
      <c r="C533" s="2" t="n">
        <v>8</v>
      </c>
      <c r="D533" s="2">
        <f>VLOOKUP(B533,Products!$A$2:$D$201,3,FALSE())</f>
        <v/>
      </c>
      <c r="E533" s="2">
        <f>C533*D533</f>
        <v/>
      </c>
      <c r="F533" s="2">
        <f>C533*INDEX(Products!$D$2:$D$201,MATCH(B533,Products!$A$2:$A$201,0))</f>
        <v/>
      </c>
      <c r="G533" s="2">
        <f>E533-F533</f>
        <v/>
      </c>
    </row>
    <row r="534" ht="15" customHeight="1" s="1">
      <c r="A534" s="2" t="n">
        <v>50532</v>
      </c>
      <c r="B534" s="2" t="inlineStr">
        <is>
          <t>SKU-0034</t>
        </is>
      </c>
      <c r="C534" s="2" t="n">
        <v>8</v>
      </c>
      <c r="D534" s="2">
        <f>VLOOKUP(B534,Products!$A$2:$D$201,3,FALSE())</f>
        <v/>
      </c>
      <c r="E534" s="2">
        <f>C534*D534</f>
        <v/>
      </c>
      <c r="F534" s="2">
        <f>C534*INDEX(Products!$D$2:$D$201,MATCH(B534,Products!$A$2:$A$201,0))</f>
        <v/>
      </c>
      <c r="G534" s="2">
        <f>E534-F534</f>
        <v/>
      </c>
    </row>
    <row r="535" ht="15" customHeight="1" s="1">
      <c r="A535" s="2" t="n">
        <v>50533</v>
      </c>
      <c r="B535" s="2" t="inlineStr">
        <is>
          <t>SKU-0042</t>
        </is>
      </c>
      <c r="C535" s="2" t="n">
        <v>3</v>
      </c>
      <c r="D535" s="2">
        <f>VLOOKUP(B535,Products!$A$2:$D$201,3,FALSE())</f>
        <v/>
      </c>
      <c r="E535" s="2">
        <f>C535*D535</f>
        <v/>
      </c>
      <c r="F535" s="2">
        <f>C535*INDEX(Products!$D$2:$D$201,MATCH(B535,Products!$A$2:$A$201,0))</f>
        <v/>
      </c>
      <c r="G535" s="2">
        <f>E535-F535</f>
        <v/>
      </c>
    </row>
    <row r="536" ht="15" customHeight="1" s="1">
      <c r="A536" s="2" t="n">
        <v>50534</v>
      </c>
      <c r="B536" s="2" t="inlineStr">
        <is>
          <t>SKU-0184</t>
        </is>
      </c>
      <c r="C536" s="2" t="n">
        <v>15</v>
      </c>
      <c r="D536" s="2">
        <f>VLOOKUP(B536,Products!$A$2:$D$201,3,FALSE())</f>
        <v/>
      </c>
      <c r="E536" s="2">
        <f>C536*D536</f>
        <v/>
      </c>
      <c r="F536" s="2">
        <f>C536*INDEX(Products!$D$2:$D$201,MATCH(B536,Products!$A$2:$A$201,0))</f>
        <v/>
      </c>
      <c r="G536" s="2">
        <f>E536-F536</f>
        <v/>
      </c>
    </row>
    <row r="537" ht="15" customHeight="1" s="1">
      <c r="A537" s="2" t="n">
        <v>50535</v>
      </c>
      <c r="B537" s="2" t="inlineStr">
        <is>
          <t>SKU-0065</t>
        </is>
      </c>
      <c r="C537" s="2" t="n">
        <v>20</v>
      </c>
      <c r="D537" s="2">
        <f>VLOOKUP(B537,Products!$A$2:$D$201,3,FALSE())</f>
        <v/>
      </c>
      <c r="E537" s="2">
        <f>C537*D537</f>
        <v/>
      </c>
      <c r="F537" s="2">
        <f>C537*INDEX(Products!$D$2:$D$201,MATCH(B537,Products!$A$2:$A$201,0))</f>
        <v/>
      </c>
      <c r="G537" s="2">
        <f>E537-F537</f>
        <v/>
      </c>
    </row>
    <row r="538" ht="15" customHeight="1" s="1">
      <c r="A538" s="2" t="n">
        <v>50536</v>
      </c>
      <c r="B538" s="2" t="inlineStr">
        <is>
          <t>SKU-0118</t>
        </is>
      </c>
      <c r="C538" s="2" t="n">
        <v>6</v>
      </c>
      <c r="D538" s="2">
        <f>VLOOKUP(B538,Products!$A$2:$D$201,3,FALSE())</f>
        <v/>
      </c>
      <c r="E538" s="2">
        <f>C538*D538</f>
        <v/>
      </c>
      <c r="F538" s="2">
        <f>C538*INDEX(Products!$D$2:$D$201,MATCH(B538,Products!$A$2:$A$201,0))</f>
        <v/>
      </c>
      <c r="G538" s="2">
        <f>E538-F538</f>
        <v/>
      </c>
    </row>
    <row r="539" ht="15" customHeight="1" s="1">
      <c r="A539" s="2" t="n">
        <v>50537</v>
      </c>
      <c r="B539" s="2" t="inlineStr">
        <is>
          <t>SKU-0178</t>
        </is>
      </c>
      <c r="C539" s="2" t="n">
        <v>16</v>
      </c>
      <c r="D539" s="2">
        <f>VLOOKUP(B539,Products!$A$2:$D$201,3,FALSE())</f>
        <v/>
      </c>
      <c r="E539" s="2">
        <f>C539*D539</f>
        <v/>
      </c>
      <c r="F539" s="2">
        <f>C539*INDEX(Products!$D$2:$D$201,MATCH(B539,Products!$A$2:$A$201,0))</f>
        <v/>
      </c>
      <c r="G539" s="2">
        <f>E539-F539</f>
        <v/>
      </c>
    </row>
    <row r="540" ht="15" customHeight="1" s="1">
      <c r="A540" s="2" t="n">
        <v>50538</v>
      </c>
      <c r="B540" s="2" t="inlineStr">
        <is>
          <t>SKU-0026</t>
        </is>
      </c>
      <c r="C540" s="2" t="n">
        <v>10</v>
      </c>
      <c r="D540" s="2">
        <f>VLOOKUP(B540,Products!$A$2:$D$201,3,FALSE())</f>
        <v/>
      </c>
      <c r="E540" s="2">
        <f>C540*D540</f>
        <v/>
      </c>
      <c r="F540" s="2">
        <f>C540*INDEX(Products!$D$2:$D$201,MATCH(B540,Products!$A$2:$A$201,0))</f>
        <v/>
      </c>
      <c r="G540" s="2">
        <f>E540-F540</f>
        <v/>
      </c>
    </row>
    <row r="541" ht="15" customHeight="1" s="1">
      <c r="A541" s="2" t="n">
        <v>50539</v>
      </c>
      <c r="B541" s="2" t="inlineStr">
        <is>
          <t>SKU-0148</t>
        </is>
      </c>
      <c r="C541" s="2" t="n">
        <v>9</v>
      </c>
      <c r="D541" s="2">
        <f>VLOOKUP(B541,Products!$A$2:$D$201,3,FALSE())</f>
        <v/>
      </c>
      <c r="E541" s="2">
        <f>C541*D541</f>
        <v/>
      </c>
      <c r="F541" s="2">
        <f>C541*INDEX(Products!$D$2:$D$201,MATCH(B541,Products!$A$2:$A$201,0))</f>
        <v/>
      </c>
      <c r="G541" s="2">
        <f>E541-F541</f>
        <v/>
      </c>
    </row>
    <row r="542" ht="15" customHeight="1" s="1">
      <c r="A542" s="2" t="n">
        <v>50540</v>
      </c>
      <c r="B542" s="2" t="inlineStr">
        <is>
          <t>SKU-0160</t>
        </is>
      </c>
      <c r="C542" s="2" t="n">
        <v>12</v>
      </c>
      <c r="D542" s="2">
        <f>VLOOKUP(B542,Products!$A$2:$D$201,3,FALSE())</f>
        <v/>
      </c>
      <c r="E542" s="2">
        <f>C542*D542</f>
        <v/>
      </c>
      <c r="F542" s="2">
        <f>C542*INDEX(Products!$D$2:$D$201,MATCH(B542,Products!$A$2:$A$201,0))</f>
        <v/>
      </c>
      <c r="G542" s="2">
        <f>E542-F542</f>
        <v/>
      </c>
    </row>
    <row r="543" ht="15" customHeight="1" s="1">
      <c r="A543" s="2" t="n">
        <v>50541</v>
      </c>
      <c r="B543" s="2" t="inlineStr">
        <is>
          <t>SKU-0178</t>
        </is>
      </c>
      <c r="C543" s="2" t="n">
        <v>2</v>
      </c>
      <c r="D543" s="2">
        <f>VLOOKUP(B543,Products!$A$2:$D$201,3,FALSE())</f>
        <v/>
      </c>
      <c r="E543" s="2">
        <f>C543*D543</f>
        <v/>
      </c>
      <c r="F543" s="2">
        <f>C543*INDEX(Products!$D$2:$D$201,MATCH(B543,Products!$A$2:$A$201,0))</f>
        <v/>
      </c>
      <c r="G543" s="2">
        <f>E543-F543</f>
        <v/>
      </c>
    </row>
    <row r="544" ht="15" customHeight="1" s="1">
      <c r="A544" s="2" t="n">
        <v>50542</v>
      </c>
      <c r="B544" s="2" t="inlineStr">
        <is>
          <t>SKU-0138</t>
        </is>
      </c>
      <c r="C544" s="2" t="n">
        <v>18</v>
      </c>
      <c r="D544" s="2">
        <f>VLOOKUP(B544,Products!$A$2:$D$201,3,FALSE())</f>
        <v/>
      </c>
      <c r="E544" s="2">
        <f>C544*D544</f>
        <v/>
      </c>
      <c r="F544" s="2">
        <f>C544*INDEX(Products!$D$2:$D$201,MATCH(B544,Products!$A$2:$A$201,0))</f>
        <v/>
      </c>
      <c r="G544" s="2">
        <f>E544-F544</f>
        <v/>
      </c>
    </row>
    <row r="545" ht="15" customHeight="1" s="1">
      <c r="A545" s="2" t="n">
        <v>50543</v>
      </c>
      <c r="B545" s="2" t="inlineStr">
        <is>
          <t>SKU-0031</t>
        </is>
      </c>
      <c r="C545" s="2" t="n">
        <v>7</v>
      </c>
      <c r="D545" s="2">
        <f>VLOOKUP(B545,Products!$A$2:$D$201,3,FALSE())</f>
        <v/>
      </c>
      <c r="E545" s="2">
        <f>C545*D545</f>
        <v/>
      </c>
      <c r="F545" s="2">
        <f>C545*INDEX(Products!$D$2:$D$201,MATCH(B545,Products!$A$2:$A$201,0))</f>
        <v/>
      </c>
      <c r="G545" s="2">
        <f>E545-F545</f>
        <v/>
      </c>
    </row>
    <row r="546" ht="15" customHeight="1" s="1">
      <c r="A546" s="2" t="n">
        <v>50544</v>
      </c>
      <c r="B546" s="2" t="inlineStr">
        <is>
          <t>SKU-0195</t>
        </is>
      </c>
      <c r="C546" s="2" t="n">
        <v>1</v>
      </c>
      <c r="D546" s="2">
        <f>VLOOKUP(B546,Products!$A$2:$D$201,3,FALSE())</f>
        <v/>
      </c>
      <c r="E546" s="2">
        <f>C546*D546</f>
        <v/>
      </c>
      <c r="F546" s="2">
        <f>C546*INDEX(Products!$D$2:$D$201,MATCH(B546,Products!$A$2:$A$201,0))</f>
        <v/>
      </c>
      <c r="G546" s="2">
        <f>E546-F546</f>
        <v/>
      </c>
    </row>
    <row r="547" ht="15" customHeight="1" s="1">
      <c r="A547" s="2" t="n">
        <v>50545</v>
      </c>
      <c r="B547" s="2" t="inlineStr">
        <is>
          <t>SKU-0086</t>
        </is>
      </c>
      <c r="C547" s="2" t="n">
        <v>19</v>
      </c>
      <c r="D547" s="2">
        <f>VLOOKUP(B547,Products!$A$2:$D$201,3,FALSE())</f>
        <v/>
      </c>
      <c r="E547" s="2">
        <f>C547*D547</f>
        <v/>
      </c>
      <c r="F547" s="2">
        <f>C547*INDEX(Products!$D$2:$D$201,MATCH(B547,Products!$A$2:$A$201,0))</f>
        <v/>
      </c>
      <c r="G547" s="2">
        <f>E547-F547</f>
        <v/>
      </c>
    </row>
    <row r="548" ht="15" customHeight="1" s="1">
      <c r="A548" s="2" t="n">
        <v>50546</v>
      </c>
      <c r="B548" s="2" t="inlineStr">
        <is>
          <t>SKU-0151</t>
        </is>
      </c>
      <c r="C548" s="2" t="n">
        <v>16</v>
      </c>
      <c r="D548" s="2">
        <f>VLOOKUP(B548,Products!$A$2:$D$201,3,FALSE())</f>
        <v/>
      </c>
      <c r="E548" s="2">
        <f>C548*D548</f>
        <v/>
      </c>
      <c r="F548" s="2">
        <f>C548*INDEX(Products!$D$2:$D$201,MATCH(B548,Products!$A$2:$A$201,0))</f>
        <v/>
      </c>
      <c r="G548" s="2">
        <f>E548-F548</f>
        <v/>
      </c>
    </row>
    <row r="549" ht="15" customHeight="1" s="1">
      <c r="A549" s="2" t="n">
        <v>50547</v>
      </c>
      <c r="B549" s="2" t="inlineStr">
        <is>
          <t>SKU-0163</t>
        </is>
      </c>
      <c r="C549" s="2" t="n">
        <v>16</v>
      </c>
      <c r="D549" s="2">
        <f>VLOOKUP(B549,Products!$A$2:$D$201,3,FALSE())</f>
        <v/>
      </c>
      <c r="E549" s="2">
        <f>C549*D549</f>
        <v/>
      </c>
      <c r="F549" s="2">
        <f>C549*INDEX(Products!$D$2:$D$201,MATCH(B549,Products!$A$2:$A$201,0))</f>
        <v/>
      </c>
      <c r="G549" s="2">
        <f>E549-F549</f>
        <v/>
      </c>
    </row>
    <row r="550" ht="15" customHeight="1" s="1">
      <c r="A550" s="2" t="n">
        <v>50548</v>
      </c>
      <c r="B550" s="2" t="inlineStr">
        <is>
          <t>SKU-0133</t>
        </is>
      </c>
      <c r="C550" s="2" t="n">
        <v>20</v>
      </c>
      <c r="D550" s="2">
        <f>VLOOKUP(B550,Products!$A$2:$D$201,3,FALSE())</f>
        <v/>
      </c>
      <c r="E550" s="2">
        <f>C550*D550</f>
        <v/>
      </c>
      <c r="F550" s="2">
        <f>C550*INDEX(Products!$D$2:$D$201,MATCH(B550,Products!$A$2:$A$201,0))</f>
        <v/>
      </c>
      <c r="G550" s="2">
        <f>E550-F550</f>
        <v/>
      </c>
    </row>
    <row r="551" ht="15" customHeight="1" s="1">
      <c r="A551" s="2" t="n">
        <v>50549</v>
      </c>
      <c r="B551" s="2" t="inlineStr">
        <is>
          <t>SKU-0072</t>
        </is>
      </c>
      <c r="C551" s="2" t="n">
        <v>20</v>
      </c>
      <c r="D551" s="2">
        <f>VLOOKUP(B551,Products!$A$2:$D$201,3,FALSE())</f>
        <v/>
      </c>
      <c r="E551" s="2">
        <f>C551*D551</f>
        <v/>
      </c>
      <c r="F551" s="2">
        <f>C551*INDEX(Products!$D$2:$D$201,MATCH(B551,Products!$A$2:$A$201,0))</f>
        <v/>
      </c>
      <c r="G551" s="2">
        <f>E551-F551</f>
        <v/>
      </c>
    </row>
    <row r="552" ht="15" customHeight="1" s="1">
      <c r="A552" s="2" t="n">
        <v>50550</v>
      </c>
      <c r="B552" s="2" t="inlineStr">
        <is>
          <t>SKU-0085</t>
        </is>
      </c>
      <c r="C552" s="2" t="n">
        <v>2</v>
      </c>
      <c r="D552" s="2">
        <f>VLOOKUP(B552,Products!$A$2:$D$201,3,FALSE())</f>
        <v/>
      </c>
      <c r="E552" s="2">
        <f>C552*D552</f>
        <v/>
      </c>
      <c r="F552" s="2">
        <f>C552*INDEX(Products!$D$2:$D$201,MATCH(B552,Products!$A$2:$A$201,0))</f>
        <v/>
      </c>
      <c r="G552" s="2">
        <f>E552-F552</f>
        <v/>
      </c>
    </row>
    <row r="553" ht="15" customHeight="1" s="1">
      <c r="A553" s="2" t="n">
        <v>50551</v>
      </c>
      <c r="B553" s="2" t="inlineStr">
        <is>
          <t>SKU-0073</t>
        </is>
      </c>
      <c r="C553" s="2" t="n">
        <v>5</v>
      </c>
      <c r="D553" s="2">
        <f>VLOOKUP(B553,Products!$A$2:$D$201,3,FALSE())</f>
        <v/>
      </c>
      <c r="E553" s="2">
        <f>C553*D553</f>
        <v/>
      </c>
      <c r="F553" s="2">
        <f>C553*INDEX(Products!$D$2:$D$201,MATCH(B553,Products!$A$2:$A$201,0))</f>
        <v/>
      </c>
      <c r="G553" s="2">
        <f>E553-F553</f>
        <v/>
      </c>
    </row>
    <row r="554" ht="15" customHeight="1" s="1">
      <c r="A554" s="2" t="n">
        <v>50552</v>
      </c>
      <c r="B554" s="2" t="inlineStr">
        <is>
          <t>SKU-0134</t>
        </is>
      </c>
      <c r="C554" s="2" t="n">
        <v>14</v>
      </c>
      <c r="D554" s="2">
        <f>VLOOKUP(B554,Products!$A$2:$D$201,3,FALSE())</f>
        <v/>
      </c>
      <c r="E554" s="2">
        <f>C554*D554</f>
        <v/>
      </c>
      <c r="F554" s="2">
        <f>C554*INDEX(Products!$D$2:$D$201,MATCH(B554,Products!$A$2:$A$201,0))</f>
        <v/>
      </c>
      <c r="G554" s="2">
        <f>E554-F554</f>
        <v/>
      </c>
    </row>
    <row r="555" ht="15" customHeight="1" s="1">
      <c r="A555" s="2" t="n">
        <v>50553</v>
      </c>
      <c r="B555" s="2" t="inlineStr">
        <is>
          <t>SKU-0075</t>
        </is>
      </c>
      <c r="C555" s="2" t="n">
        <v>14</v>
      </c>
      <c r="D555" s="2">
        <f>VLOOKUP(B555,Products!$A$2:$D$201,3,FALSE())</f>
        <v/>
      </c>
      <c r="E555" s="2">
        <f>C555*D555</f>
        <v/>
      </c>
      <c r="F555" s="2">
        <f>C555*INDEX(Products!$D$2:$D$201,MATCH(B555,Products!$A$2:$A$201,0))</f>
        <v/>
      </c>
      <c r="G555" s="2">
        <f>E555-F555</f>
        <v/>
      </c>
    </row>
    <row r="556" ht="15" customHeight="1" s="1">
      <c r="A556" s="2" t="n">
        <v>50554</v>
      </c>
      <c r="B556" s="2" t="inlineStr">
        <is>
          <t>SKU-0094</t>
        </is>
      </c>
      <c r="C556" s="2" t="n">
        <v>5</v>
      </c>
      <c r="D556" s="2">
        <f>VLOOKUP(B556,Products!$A$2:$D$201,3,FALSE())</f>
        <v/>
      </c>
      <c r="E556" s="2">
        <f>C556*D556</f>
        <v/>
      </c>
      <c r="F556" s="2">
        <f>C556*INDEX(Products!$D$2:$D$201,MATCH(B556,Products!$A$2:$A$201,0))</f>
        <v/>
      </c>
      <c r="G556" s="2">
        <f>E556-F556</f>
        <v/>
      </c>
    </row>
    <row r="557" ht="15" customHeight="1" s="1">
      <c r="A557" s="2" t="n">
        <v>50555</v>
      </c>
      <c r="B557" s="2" t="inlineStr">
        <is>
          <t>SKU-0074</t>
        </is>
      </c>
      <c r="C557" s="2" t="n">
        <v>7</v>
      </c>
      <c r="D557" s="2">
        <f>VLOOKUP(B557,Products!$A$2:$D$201,3,FALSE())</f>
        <v/>
      </c>
      <c r="E557" s="2">
        <f>C557*D557</f>
        <v/>
      </c>
      <c r="F557" s="2">
        <f>C557*INDEX(Products!$D$2:$D$201,MATCH(B557,Products!$A$2:$A$201,0))</f>
        <v/>
      </c>
      <c r="G557" s="2">
        <f>E557-F557</f>
        <v/>
      </c>
    </row>
    <row r="558" ht="15" customHeight="1" s="1">
      <c r="A558" s="2" t="n">
        <v>50556</v>
      </c>
      <c r="B558" s="2" t="inlineStr">
        <is>
          <t>SKU-0193</t>
        </is>
      </c>
      <c r="C558" s="2" t="n">
        <v>2</v>
      </c>
      <c r="D558" s="2">
        <f>VLOOKUP(B558,Products!$A$2:$D$201,3,FALSE())</f>
        <v/>
      </c>
      <c r="E558" s="2">
        <f>C558*D558</f>
        <v/>
      </c>
      <c r="F558" s="2">
        <f>C558*INDEX(Products!$D$2:$D$201,MATCH(B558,Products!$A$2:$A$201,0))</f>
        <v/>
      </c>
      <c r="G558" s="2">
        <f>E558-F558</f>
        <v/>
      </c>
    </row>
    <row r="559" ht="15" customHeight="1" s="1">
      <c r="A559" s="2" t="n">
        <v>50557</v>
      </c>
      <c r="B559" s="2" t="inlineStr">
        <is>
          <t>SKU-0000</t>
        </is>
      </c>
      <c r="C559" s="2" t="n">
        <v>16</v>
      </c>
      <c r="D559" s="2">
        <f>VLOOKUP(B559,Products!$A$2:$D$201,3,FALSE())</f>
        <v/>
      </c>
      <c r="E559" s="2">
        <f>C559*D559</f>
        <v/>
      </c>
      <c r="F559" s="2">
        <f>C559*INDEX(Products!$D$2:$D$201,MATCH(B559,Products!$A$2:$A$201,0))</f>
        <v/>
      </c>
      <c r="G559" s="2">
        <f>E559-F559</f>
        <v/>
      </c>
    </row>
    <row r="560" ht="15" customHeight="1" s="1">
      <c r="A560" s="2" t="n">
        <v>50558</v>
      </c>
      <c r="B560" s="2" t="inlineStr">
        <is>
          <t>SKU-0040</t>
        </is>
      </c>
      <c r="C560" s="2" t="n">
        <v>10</v>
      </c>
      <c r="D560" s="2">
        <f>VLOOKUP(B560,Products!$A$2:$D$201,3,FALSE())</f>
        <v/>
      </c>
      <c r="E560" s="2">
        <f>C560*D560</f>
        <v/>
      </c>
      <c r="F560" s="2">
        <f>C560*INDEX(Products!$D$2:$D$201,MATCH(B560,Products!$A$2:$A$201,0))</f>
        <v/>
      </c>
      <c r="G560" s="2">
        <f>E560-F560</f>
        <v/>
      </c>
    </row>
    <row r="561" ht="15" customHeight="1" s="1">
      <c r="A561" s="2" t="n">
        <v>50559</v>
      </c>
      <c r="B561" s="2" t="inlineStr">
        <is>
          <t>SKU-0106</t>
        </is>
      </c>
      <c r="C561" s="2" t="n">
        <v>10</v>
      </c>
      <c r="D561" s="2">
        <f>VLOOKUP(B561,Products!$A$2:$D$201,3,FALSE())</f>
        <v/>
      </c>
      <c r="E561" s="2">
        <f>C561*D561</f>
        <v/>
      </c>
      <c r="F561" s="2">
        <f>C561*INDEX(Products!$D$2:$D$201,MATCH(B561,Products!$A$2:$A$201,0))</f>
        <v/>
      </c>
      <c r="G561" s="2">
        <f>E561-F561</f>
        <v/>
      </c>
    </row>
    <row r="562" ht="15" customHeight="1" s="1">
      <c r="A562" s="2" t="n">
        <v>50560</v>
      </c>
      <c r="B562" s="2" t="inlineStr">
        <is>
          <t>SKU-0107</t>
        </is>
      </c>
      <c r="C562" s="2" t="n">
        <v>19</v>
      </c>
      <c r="D562" s="2">
        <f>VLOOKUP(B562,Products!$A$2:$D$201,3,FALSE())</f>
        <v/>
      </c>
      <c r="E562" s="2">
        <f>C562*D562</f>
        <v/>
      </c>
      <c r="F562" s="2">
        <f>C562*INDEX(Products!$D$2:$D$201,MATCH(B562,Products!$A$2:$A$201,0))</f>
        <v/>
      </c>
      <c r="G562" s="2">
        <f>E562-F562</f>
        <v/>
      </c>
    </row>
    <row r="563" ht="15" customHeight="1" s="1">
      <c r="A563" s="2" t="n">
        <v>50561</v>
      </c>
      <c r="B563" s="2" t="inlineStr">
        <is>
          <t>SKU-0172</t>
        </is>
      </c>
      <c r="C563" s="2" t="n">
        <v>15</v>
      </c>
      <c r="D563" s="2">
        <f>VLOOKUP(B563,Products!$A$2:$D$201,3,FALSE())</f>
        <v/>
      </c>
      <c r="E563" s="2">
        <f>C563*D563</f>
        <v/>
      </c>
      <c r="F563" s="2">
        <f>C563*INDEX(Products!$D$2:$D$201,MATCH(B563,Products!$A$2:$A$201,0))</f>
        <v/>
      </c>
      <c r="G563" s="2">
        <f>E563-F563</f>
        <v/>
      </c>
    </row>
    <row r="564" ht="15" customHeight="1" s="1">
      <c r="A564" s="2" t="n">
        <v>50562</v>
      </c>
      <c r="B564" s="2" t="inlineStr">
        <is>
          <t>SKU-0087</t>
        </is>
      </c>
      <c r="C564" s="2" t="n">
        <v>17</v>
      </c>
      <c r="D564" s="2">
        <f>VLOOKUP(B564,Products!$A$2:$D$201,3,FALSE())</f>
        <v/>
      </c>
      <c r="E564" s="2">
        <f>C564*D564</f>
        <v/>
      </c>
      <c r="F564" s="2">
        <f>C564*INDEX(Products!$D$2:$D$201,MATCH(B564,Products!$A$2:$A$201,0))</f>
        <v/>
      </c>
      <c r="G564" s="2">
        <f>E564-F564</f>
        <v/>
      </c>
    </row>
    <row r="565" ht="15" customHeight="1" s="1">
      <c r="A565" s="2" t="n">
        <v>50563</v>
      </c>
      <c r="B565" s="2" t="inlineStr">
        <is>
          <t>SKU-0129</t>
        </is>
      </c>
      <c r="C565" s="2" t="n">
        <v>11</v>
      </c>
      <c r="D565" s="2">
        <f>VLOOKUP(B565,Products!$A$2:$D$201,3,FALSE())</f>
        <v/>
      </c>
      <c r="E565" s="2">
        <f>C565*D565</f>
        <v/>
      </c>
      <c r="F565" s="2">
        <f>C565*INDEX(Products!$D$2:$D$201,MATCH(B565,Products!$A$2:$A$201,0))</f>
        <v/>
      </c>
      <c r="G565" s="2">
        <f>E565-F565</f>
        <v/>
      </c>
    </row>
    <row r="566" ht="15" customHeight="1" s="1">
      <c r="A566" s="2" t="n">
        <v>50564</v>
      </c>
      <c r="B566" s="2" t="inlineStr">
        <is>
          <t>SKU-0182</t>
        </is>
      </c>
      <c r="C566" s="2" t="n">
        <v>20</v>
      </c>
      <c r="D566" s="2">
        <f>VLOOKUP(B566,Products!$A$2:$D$201,3,FALSE())</f>
        <v/>
      </c>
      <c r="E566" s="2">
        <f>C566*D566</f>
        <v/>
      </c>
      <c r="F566" s="2">
        <f>C566*INDEX(Products!$D$2:$D$201,MATCH(B566,Products!$A$2:$A$201,0))</f>
        <v/>
      </c>
      <c r="G566" s="2">
        <f>E566-F566</f>
        <v/>
      </c>
    </row>
    <row r="567" ht="15" customHeight="1" s="1">
      <c r="A567" s="2" t="n">
        <v>50565</v>
      </c>
      <c r="B567" s="2" t="inlineStr">
        <is>
          <t>SKU-0003</t>
        </is>
      </c>
      <c r="C567" s="2" t="n">
        <v>6</v>
      </c>
      <c r="D567" s="2">
        <f>VLOOKUP(B567,Products!$A$2:$D$201,3,FALSE())</f>
        <v/>
      </c>
      <c r="E567" s="2">
        <f>C567*D567</f>
        <v/>
      </c>
      <c r="F567" s="2">
        <f>C567*INDEX(Products!$D$2:$D$201,MATCH(B567,Products!$A$2:$A$201,0))</f>
        <v/>
      </c>
      <c r="G567" s="2">
        <f>E567-F567</f>
        <v/>
      </c>
    </row>
    <row r="568" ht="15" customHeight="1" s="1">
      <c r="A568" s="2" t="n">
        <v>50566</v>
      </c>
      <c r="B568" s="2" t="inlineStr">
        <is>
          <t>SKU-0147</t>
        </is>
      </c>
      <c r="C568" s="2" t="n">
        <v>16</v>
      </c>
      <c r="D568" s="2">
        <f>VLOOKUP(B568,Products!$A$2:$D$201,3,FALSE())</f>
        <v/>
      </c>
      <c r="E568" s="2">
        <f>C568*D568</f>
        <v/>
      </c>
      <c r="F568" s="2">
        <f>C568*INDEX(Products!$D$2:$D$201,MATCH(B568,Products!$A$2:$A$201,0))</f>
        <v/>
      </c>
      <c r="G568" s="2">
        <f>E568-F568</f>
        <v/>
      </c>
    </row>
    <row r="569" ht="15" customHeight="1" s="1">
      <c r="A569" s="2" t="n">
        <v>50567</v>
      </c>
      <c r="B569" s="2" t="inlineStr">
        <is>
          <t>SKU-0166</t>
        </is>
      </c>
      <c r="C569" s="2" t="n">
        <v>1</v>
      </c>
      <c r="D569" s="2">
        <f>VLOOKUP(B569,Products!$A$2:$D$201,3,FALSE())</f>
        <v/>
      </c>
      <c r="E569" s="2">
        <f>C569*D569</f>
        <v/>
      </c>
      <c r="F569" s="2">
        <f>C569*INDEX(Products!$D$2:$D$201,MATCH(B569,Products!$A$2:$A$201,0))</f>
        <v/>
      </c>
      <c r="G569" s="2">
        <f>E569-F569</f>
        <v/>
      </c>
    </row>
    <row r="570" ht="15" customHeight="1" s="1">
      <c r="A570" s="2" t="n">
        <v>50568</v>
      </c>
      <c r="B570" s="2" t="inlineStr">
        <is>
          <t>SKU-0137</t>
        </is>
      </c>
      <c r="C570" s="2" t="n">
        <v>16</v>
      </c>
      <c r="D570" s="2">
        <f>VLOOKUP(B570,Products!$A$2:$D$201,3,FALSE())</f>
        <v/>
      </c>
      <c r="E570" s="2">
        <f>C570*D570</f>
        <v/>
      </c>
      <c r="F570" s="2">
        <f>C570*INDEX(Products!$D$2:$D$201,MATCH(B570,Products!$A$2:$A$201,0))</f>
        <v/>
      </c>
      <c r="G570" s="2">
        <f>E570-F570</f>
        <v/>
      </c>
    </row>
    <row r="571" ht="15" customHeight="1" s="1">
      <c r="A571" s="2" t="n">
        <v>50569</v>
      </c>
      <c r="B571" s="2" t="inlineStr">
        <is>
          <t>SKU-0197</t>
        </is>
      </c>
      <c r="C571" s="2" t="n">
        <v>15</v>
      </c>
      <c r="D571" s="2">
        <f>VLOOKUP(B571,Products!$A$2:$D$201,3,FALSE())</f>
        <v/>
      </c>
      <c r="E571" s="2">
        <f>C571*D571</f>
        <v/>
      </c>
      <c r="F571" s="2">
        <f>C571*INDEX(Products!$D$2:$D$201,MATCH(B571,Products!$A$2:$A$201,0))</f>
        <v/>
      </c>
      <c r="G571" s="2">
        <f>E571-F571</f>
        <v/>
      </c>
    </row>
    <row r="572" ht="15" customHeight="1" s="1">
      <c r="A572" s="2" t="n">
        <v>50570</v>
      </c>
      <c r="B572" s="2" t="inlineStr">
        <is>
          <t>SKU-0095</t>
        </is>
      </c>
      <c r="C572" s="2" t="n">
        <v>2</v>
      </c>
      <c r="D572" s="2">
        <f>VLOOKUP(B572,Products!$A$2:$D$201,3,FALSE())</f>
        <v/>
      </c>
      <c r="E572" s="2">
        <f>C572*D572</f>
        <v/>
      </c>
      <c r="F572" s="2">
        <f>C572*INDEX(Products!$D$2:$D$201,MATCH(B572,Products!$A$2:$A$201,0))</f>
        <v/>
      </c>
      <c r="G572" s="2">
        <f>E572-F572</f>
        <v/>
      </c>
    </row>
    <row r="573" ht="15" customHeight="1" s="1">
      <c r="A573" s="2" t="n">
        <v>50571</v>
      </c>
      <c r="B573" s="2" t="inlineStr">
        <is>
          <t>SKU-0058</t>
        </is>
      </c>
      <c r="C573" s="2" t="n">
        <v>18</v>
      </c>
      <c r="D573" s="2">
        <f>VLOOKUP(B573,Products!$A$2:$D$201,3,FALSE())</f>
        <v/>
      </c>
      <c r="E573" s="2">
        <f>C573*D573</f>
        <v/>
      </c>
      <c r="F573" s="2">
        <f>C573*INDEX(Products!$D$2:$D$201,MATCH(B573,Products!$A$2:$A$201,0))</f>
        <v/>
      </c>
      <c r="G573" s="2">
        <f>E573-F573</f>
        <v/>
      </c>
    </row>
    <row r="574" ht="15" customHeight="1" s="1">
      <c r="A574" s="2" t="n">
        <v>50572</v>
      </c>
      <c r="B574" s="2" t="inlineStr">
        <is>
          <t>SKU-0000</t>
        </is>
      </c>
      <c r="C574" s="2" t="n">
        <v>16</v>
      </c>
      <c r="D574" s="2">
        <f>VLOOKUP(B574,Products!$A$2:$D$201,3,FALSE())</f>
        <v/>
      </c>
      <c r="E574" s="2">
        <f>C574*D574</f>
        <v/>
      </c>
      <c r="F574" s="2">
        <f>C574*INDEX(Products!$D$2:$D$201,MATCH(B574,Products!$A$2:$A$201,0))</f>
        <v/>
      </c>
      <c r="G574" s="2">
        <f>E574-F574</f>
        <v/>
      </c>
    </row>
    <row r="575" ht="15" customHeight="1" s="1">
      <c r="A575" s="2" t="n">
        <v>50573</v>
      </c>
      <c r="B575" s="2" t="inlineStr">
        <is>
          <t>SKU-0030</t>
        </is>
      </c>
      <c r="C575" s="2" t="n">
        <v>7</v>
      </c>
      <c r="D575" s="2">
        <f>VLOOKUP(B575,Products!$A$2:$D$201,3,FALSE())</f>
        <v/>
      </c>
      <c r="E575" s="2">
        <f>C575*D575</f>
        <v/>
      </c>
      <c r="F575" s="2">
        <f>C575*INDEX(Products!$D$2:$D$201,MATCH(B575,Products!$A$2:$A$201,0))</f>
        <v/>
      </c>
      <c r="G575" s="2">
        <f>E575-F575</f>
        <v/>
      </c>
    </row>
    <row r="576" ht="15" customHeight="1" s="1">
      <c r="A576" s="2" t="n">
        <v>50574</v>
      </c>
      <c r="B576" s="2" t="inlineStr">
        <is>
          <t>SKU-0043</t>
        </is>
      </c>
      <c r="C576" s="2" t="n">
        <v>6</v>
      </c>
      <c r="D576" s="2">
        <f>VLOOKUP(B576,Products!$A$2:$D$201,3,FALSE())</f>
        <v/>
      </c>
      <c r="E576" s="2">
        <f>C576*D576</f>
        <v/>
      </c>
      <c r="F576" s="2">
        <f>C576*INDEX(Products!$D$2:$D$201,MATCH(B576,Products!$A$2:$A$201,0))</f>
        <v/>
      </c>
      <c r="G576" s="2">
        <f>E576-F576</f>
        <v/>
      </c>
    </row>
    <row r="577" ht="15" customHeight="1" s="1">
      <c r="A577" s="2" t="n">
        <v>50575</v>
      </c>
      <c r="B577" s="2" t="inlineStr">
        <is>
          <t>SKU-0129</t>
        </is>
      </c>
      <c r="C577" s="2" t="n">
        <v>8</v>
      </c>
      <c r="D577" s="2">
        <f>VLOOKUP(B577,Products!$A$2:$D$201,3,FALSE())</f>
        <v/>
      </c>
      <c r="E577" s="2">
        <f>C577*D577</f>
        <v/>
      </c>
      <c r="F577" s="2">
        <f>C577*INDEX(Products!$D$2:$D$201,MATCH(B577,Products!$A$2:$A$201,0))</f>
        <v/>
      </c>
      <c r="G577" s="2">
        <f>E577-F577</f>
        <v/>
      </c>
    </row>
    <row r="578" ht="15" customHeight="1" s="1">
      <c r="A578" s="2" t="n">
        <v>50576</v>
      </c>
      <c r="B578" s="2" t="inlineStr">
        <is>
          <t>SKU-0170</t>
        </is>
      </c>
      <c r="C578" s="2" t="n">
        <v>13</v>
      </c>
      <c r="D578" s="2">
        <f>VLOOKUP(B578,Products!$A$2:$D$201,3,FALSE())</f>
        <v/>
      </c>
      <c r="E578" s="2">
        <f>C578*D578</f>
        <v/>
      </c>
      <c r="F578" s="2">
        <f>C578*INDEX(Products!$D$2:$D$201,MATCH(B578,Products!$A$2:$A$201,0))</f>
        <v/>
      </c>
      <c r="G578" s="2">
        <f>E578-F578</f>
        <v/>
      </c>
    </row>
    <row r="579" ht="15" customHeight="1" s="1">
      <c r="A579" s="2" t="n">
        <v>50577</v>
      </c>
      <c r="B579" s="2" t="inlineStr">
        <is>
          <t>SKU-0166</t>
        </is>
      </c>
      <c r="C579" s="2" t="n">
        <v>4</v>
      </c>
      <c r="D579" s="2">
        <f>VLOOKUP(B579,Products!$A$2:$D$201,3,FALSE())</f>
        <v/>
      </c>
      <c r="E579" s="2">
        <f>C579*D579</f>
        <v/>
      </c>
      <c r="F579" s="2">
        <f>C579*INDEX(Products!$D$2:$D$201,MATCH(B579,Products!$A$2:$A$201,0))</f>
        <v/>
      </c>
      <c r="G579" s="2">
        <f>E579-F579</f>
        <v/>
      </c>
    </row>
    <row r="580" ht="15" customHeight="1" s="1">
      <c r="A580" s="2" t="n">
        <v>50578</v>
      </c>
      <c r="B580" s="2" t="inlineStr">
        <is>
          <t>SKU-0098</t>
        </is>
      </c>
      <c r="C580" s="2" t="n">
        <v>14</v>
      </c>
      <c r="D580" s="2">
        <f>VLOOKUP(B580,Products!$A$2:$D$201,3,FALSE())</f>
        <v/>
      </c>
      <c r="E580" s="2">
        <f>C580*D580</f>
        <v/>
      </c>
      <c r="F580" s="2">
        <f>C580*INDEX(Products!$D$2:$D$201,MATCH(B580,Products!$A$2:$A$201,0))</f>
        <v/>
      </c>
      <c r="G580" s="2">
        <f>E580-F580</f>
        <v/>
      </c>
    </row>
    <row r="581" ht="15" customHeight="1" s="1">
      <c r="A581" s="2" t="n">
        <v>50579</v>
      </c>
      <c r="B581" s="2" t="inlineStr">
        <is>
          <t>SKU-0165</t>
        </is>
      </c>
      <c r="C581" s="2" t="n">
        <v>8</v>
      </c>
      <c r="D581" s="2">
        <f>VLOOKUP(B581,Products!$A$2:$D$201,3,FALSE())</f>
        <v/>
      </c>
      <c r="E581" s="2">
        <f>C581*D581</f>
        <v/>
      </c>
      <c r="F581" s="2">
        <f>C581*INDEX(Products!$D$2:$D$201,MATCH(B581,Products!$A$2:$A$201,0))</f>
        <v/>
      </c>
      <c r="G581" s="2">
        <f>E581-F581</f>
        <v/>
      </c>
    </row>
    <row r="582" ht="15" customHeight="1" s="1">
      <c r="A582" s="2" t="n">
        <v>50580</v>
      </c>
      <c r="B582" s="2" t="inlineStr">
        <is>
          <t>SKU-0165</t>
        </is>
      </c>
      <c r="C582" s="2" t="n">
        <v>9</v>
      </c>
      <c r="D582" s="2">
        <f>VLOOKUP(B582,Products!$A$2:$D$201,3,FALSE())</f>
        <v/>
      </c>
      <c r="E582" s="2">
        <f>C582*D582</f>
        <v/>
      </c>
      <c r="F582" s="2">
        <f>C582*INDEX(Products!$D$2:$D$201,MATCH(B582,Products!$A$2:$A$201,0))</f>
        <v/>
      </c>
      <c r="G582" s="2">
        <f>E582-F582</f>
        <v/>
      </c>
    </row>
    <row r="583" ht="15" customHeight="1" s="1">
      <c r="A583" s="2" t="n">
        <v>50581</v>
      </c>
      <c r="B583" s="2" t="inlineStr">
        <is>
          <t>SKU-0002</t>
        </is>
      </c>
      <c r="C583" s="2" t="n">
        <v>7</v>
      </c>
      <c r="D583" s="2">
        <f>VLOOKUP(B583,Products!$A$2:$D$201,3,FALSE())</f>
        <v/>
      </c>
      <c r="E583" s="2">
        <f>C583*D583</f>
        <v/>
      </c>
      <c r="F583" s="2">
        <f>C583*INDEX(Products!$D$2:$D$201,MATCH(B583,Products!$A$2:$A$201,0))</f>
        <v/>
      </c>
      <c r="G583" s="2">
        <f>E583-F583</f>
        <v/>
      </c>
    </row>
    <row r="584" ht="15" customHeight="1" s="1">
      <c r="A584" s="2" t="n">
        <v>50582</v>
      </c>
      <c r="B584" s="2" t="inlineStr">
        <is>
          <t>SKU-0168</t>
        </is>
      </c>
      <c r="C584" s="2" t="n">
        <v>8</v>
      </c>
      <c r="D584" s="2">
        <f>VLOOKUP(B584,Products!$A$2:$D$201,3,FALSE())</f>
        <v/>
      </c>
      <c r="E584" s="2">
        <f>C584*D584</f>
        <v/>
      </c>
      <c r="F584" s="2">
        <f>C584*INDEX(Products!$D$2:$D$201,MATCH(B584,Products!$A$2:$A$201,0))</f>
        <v/>
      </c>
      <c r="G584" s="2">
        <f>E584-F584</f>
        <v/>
      </c>
    </row>
    <row r="585" ht="15" customHeight="1" s="1">
      <c r="A585" s="2" t="n">
        <v>50583</v>
      </c>
      <c r="B585" s="2" t="inlineStr">
        <is>
          <t>SKU-0148</t>
        </is>
      </c>
      <c r="C585" s="2" t="n">
        <v>3</v>
      </c>
      <c r="D585" s="2">
        <f>VLOOKUP(B585,Products!$A$2:$D$201,3,FALSE())</f>
        <v/>
      </c>
      <c r="E585" s="2">
        <f>C585*D585</f>
        <v/>
      </c>
      <c r="F585" s="2">
        <f>C585*INDEX(Products!$D$2:$D$201,MATCH(B585,Products!$A$2:$A$201,0))</f>
        <v/>
      </c>
      <c r="G585" s="2">
        <f>E585-F585</f>
        <v/>
      </c>
    </row>
    <row r="586" ht="15" customHeight="1" s="1">
      <c r="A586" s="2" t="n">
        <v>50584</v>
      </c>
      <c r="B586" s="2" t="inlineStr">
        <is>
          <t>SKU-0190</t>
        </is>
      </c>
      <c r="C586" s="2" t="n">
        <v>17</v>
      </c>
      <c r="D586" s="2">
        <f>VLOOKUP(B586,Products!$A$2:$D$201,3,FALSE())</f>
        <v/>
      </c>
      <c r="E586" s="2">
        <f>C586*D586</f>
        <v/>
      </c>
      <c r="F586" s="2">
        <f>C586*INDEX(Products!$D$2:$D$201,MATCH(B586,Products!$A$2:$A$201,0))</f>
        <v/>
      </c>
      <c r="G586" s="2">
        <f>E586-F586</f>
        <v/>
      </c>
    </row>
    <row r="587" ht="15" customHeight="1" s="1">
      <c r="A587" s="2" t="n">
        <v>50585</v>
      </c>
      <c r="B587" s="2" t="inlineStr">
        <is>
          <t>SKU-0095</t>
        </is>
      </c>
      <c r="C587" s="2" t="n">
        <v>14</v>
      </c>
      <c r="D587" s="2">
        <f>VLOOKUP(B587,Products!$A$2:$D$201,3,FALSE())</f>
        <v/>
      </c>
      <c r="E587" s="2">
        <f>C587*D587</f>
        <v/>
      </c>
      <c r="F587" s="2">
        <f>C587*INDEX(Products!$D$2:$D$201,MATCH(B587,Products!$A$2:$A$201,0))</f>
        <v/>
      </c>
      <c r="G587" s="2">
        <f>E587-F587</f>
        <v/>
      </c>
    </row>
    <row r="588" ht="15" customHeight="1" s="1">
      <c r="A588" s="2" t="n">
        <v>50586</v>
      </c>
      <c r="B588" s="2" t="inlineStr">
        <is>
          <t>SKU-0149</t>
        </is>
      </c>
      <c r="C588" s="2" t="n">
        <v>10</v>
      </c>
      <c r="D588" s="2">
        <f>VLOOKUP(B588,Products!$A$2:$D$201,3,FALSE())</f>
        <v/>
      </c>
      <c r="E588" s="2">
        <f>C588*D588</f>
        <v/>
      </c>
      <c r="F588" s="2">
        <f>C588*INDEX(Products!$D$2:$D$201,MATCH(B588,Products!$A$2:$A$201,0))</f>
        <v/>
      </c>
      <c r="G588" s="2">
        <f>E588-F588</f>
        <v/>
      </c>
    </row>
    <row r="589" ht="15" customHeight="1" s="1">
      <c r="A589" s="2" t="n">
        <v>50587</v>
      </c>
      <c r="B589" s="2" t="inlineStr">
        <is>
          <t>SKU-0057</t>
        </is>
      </c>
      <c r="C589" s="2" t="n">
        <v>4</v>
      </c>
      <c r="D589" s="2">
        <f>VLOOKUP(B589,Products!$A$2:$D$201,3,FALSE())</f>
        <v/>
      </c>
      <c r="E589" s="2">
        <f>C589*D589</f>
        <v/>
      </c>
      <c r="F589" s="2">
        <f>C589*INDEX(Products!$D$2:$D$201,MATCH(B589,Products!$A$2:$A$201,0))</f>
        <v/>
      </c>
      <c r="G589" s="2">
        <f>E589-F589</f>
        <v/>
      </c>
    </row>
    <row r="590" ht="15" customHeight="1" s="1">
      <c r="A590" s="2" t="n">
        <v>50588</v>
      </c>
      <c r="B590" s="2" t="inlineStr">
        <is>
          <t>SKU-0095</t>
        </is>
      </c>
      <c r="C590" s="2" t="n">
        <v>18</v>
      </c>
      <c r="D590" s="2">
        <f>VLOOKUP(B590,Products!$A$2:$D$201,3,FALSE())</f>
        <v/>
      </c>
      <c r="E590" s="2">
        <f>C590*D590</f>
        <v/>
      </c>
      <c r="F590" s="2">
        <f>C590*INDEX(Products!$D$2:$D$201,MATCH(B590,Products!$A$2:$A$201,0))</f>
        <v/>
      </c>
      <c r="G590" s="2">
        <f>E590-F590</f>
        <v/>
      </c>
    </row>
    <row r="591" ht="15" customHeight="1" s="1">
      <c r="A591" s="2" t="n">
        <v>50589</v>
      </c>
      <c r="B591" s="2" t="inlineStr">
        <is>
          <t>SKU-0152</t>
        </is>
      </c>
      <c r="C591" s="2" t="n">
        <v>18</v>
      </c>
      <c r="D591" s="2">
        <f>VLOOKUP(B591,Products!$A$2:$D$201,3,FALSE())</f>
        <v/>
      </c>
      <c r="E591" s="2">
        <f>C591*D591</f>
        <v/>
      </c>
      <c r="F591" s="2">
        <f>C591*INDEX(Products!$D$2:$D$201,MATCH(B591,Products!$A$2:$A$201,0))</f>
        <v/>
      </c>
      <c r="G591" s="2">
        <f>E591-F591</f>
        <v/>
      </c>
    </row>
    <row r="592" ht="15" customHeight="1" s="1">
      <c r="A592" s="2" t="n">
        <v>50590</v>
      </c>
      <c r="B592" s="2" t="inlineStr">
        <is>
          <t>SKU-0193</t>
        </is>
      </c>
      <c r="C592" s="2" t="n">
        <v>15</v>
      </c>
      <c r="D592" s="2">
        <f>VLOOKUP(B592,Products!$A$2:$D$201,3,FALSE())</f>
        <v/>
      </c>
      <c r="E592" s="2">
        <f>C592*D592</f>
        <v/>
      </c>
      <c r="F592" s="2">
        <f>C592*INDEX(Products!$D$2:$D$201,MATCH(B592,Products!$A$2:$A$201,0))</f>
        <v/>
      </c>
      <c r="G592" s="2">
        <f>E592-F592</f>
        <v/>
      </c>
    </row>
    <row r="593" ht="15" customHeight="1" s="1">
      <c r="A593" s="2" t="n">
        <v>50591</v>
      </c>
      <c r="B593" s="2" t="inlineStr">
        <is>
          <t>SKU-0175</t>
        </is>
      </c>
      <c r="C593" s="2" t="n">
        <v>2</v>
      </c>
      <c r="D593" s="2">
        <f>VLOOKUP(B593,Products!$A$2:$D$201,3,FALSE())</f>
        <v/>
      </c>
      <c r="E593" s="2">
        <f>C593*D593</f>
        <v/>
      </c>
      <c r="F593" s="2">
        <f>C593*INDEX(Products!$D$2:$D$201,MATCH(B593,Products!$A$2:$A$201,0))</f>
        <v/>
      </c>
      <c r="G593" s="2">
        <f>E593-F593</f>
        <v/>
      </c>
    </row>
    <row r="594" ht="15" customHeight="1" s="1">
      <c r="A594" s="2" t="n">
        <v>50592</v>
      </c>
      <c r="B594" s="2" t="inlineStr">
        <is>
          <t>SKU-0066</t>
        </is>
      </c>
      <c r="C594" s="2" t="n">
        <v>17</v>
      </c>
      <c r="D594" s="2">
        <f>VLOOKUP(B594,Products!$A$2:$D$201,3,FALSE())</f>
        <v/>
      </c>
      <c r="E594" s="2">
        <f>C594*D594</f>
        <v/>
      </c>
      <c r="F594" s="2">
        <f>C594*INDEX(Products!$D$2:$D$201,MATCH(B594,Products!$A$2:$A$201,0))</f>
        <v/>
      </c>
      <c r="G594" s="2">
        <f>E594-F594</f>
        <v/>
      </c>
    </row>
    <row r="595" ht="15" customHeight="1" s="1">
      <c r="A595" s="2" t="n">
        <v>50593</v>
      </c>
      <c r="B595" s="2" t="inlineStr">
        <is>
          <t>SKU-0000</t>
        </is>
      </c>
      <c r="C595" s="2" t="n">
        <v>5</v>
      </c>
      <c r="D595" s="2">
        <f>VLOOKUP(B595,Products!$A$2:$D$201,3,FALSE())</f>
        <v/>
      </c>
      <c r="E595" s="2">
        <f>C595*D595</f>
        <v/>
      </c>
      <c r="F595" s="2">
        <f>C595*INDEX(Products!$D$2:$D$201,MATCH(B595,Products!$A$2:$A$201,0))</f>
        <v/>
      </c>
      <c r="G595" s="2">
        <f>E595-F595</f>
        <v/>
      </c>
    </row>
    <row r="596" ht="15" customHeight="1" s="1">
      <c r="A596" s="2" t="n">
        <v>50594</v>
      </c>
      <c r="B596" s="2" t="inlineStr">
        <is>
          <t>SKU-0108</t>
        </is>
      </c>
      <c r="C596" s="2" t="n">
        <v>2</v>
      </c>
      <c r="D596" s="2">
        <f>VLOOKUP(B596,Products!$A$2:$D$201,3,FALSE())</f>
        <v/>
      </c>
      <c r="E596" s="2">
        <f>C596*D596</f>
        <v/>
      </c>
      <c r="F596" s="2">
        <f>C596*INDEX(Products!$D$2:$D$201,MATCH(B596,Products!$A$2:$A$201,0))</f>
        <v/>
      </c>
      <c r="G596" s="2">
        <f>E596-F596</f>
        <v/>
      </c>
    </row>
    <row r="597" ht="15" customHeight="1" s="1">
      <c r="A597" s="2" t="n">
        <v>50595</v>
      </c>
      <c r="B597" s="2" t="inlineStr">
        <is>
          <t>SKU-0118</t>
        </is>
      </c>
      <c r="C597" s="2" t="n">
        <v>1</v>
      </c>
      <c r="D597" s="2">
        <f>VLOOKUP(B597,Products!$A$2:$D$201,3,FALSE())</f>
        <v/>
      </c>
      <c r="E597" s="2">
        <f>C597*D597</f>
        <v/>
      </c>
      <c r="F597" s="2">
        <f>C597*INDEX(Products!$D$2:$D$201,MATCH(B597,Products!$A$2:$A$201,0))</f>
        <v/>
      </c>
      <c r="G597" s="2">
        <f>E597-F597</f>
        <v/>
      </c>
    </row>
    <row r="598" ht="15" customHeight="1" s="1">
      <c r="A598" s="2" t="n">
        <v>50596</v>
      </c>
      <c r="B598" s="2" t="inlineStr">
        <is>
          <t>SKU-0048</t>
        </is>
      </c>
      <c r="C598" s="2" t="n">
        <v>7</v>
      </c>
      <c r="D598" s="2">
        <f>VLOOKUP(B598,Products!$A$2:$D$201,3,FALSE())</f>
        <v/>
      </c>
      <c r="E598" s="2">
        <f>C598*D598</f>
        <v/>
      </c>
      <c r="F598" s="2">
        <f>C598*INDEX(Products!$D$2:$D$201,MATCH(B598,Products!$A$2:$A$201,0))</f>
        <v/>
      </c>
      <c r="G598" s="2">
        <f>E598-F598</f>
        <v/>
      </c>
    </row>
    <row r="599" ht="15" customHeight="1" s="1">
      <c r="A599" s="2" t="n">
        <v>50597</v>
      </c>
      <c r="B599" s="2" t="inlineStr">
        <is>
          <t>SKU-0027</t>
        </is>
      </c>
      <c r="C599" s="2" t="n">
        <v>6</v>
      </c>
      <c r="D599" s="2">
        <f>VLOOKUP(B599,Products!$A$2:$D$201,3,FALSE())</f>
        <v/>
      </c>
      <c r="E599" s="2">
        <f>C599*D599</f>
        <v/>
      </c>
      <c r="F599" s="2">
        <f>C599*INDEX(Products!$D$2:$D$201,MATCH(B599,Products!$A$2:$A$201,0))</f>
        <v/>
      </c>
      <c r="G599" s="2">
        <f>E599-F599</f>
        <v/>
      </c>
    </row>
    <row r="600" ht="15" customHeight="1" s="1">
      <c r="A600" s="2" t="n">
        <v>50598</v>
      </c>
      <c r="B600" s="2" t="inlineStr">
        <is>
          <t>SKU-0117</t>
        </is>
      </c>
      <c r="C600" s="2" t="n">
        <v>15</v>
      </c>
      <c r="D600" s="2">
        <f>VLOOKUP(B600,Products!$A$2:$D$201,3,FALSE())</f>
        <v/>
      </c>
      <c r="E600" s="2">
        <f>C600*D600</f>
        <v/>
      </c>
      <c r="F600" s="2">
        <f>C600*INDEX(Products!$D$2:$D$201,MATCH(B600,Products!$A$2:$A$201,0))</f>
        <v/>
      </c>
      <c r="G600" s="2">
        <f>E600-F600</f>
        <v/>
      </c>
    </row>
    <row r="601" ht="15" customHeight="1" s="1">
      <c r="A601" s="2" t="n">
        <v>50599</v>
      </c>
      <c r="B601" s="2" t="inlineStr">
        <is>
          <t>SKU-0120</t>
        </is>
      </c>
      <c r="C601" s="2" t="n">
        <v>16</v>
      </c>
      <c r="D601" s="2">
        <f>VLOOKUP(B601,Products!$A$2:$D$201,3,FALSE())</f>
        <v/>
      </c>
      <c r="E601" s="2">
        <f>C601*D601</f>
        <v/>
      </c>
      <c r="F601" s="2">
        <f>C601*INDEX(Products!$D$2:$D$201,MATCH(B601,Products!$A$2:$A$201,0))</f>
        <v/>
      </c>
      <c r="G601" s="2">
        <f>E601-F601</f>
        <v/>
      </c>
    </row>
    <row r="602" ht="15" customHeight="1" s="1">
      <c r="A602" s="2" t="n">
        <v>50600</v>
      </c>
      <c r="B602" s="2" t="inlineStr">
        <is>
          <t>SKU-0074</t>
        </is>
      </c>
      <c r="C602" s="2" t="n">
        <v>17</v>
      </c>
      <c r="D602" s="2">
        <f>VLOOKUP(B602,Products!$A$2:$D$201,3,FALSE())</f>
        <v/>
      </c>
      <c r="E602" s="2">
        <f>C602*D602</f>
        <v/>
      </c>
      <c r="F602" s="2">
        <f>C602*INDEX(Products!$D$2:$D$201,MATCH(B602,Products!$A$2:$A$201,0))</f>
        <v/>
      </c>
      <c r="G602" s="2">
        <f>E602-F602</f>
        <v/>
      </c>
    </row>
    <row r="603" ht="15" customHeight="1" s="1">
      <c r="A603" s="2" t="n">
        <v>50601</v>
      </c>
      <c r="B603" s="2" t="inlineStr">
        <is>
          <t>SKU-0019</t>
        </is>
      </c>
      <c r="C603" s="2" t="n">
        <v>1</v>
      </c>
      <c r="D603" s="2">
        <f>VLOOKUP(B603,Products!$A$2:$D$201,3,FALSE())</f>
        <v/>
      </c>
      <c r="E603" s="2">
        <f>C603*D603</f>
        <v/>
      </c>
      <c r="F603" s="2">
        <f>C603*INDEX(Products!$D$2:$D$201,MATCH(B603,Products!$A$2:$A$201,0))</f>
        <v/>
      </c>
      <c r="G603" s="2">
        <f>E603-F603</f>
        <v/>
      </c>
    </row>
    <row r="604" ht="15" customHeight="1" s="1">
      <c r="A604" s="2" t="n">
        <v>50602</v>
      </c>
      <c r="B604" s="2" t="inlineStr">
        <is>
          <t>SKU-0196</t>
        </is>
      </c>
      <c r="C604" s="2" t="n">
        <v>20</v>
      </c>
      <c r="D604" s="2">
        <f>VLOOKUP(B604,Products!$A$2:$D$201,3,FALSE())</f>
        <v/>
      </c>
      <c r="E604" s="2">
        <f>C604*D604</f>
        <v/>
      </c>
      <c r="F604" s="2">
        <f>C604*INDEX(Products!$D$2:$D$201,MATCH(B604,Products!$A$2:$A$201,0))</f>
        <v/>
      </c>
      <c r="G604" s="2">
        <f>E604-F604</f>
        <v/>
      </c>
    </row>
    <row r="605" ht="15" customHeight="1" s="1">
      <c r="A605" s="2" t="n">
        <v>50603</v>
      </c>
      <c r="B605" s="2" t="inlineStr">
        <is>
          <t>SKU-0159</t>
        </is>
      </c>
      <c r="C605" s="2" t="n">
        <v>15</v>
      </c>
      <c r="D605" s="2">
        <f>VLOOKUP(B605,Products!$A$2:$D$201,3,FALSE())</f>
        <v/>
      </c>
      <c r="E605" s="2">
        <f>C605*D605</f>
        <v/>
      </c>
      <c r="F605" s="2">
        <f>C605*INDEX(Products!$D$2:$D$201,MATCH(B605,Products!$A$2:$A$201,0))</f>
        <v/>
      </c>
      <c r="G605" s="2">
        <f>E605-F605</f>
        <v/>
      </c>
    </row>
    <row r="606" ht="15" customHeight="1" s="1">
      <c r="A606" s="2" t="n">
        <v>50604</v>
      </c>
      <c r="B606" s="2" t="inlineStr">
        <is>
          <t>SKU-0158</t>
        </is>
      </c>
      <c r="C606" s="2" t="n">
        <v>20</v>
      </c>
      <c r="D606" s="2">
        <f>VLOOKUP(B606,Products!$A$2:$D$201,3,FALSE())</f>
        <v/>
      </c>
      <c r="E606" s="2">
        <f>C606*D606</f>
        <v/>
      </c>
      <c r="F606" s="2">
        <f>C606*INDEX(Products!$D$2:$D$201,MATCH(B606,Products!$A$2:$A$201,0))</f>
        <v/>
      </c>
      <c r="G606" s="2">
        <f>E606-F606</f>
        <v/>
      </c>
    </row>
    <row r="607" ht="15" customHeight="1" s="1">
      <c r="A607" s="2" t="n">
        <v>50605</v>
      </c>
      <c r="B607" s="2" t="inlineStr">
        <is>
          <t>SKU-0154</t>
        </is>
      </c>
      <c r="C607" s="2" t="n">
        <v>20</v>
      </c>
      <c r="D607" s="2">
        <f>VLOOKUP(B607,Products!$A$2:$D$201,3,FALSE())</f>
        <v/>
      </c>
      <c r="E607" s="2">
        <f>C607*D607</f>
        <v/>
      </c>
      <c r="F607" s="2">
        <f>C607*INDEX(Products!$D$2:$D$201,MATCH(B607,Products!$A$2:$A$201,0))</f>
        <v/>
      </c>
      <c r="G607" s="2">
        <f>E607-F607</f>
        <v/>
      </c>
    </row>
    <row r="608" ht="15" customHeight="1" s="1">
      <c r="A608" s="2" t="n">
        <v>50606</v>
      </c>
      <c r="B608" s="2" t="inlineStr">
        <is>
          <t>SKU-0052</t>
        </is>
      </c>
      <c r="C608" s="2" t="n">
        <v>1</v>
      </c>
      <c r="D608" s="2">
        <f>VLOOKUP(B608,Products!$A$2:$D$201,3,FALSE())</f>
        <v/>
      </c>
      <c r="E608" s="2">
        <f>C608*D608</f>
        <v/>
      </c>
      <c r="F608" s="2">
        <f>C608*INDEX(Products!$D$2:$D$201,MATCH(B608,Products!$A$2:$A$201,0))</f>
        <v/>
      </c>
      <c r="G608" s="2">
        <f>E608-F608</f>
        <v/>
      </c>
    </row>
    <row r="609" ht="15" customHeight="1" s="1">
      <c r="A609" s="2" t="n">
        <v>50607</v>
      </c>
      <c r="B609" s="2" t="inlineStr">
        <is>
          <t>SKU-0166</t>
        </is>
      </c>
      <c r="C609" s="2" t="n">
        <v>15</v>
      </c>
      <c r="D609" s="2">
        <f>VLOOKUP(B609,Products!$A$2:$D$201,3,FALSE())</f>
        <v/>
      </c>
      <c r="E609" s="2">
        <f>C609*D609</f>
        <v/>
      </c>
      <c r="F609" s="2">
        <f>C609*INDEX(Products!$D$2:$D$201,MATCH(B609,Products!$A$2:$A$201,0))</f>
        <v/>
      </c>
      <c r="G609" s="2">
        <f>E609-F609</f>
        <v/>
      </c>
    </row>
    <row r="610" ht="15" customHeight="1" s="1">
      <c r="A610" s="2" t="n">
        <v>50608</v>
      </c>
      <c r="B610" s="2" t="inlineStr">
        <is>
          <t>SKU-0128</t>
        </is>
      </c>
      <c r="C610" s="2" t="n">
        <v>7</v>
      </c>
      <c r="D610" s="2">
        <f>VLOOKUP(B610,Products!$A$2:$D$201,3,FALSE())</f>
        <v/>
      </c>
      <c r="E610" s="2">
        <f>C610*D610</f>
        <v/>
      </c>
      <c r="F610" s="2">
        <f>C610*INDEX(Products!$D$2:$D$201,MATCH(B610,Products!$A$2:$A$201,0))</f>
        <v/>
      </c>
      <c r="G610" s="2">
        <f>E610-F610</f>
        <v/>
      </c>
    </row>
    <row r="611" ht="15" customHeight="1" s="1">
      <c r="A611" s="2" t="n">
        <v>50609</v>
      </c>
      <c r="B611" s="2" t="inlineStr">
        <is>
          <t>SKU-0016</t>
        </is>
      </c>
      <c r="C611" s="2" t="n">
        <v>11</v>
      </c>
      <c r="D611" s="2">
        <f>VLOOKUP(B611,Products!$A$2:$D$201,3,FALSE())</f>
        <v/>
      </c>
      <c r="E611" s="2">
        <f>C611*D611</f>
        <v/>
      </c>
      <c r="F611" s="2">
        <f>C611*INDEX(Products!$D$2:$D$201,MATCH(B611,Products!$A$2:$A$201,0))</f>
        <v/>
      </c>
      <c r="G611" s="2">
        <f>E611-F611</f>
        <v/>
      </c>
    </row>
    <row r="612" ht="15" customHeight="1" s="1">
      <c r="A612" s="2" t="n">
        <v>50610</v>
      </c>
      <c r="B612" s="2" t="inlineStr">
        <is>
          <t>SKU-0051</t>
        </is>
      </c>
      <c r="C612" s="2" t="n">
        <v>4</v>
      </c>
      <c r="D612" s="2">
        <f>VLOOKUP(B612,Products!$A$2:$D$201,3,FALSE())</f>
        <v/>
      </c>
      <c r="E612" s="2">
        <f>C612*D612</f>
        <v/>
      </c>
      <c r="F612" s="2">
        <f>C612*INDEX(Products!$D$2:$D$201,MATCH(B612,Products!$A$2:$A$201,0))</f>
        <v/>
      </c>
      <c r="G612" s="2">
        <f>E612-F612</f>
        <v/>
      </c>
    </row>
    <row r="613" ht="15" customHeight="1" s="1">
      <c r="A613" s="2" t="n">
        <v>50611</v>
      </c>
      <c r="B613" s="2" t="inlineStr">
        <is>
          <t>SKU-0136</t>
        </is>
      </c>
      <c r="C613" s="2" t="n">
        <v>12</v>
      </c>
      <c r="D613" s="2">
        <f>VLOOKUP(B613,Products!$A$2:$D$201,3,FALSE())</f>
        <v/>
      </c>
      <c r="E613" s="2">
        <f>C613*D613</f>
        <v/>
      </c>
      <c r="F613" s="2">
        <f>C613*INDEX(Products!$D$2:$D$201,MATCH(B613,Products!$A$2:$A$201,0))</f>
        <v/>
      </c>
      <c r="G613" s="2">
        <f>E613-F613</f>
        <v/>
      </c>
    </row>
    <row r="614" ht="15" customHeight="1" s="1">
      <c r="A614" s="2" t="n">
        <v>50612</v>
      </c>
      <c r="B614" s="2" t="inlineStr">
        <is>
          <t>SKU-0022</t>
        </is>
      </c>
      <c r="C614" s="2" t="n">
        <v>6</v>
      </c>
      <c r="D614" s="2">
        <f>VLOOKUP(B614,Products!$A$2:$D$201,3,FALSE())</f>
        <v/>
      </c>
      <c r="E614" s="2">
        <f>C614*D614</f>
        <v/>
      </c>
      <c r="F614" s="2">
        <f>C614*INDEX(Products!$D$2:$D$201,MATCH(B614,Products!$A$2:$A$201,0))</f>
        <v/>
      </c>
      <c r="G614" s="2">
        <f>E614-F614</f>
        <v/>
      </c>
    </row>
    <row r="615" ht="15" customHeight="1" s="1">
      <c r="A615" s="2" t="n">
        <v>50613</v>
      </c>
      <c r="B615" s="2" t="inlineStr">
        <is>
          <t>SKU-0056</t>
        </is>
      </c>
      <c r="C615" s="2" t="n">
        <v>13</v>
      </c>
      <c r="D615" s="2">
        <f>VLOOKUP(B615,Products!$A$2:$D$201,3,FALSE())</f>
        <v/>
      </c>
      <c r="E615" s="2">
        <f>C615*D615</f>
        <v/>
      </c>
      <c r="F615" s="2">
        <f>C615*INDEX(Products!$D$2:$D$201,MATCH(B615,Products!$A$2:$A$201,0))</f>
        <v/>
      </c>
      <c r="G615" s="2">
        <f>E615-F615</f>
        <v/>
      </c>
    </row>
    <row r="616" ht="15" customHeight="1" s="1">
      <c r="A616" s="2" t="n">
        <v>50614</v>
      </c>
      <c r="B616" s="2" t="inlineStr">
        <is>
          <t>SKU-0000</t>
        </is>
      </c>
      <c r="C616" s="2" t="n">
        <v>2</v>
      </c>
      <c r="D616" s="2">
        <f>VLOOKUP(B616,Products!$A$2:$D$201,3,FALSE())</f>
        <v/>
      </c>
      <c r="E616" s="2">
        <f>C616*D616</f>
        <v/>
      </c>
      <c r="F616" s="2">
        <f>C616*INDEX(Products!$D$2:$D$201,MATCH(B616,Products!$A$2:$A$201,0))</f>
        <v/>
      </c>
      <c r="G616" s="2">
        <f>E616-F616</f>
        <v/>
      </c>
    </row>
    <row r="617" ht="15" customHeight="1" s="1">
      <c r="A617" s="2" t="n">
        <v>50615</v>
      </c>
      <c r="B617" s="2" t="inlineStr">
        <is>
          <t>SKU-0109</t>
        </is>
      </c>
      <c r="C617" s="2" t="n">
        <v>2</v>
      </c>
      <c r="D617" s="2">
        <f>VLOOKUP(B617,Products!$A$2:$D$201,3,FALSE())</f>
        <v/>
      </c>
      <c r="E617" s="2">
        <f>C617*D617</f>
        <v/>
      </c>
      <c r="F617" s="2">
        <f>C617*INDEX(Products!$D$2:$D$201,MATCH(B617,Products!$A$2:$A$201,0))</f>
        <v/>
      </c>
      <c r="G617" s="2">
        <f>E617-F617</f>
        <v/>
      </c>
    </row>
    <row r="618" ht="15" customHeight="1" s="1">
      <c r="A618" s="2" t="n">
        <v>50616</v>
      </c>
      <c r="B618" s="2" t="inlineStr">
        <is>
          <t>SKU-0076</t>
        </is>
      </c>
      <c r="C618" s="2" t="n">
        <v>7</v>
      </c>
      <c r="D618" s="2">
        <f>VLOOKUP(B618,Products!$A$2:$D$201,3,FALSE())</f>
        <v/>
      </c>
      <c r="E618" s="2">
        <f>C618*D618</f>
        <v/>
      </c>
      <c r="F618" s="2">
        <f>C618*INDEX(Products!$D$2:$D$201,MATCH(B618,Products!$A$2:$A$201,0))</f>
        <v/>
      </c>
      <c r="G618" s="2">
        <f>E618-F618</f>
        <v/>
      </c>
    </row>
    <row r="619" ht="15" customHeight="1" s="1">
      <c r="A619" s="2" t="n">
        <v>50617</v>
      </c>
      <c r="B619" s="2" t="inlineStr">
        <is>
          <t>SKU-0186</t>
        </is>
      </c>
      <c r="C619" s="2" t="n">
        <v>13</v>
      </c>
      <c r="D619" s="2">
        <f>VLOOKUP(B619,Products!$A$2:$D$201,3,FALSE())</f>
        <v/>
      </c>
      <c r="E619" s="2">
        <f>C619*D619</f>
        <v/>
      </c>
      <c r="F619" s="2">
        <f>C619*INDEX(Products!$D$2:$D$201,MATCH(B619,Products!$A$2:$A$201,0))</f>
        <v/>
      </c>
      <c r="G619" s="2">
        <f>E619-F619</f>
        <v/>
      </c>
    </row>
    <row r="620" ht="15" customHeight="1" s="1">
      <c r="A620" s="2" t="n">
        <v>50618</v>
      </c>
      <c r="B620" s="2" t="inlineStr">
        <is>
          <t>SKU-0100</t>
        </is>
      </c>
      <c r="C620" s="2" t="n">
        <v>6</v>
      </c>
      <c r="D620" s="2">
        <f>VLOOKUP(B620,Products!$A$2:$D$201,3,FALSE())</f>
        <v/>
      </c>
      <c r="E620" s="2">
        <f>C620*D620</f>
        <v/>
      </c>
      <c r="F620" s="2">
        <f>C620*INDEX(Products!$D$2:$D$201,MATCH(B620,Products!$A$2:$A$201,0))</f>
        <v/>
      </c>
      <c r="G620" s="2">
        <f>E620-F620</f>
        <v/>
      </c>
    </row>
    <row r="621" ht="15" customHeight="1" s="1">
      <c r="A621" s="2" t="n">
        <v>50619</v>
      </c>
      <c r="B621" s="2" t="inlineStr">
        <is>
          <t>SKU-0197</t>
        </is>
      </c>
      <c r="C621" s="2" t="n">
        <v>4</v>
      </c>
      <c r="D621" s="2">
        <f>VLOOKUP(B621,Products!$A$2:$D$201,3,FALSE())</f>
        <v/>
      </c>
      <c r="E621" s="2">
        <f>C621*D621</f>
        <v/>
      </c>
      <c r="F621" s="2">
        <f>C621*INDEX(Products!$D$2:$D$201,MATCH(B621,Products!$A$2:$A$201,0))</f>
        <v/>
      </c>
      <c r="G621" s="2">
        <f>E621-F621</f>
        <v/>
      </c>
    </row>
    <row r="622" ht="15" customHeight="1" s="1">
      <c r="A622" s="2" t="n">
        <v>50620</v>
      </c>
      <c r="B622" s="2" t="inlineStr">
        <is>
          <t>SKU-0098</t>
        </is>
      </c>
      <c r="C622" s="2" t="n">
        <v>7</v>
      </c>
      <c r="D622" s="2">
        <f>VLOOKUP(B622,Products!$A$2:$D$201,3,FALSE())</f>
        <v/>
      </c>
      <c r="E622" s="2">
        <f>C622*D622</f>
        <v/>
      </c>
      <c r="F622" s="2">
        <f>C622*INDEX(Products!$D$2:$D$201,MATCH(B622,Products!$A$2:$A$201,0))</f>
        <v/>
      </c>
      <c r="G622" s="2">
        <f>E622-F622</f>
        <v/>
      </c>
    </row>
    <row r="623" ht="15" customHeight="1" s="1">
      <c r="A623" s="2" t="n">
        <v>50621</v>
      </c>
      <c r="B623" s="2" t="inlineStr">
        <is>
          <t>SKU-0055</t>
        </is>
      </c>
      <c r="C623" s="2" t="n">
        <v>5</v>
      </c>
      <c r="D623" s="2">
        <f>VLOOKUP(B623,Products!$A$2:$D$201,3,FALSE())</f>
        <v/>
      </c>
      <c r="E623" s="2">
        <f>C623*D623</f>
        <v/>
      </c>
      <c r="F623" s="2">
        <f>C623*INDEX(Products!$D$2:$D$201,MATCH(B623,Products!$A$2:$A$201,0))</f>
        <v/>
      </c>
      <c r="G623" s="2">
        <f>E623-F623</f>
        <v/>
      </c>
    </row>
    <row r="624" ht="15" customHeight="1" s="1">
      <c r="A624" s="2" t="n">
        <v>50622</v>
      </c>
      <c r="B624" s="2" t="inlineStr">
        <is>
          <t>SKU-0103</t>
        </is>
      </c>
      <c r="C624" s="2" t="n">
        <v>15</v>
      </c>
      <c r="D624" s="2">
        <f>VLOOKUP(B624,Products!$A$2:$D$201,3,FALSE())</f>
        <v/>
      </c>
      <c r="E624" s="2">
        <f>C624*D624</f>
        <v/>
      </c>
      <c r="F624" s="2">
        <f>C624*INDEX(Products!$D$2:$D$201,MATCH(B624,Products!$A$2:$A$201,0))</f>
        <v/>
      </c>
      <c r="G624" s="2">
        <f>E624-F624</f>
        <v/>
      </c>
    </row>
    <row r="625" ht="15" customHeight="1" s="1">
      <c r="A625" s="2" t="n">
        <v>50623</v>
      </c>
      <c r="B625" s="2" t="inlineStr">
        <is>
          <t>SKU-0037</t>
        </is>
      </c>
      <c r="C625" s="2" t="n">
        <v>14</v>
      </c>
      <c r="D625" s="2">
        <f>VLOOKUP(B625,Products!$A$2:$D$201,3,FALSE())</f>
        <v/>
      </c>
      <c r="E625" s="2">
        <f>C625*D625</f>
        <v/>
      </c>
      <c r="F625" s="2">
        <f>C625*INDEX(Products!$D$2:$D$201,MATCH(B625,Products!$A$2:$A$201,0))</f>
        <v/>
      </c>
      <c r="G625" s="2">
        <f>E625-F625</f>
        <v/>
      </c>
    </row>
    <row r="626" ht="15" customHeight="1" s="1">
      <c r="A626" s="2" t="n">
        <v>50624</v>
      </c>
      <c r="B626" s="2" t="inlineStr">
        <is>
          <t>SKU-0006</t>
        </is>
      </c>
      <c r="C626" s="2" t="n">
        <v>9</v>
      </c>
      <c r="D626" s="2">
        <f>VLOOKUP(B626,Products!$A$2:$D$201,3,FALSE())</f>
        <v/>
      </c>
      <c r="E626" s="2">
        <f>C626*D626</f>
        <v/>
      </c>
      <c r="F626" s="2">
        <f>C626*INDEX(Products!$D$2:$D$201,MATCH(B626,Products!$A$2:$A$201,0))</f>
        <v/>
      </c>
      <c r="G626" s="2">
        <f>E626-F626</f>
        <v/>
      </c>
    </row>
    <row r="627" ht="15" customHeight="1" s="1">
      <c r="A627" s="2" t="n">
        <v>50625</v>
      </c>
      <c r="B627" s="2" t="inlineStr">
        <is>
          <t>SKU-0116</t>
        </is>
      </c>
      <c r="C627" s="2" t="n">
        <v>17</v>
      </c>
      <c r="D627" s="2">
        <f>VLOOKUP(B627,Products!$A$2:$D$201,3,FALSE())</f>
        <v/>
      </c>
      <c r="E627" s="2">
        <f>C627*D627</f>
        <v/>
      </c>
      <c r="F627" s="2">
        <f>C627*INDEX(Products!$D$2:$D$201,MATCH(B627,Products!$A$2:$A$201,0))</f>
        <v/>
      </c>
      <c r="G627" s="2">
        <f>E627-F627</f>
        <v/>
      </c>
    </row>
    <row r="628" ht="15" customHeight="1" s="1">
      <c r="A628" s="2" t="n">
        <v>50626</v>
      </c>
      <c r="B628" s="2" t="inlineStr">
        <is>
          <t>SKU-0196</t>
        </is>
      </c>
      <c r="C628" s="2" t="n">
        <v>7</v>
      </c>
      <c r="D628" s="2">
        <f>VLOOKUP(B628,Products!$A$2:$D$201,3,FALSE())</f>
        <v/>
      </c>
      <c r="E628" s="2">
        <f>C628*D628</f>
        <v/>
      </c>
      <c r="F628" s="2">
        <f>C628*INDEX(Products!$D$2:$D$201,MATCH(B628,Products!$A$2:$A$201,0))</f>
        <v/>
      </c>
      <c r="G628" s="2">
        <f>E628-F628</f>
        <v/>
      </c>
    </row>
    <row r="629" ht="15" customHeight="1" s="1">
      <c r="A629" s="2" t="n">
        <v>50627</v>
      </c>
      <c r="B629" s="2" t="inlineStr">
        <is>
          <t>SKU-0177</t>
        </is>
      </c>
      <c r="C629" s="2" t="n">
        <v>9</v>
      </c>
      <c r="D629" s="2">
        <f>VLOOKUP(B629,Products!$A$2:$D$201,3,FALSE())</f>
        <v/>
      </c>
      <c r="E629" s="2">
        <f>C629*D629</f>
        <v/>
      </c>
      <c r="F629" s="2">
        <f>C629*INDEX(Products!$D$2:$D$201,MATCH(B629,Products!$A$2:$A$201,0))</f>
        <v/>
      </c>
      <c r="G629" s="2">
        <f>E629-F629</f>
        <v/>
      </c>
    </row>
    <row r="630" ht="15" customHeight="1" s="1">
      <c r="A630" s="2" t="n">
        <v>50628</v>
      </c>
      <c r="B630" s="2" t="inlineStr">
        <is>
          <t>SKU-0195</t>
        </is>
      </c>
      <c r="C630" s="2" t="n">
        <v>3</v>
      </c>
      <c r="D630" s="2">
        <f>VLOOKUP(B630,Products!$A$2:$D$201,3,FALSE())</f>
        <v/>
      </c>
      <c r="E630" s="2">
        <f>C630*D630</f>
        <v/>
      </c>
      <c r="F630" s="2">
        <f>C630*INDEX(Products!$D$2:$D$201,MATCH(B630,Products!$A$2:$A$201,0))</f>
        <v/>
      </c>
      <c r="G630" s="2">
        <f>E630-F630</f>
        <v/>
      </c>
    </row>
    <row r="631" ht="15" customHeight="1" s="1">
      <c r="A631" s="2" t="n">
        <v>50629</v>
      </c>
      <c r="B631" s="2" t="inlineStr">
        <is>
          <t>SKU-0059</t>
        </is>
      </c>
      <c r="C631" s="2" t="n">
        <v>14</v>
      </c>
      <c r="D631" s="2">
        <f>VLOOKUP(B631,Products!$A$2:$D$201,3,FALSE())</f>
        <v/>
      </c>
      <c r="E631" s="2">
        <f>C631*D631</f>
        <v/>
      </c>
      <c r="F631" s="2">
        <f>C631*INDEX(Products!$D$2:$D$201,MATCH(B631,Products!$A$2:$A$201,0))</f>
        <v/>
      </c>
      <c r="G631" s="2">
        <f>E631-F631</f>
        <v/>
      </c>
    </row>
    <row r="632" ht="15" customHeight="1" s="1">
      <c r="A632" s="2" t="n">
        <v>50630</v>
      </c>
      <c r="B632" s="2" t="inlineStr">
        <is>
          <t>SKU-0106</t>
        </is>
      </c>
      <c r="C632" s="2" t="n">
        <v>18</v>
      </c>
      <c r="D632" s="2">
        <f>VLOOKUP(B632,Products!$A$2:$D$201,3,FALSE())</f>
        <v/>
      </c>
      <c r="E632" s="2">
        <f>C632*D632</f>
        <v/>
      </c>
      <c r="F632" s="2">
        <f>C632*INDEX(Products!$D$2:$D$201,MATCH(B632,Products!$A$2:$A$201,0))</f>
        <v/>
      </c>
      <c r="G632" s="2">
        <f>E632-F632</f>
        <v/>
      </c>
    </row>
    <row r="633" ht="15" customHeight="1" s="1">
      <c r="A633" s="2" t="n">
        <v>50631</v>
      </c>
      <c r="B633" s="2" t="inlineStr">
        <is>
          <t>SKU-0182</t>
        </is>
      </c>
      <c r="C633" s="2" t="n">
        <v>15</v>
      </c>
      <c r="D633" s="2">
        <f>VLOOKUP(B633,Products!$A$2:$D$201,3,FALSE())</f>
        <v/>
      </c>
      <c r="E633" s="2">
        <f>C633*D633</f>
        <v/>
      </c>
      <c r="F633" s="2">
        <f>C633*INDEX(Products!$D$2:$D$201,MATCH(B633,Products!$A$2:$A$201,0))</f>
        <v/>
      </c>
      <c r="G633" s="2">
        <f>E633-F633</f>
        <v/>
      </c>
    </row>
    <row r="634" ht="15" customHeight="1" s="1">
      <c r="A634" s="2" t="n">
        <v>50632</v>
      </c>
      <c r="B634" s="2" t="inlineStr">
        <is>
          <t>SKU-0187</t>
        </is>
      </c>
      <c r="C634" s="2" t="n">
        <v>7</v>
      </c>
      <c r="D634" s="2">
        <f>VLOOKUP(B634,Products!$A$2:$D$201,3,FALSE())</f>
        <v/>
      </c>
      <c r="E634" s="2">
        <f>C634*D634</f>
        <v/>
      </c>
      <c r="F634" s="2">
        <f>C634*INDEX(Products!$D$2:$D$201,MATCH(B634,Products!$A$2:$A$201,0))</f>
        <v/>
      </c>
      <c r="G634" s="2">
        <f>E634-F634</f>
        <v/>
      </c>
    </row>
    <row r="635" ht="15" customHeight="1" s="1">
      <c r="A635" s="2" t="n">
        <v>50633</v>
      </c>
      <c r="B635" s="2" t="inlineStr">
        <is>
          <t>SKU-0051</t>
        </is>
      </c>
      <c r="C635" s="2" t="n">
        <v>11</v>
      </c>
      <c r="D635" s="2">
        <f>VLOOKUP(B635,Products!$A$2:$D$201,3,FALSE())</f>
        <v/>
      </c>
      <c r="E635" s="2">
        <f>C635*D635</f>
        <v/>
      </c>
      <c r="F635" s="2">
        <f>C635*INDEX(Products!$D$2:$D$201,MATCH(B635,Products!$A$2:$A$201,0))</f>
        <v/>
      </c>
      <c r="G635" s="2">
        <f>E635-F635</f>
        <v/>
      </c>
    </row>
    <row r="636" ht="15" customHeight="1" s="1">
      <c r="A636" s="2" t="n">
        <v>50634</v>
      </c>
      <c r="B636" s="2" t="inlineStr">
        <is>
          <t>SKU-0149</t>
        </is>
      </c>
      <c r="C636" s="2" t="n">
        <v>9</v>
      </c>
      <c r="D636" s="2">
        <f>VLOOKUP(B636,Products!$A$2:$D$201,3,FALSE())</f>
        <v/>
      </c>
      <c r="E636" s="2">
        <f>C636*D636</f>
        <v/>
      </c>
      <c r="F636" s="2">
        <f>C636*INDEX(Products!$D$2:$D$201,MATCH(B636,Products!$A$2:$A$201,0))</f>
        <v/>
      </c>
      <c r="G636" s="2">
        <f>E636-F636</f>
        <v/>
      </c>
    </row>
    <row r="637" ht="15" customHeight="1" s="1">
      <c r="A637" s="2" t="n">
        <v>50635</v>
      </c>
      <c r="B637" s="2" t="inlineStr">
        <is>
          <t>SKU-0183</t>
        </is>
      </c>
      <c r="C637" s="2" t="n">
        <v>2</v>
      </c>
      <c r="D637" s="2">
        <f>VLOOKUP(B637,Products!$A$2:$D$201,3,FALSE())</f>
        <v/>
      </c>
      <c r="E637" s="2">
        <f>C637*D637</f>
        <v/>
      </c>
      <c r="F637" s="2">
        <f>C637*INDEX(Products!$D$2:$D$201,MATCH(B637,Products!$A$2:$A$201,0))</f>
        <v/>
      </c>
      <c r="G637" s="2">
        <f>E637-F637</f>
        <v/>
      </c>
    </row>
    <row r="638" ht="15" customHeight="1" s="1">
      <c r="A638" s="2" t="n">
        <v>50636</v>
      </c>
      <c r="B638" s="2" t="inlineStr">
        <is>
          <t>SKU-0049</t>
        </is>
      </c>
      <c r="C638" s="2" t="n">
        <v>18</v>
      </c>
      <c r="D638" s="2">
        <f>VLOOKUP(B638,Products!$A$2:$D$201,3,FALSE())</f>
        <v/>
      </c>
      <c r="E638" s="2">
        <f>C638*D638</f>
        <v/>
      </c>
      <c r="F638" s="2">
        <f>C638*INDEX(Products!$D$2:$D$201,MATCH(B638,Products!$A$2:$A$201,0))</f>
        <v/>
      </c>
      <c r="G638" s="2">
        <f>E638-F638</f>
        <v/>
      </c>
    </row>
    <row r="639" ht="15" customHeight="1" s="1">
      <c r="A639" s="2" t="n">
        <v>50637</v>
      </c>
      <c r="B639" s="2" t="inlineStr">
        <is>
          <t>SKU-0041</t>
        </is>
      </c>
      <c r="C639" s="2" t="n">
        <v>12</v>
      </c>
      <c r="D639" s="2">
        <f>VLOOKUP(B639,Products!$A$2:$D$201,3,FALSE())</f>
        <v/>
      </c>
      <c r="E639" s="2">
        <f>C639*D639</f>
        <v/>
      </c>
      <c r="F639" s="2">
        <f>C639*INDEX(Products!$D$2:$D$201,MATCH(B639,Products!$A$2:$A$201,0))</f>
        <v/>
      </c>
      <c r="G639" s="2">
        <f>E639-F639</f>
        <v/>
      </c>
    </row>
    <row r="640" ht="15" customHeight="1" s="1">
      <c r="A640" s="2" t="n">
        <v>50638</v>
      </c>
      <c r="B640" s="2" t="inlineStr">
        <is>
          <t>SKU-0162</t>
        </is>
      </c>
      <c r="C640" s="2" t="n">
        <v>4</v>
      </c>
      <c r="D640" s="2">
        <f>VLOOKUP(B640,Products!$A$2:$D$201,3,FALSE())</f>
        <v/>
      </c>
      <c r="E640" s="2">
        <f>C640*D640</f>
        <v/>
      </c>
      <c r="F640" s="2">
        <f>C640*INDEX(Products!$D$2:$D$201,MATCH(B640,Products!$A$2:$A$201,0))</f>
        <v/>
      </c>
      <c r="G640" s="2">
        <f>E640-F640</f>
        <v/>
      </c>
    </row>
    <row r="641" ht="15" customHeight="1" s="1">
      <c r="A641" s="2" t="n">
        <v>50639</v>
      </c>
      <c r="B641" s="2" t="inlineStr">
        <is>
          <t>SKU-0181</t>
        </is>
      </c>
      <c r="C641" s="2" t="n">
        <v>20</v>
      </c>
      <c r="D641" s="2">
        <f>VLOOKUP(B641,Products!$A$2:$D$201,3,FALSE())</f>
        <v/>
      </c>
      <c r="E641" s="2">
        <f>C641*D641</f>
        <v/>
      </c>
      <c r="F641" s="2">
        <f>C641*INDEX(Products!$D$2:$D$201,MATCH(B641,Products!$A$2:$A$201,0))</f>
        <v/>
      </c>
      <c r="G641" s="2">
        <f>E641-F641</f>
        <v/>
      </c>
    </row>
    <row r="642" ht="15" customHeight="1" s="1">
      <c r="A642" s="2" t="n">
        <v>50640</v>
      </c>
      <c r="B642" s="2" t="inlineStr">
        <is>
          <t>SKU-0110</t>
        </is>
      </c>
      <c r="C642" s="2" t="n">
        <v>12</v>
      </c>
      <c r="D642" s="2">
        <f>VLOOKUP(B642,Products!$A$2:$D$201,3,FALSE())</f>
        <v/>
      </c>
      <c r="E642" s="2">
        <f>C642*D642</f>
        <v/>
      </c>
      <c r="F642" s="2">
        <f>C642*INDEX(Products!$D$2:$D$201,MATCH(B642,Products!$A$2:$A$201,0))</f>
        <v/>
      </c>
      <c r="G642" s="2">
        <f>E642-F642</f>
        <v/>
      </c>
    </row>
    <row r="643" ht="15" customHeight="1" s="1">
      <c r="A643" s="2" t="n">
        <v>50641</v>
      </c>
      <c r="B643" s="2" t="inlineStr">
        <is>
          <t>SKU-0036</t>
        </is>
      </c>
      <c r="C643" s="2" t="n">
        <v>10</v>
      </c>
      <c r="D643" s="2">
        <f>VLOOKUP(B643,Products!$A$2:$D$201,3,FALSE())</f>
        <v/>
      </c>
      <c r="E643" s="2">
        <f>C643*D643</f>
        <v/>
      </c>
      <c r="F643" s="2">
        <f>C643*INDEX(Products!$D$2:$D$201,MATCH(B643,Products!$A$2:$A$201,0))</f>
        <v/>
      </c>
      <c r="G643" s="2">
        <f>E643-F643</f>
        <v/>
      </c>
    </row>
    <row r="644" ht="15" customHeight="1" s="1">
      <c r="A644" s="2" t="n">
        <v>50642</v>
      </c>
      <c r="B644" s="2" t="inlineStr">
        <is>
          <t>SKU-0046</t>
        </is>
      </c>
      <c r="C644" s="2" t="n">
        <v>1</v>
      </c>
      <c r="D644" s="2">
        <f>VLOOKUP(B644,Products!$A$2:$D$201,3,FALSE())</f>
        <v/>
      </c>
      <c r="E644" s="2">
        <f>C644*D644</f>
        <v/>
      </c>
      <c r="F644" s="2">
        <f>C644*INDEX(Products!$D$2:$D$201,MATCH(B644,Products!$A$2:$A$201,0))</f>
        <v/>
      </c>
      <c r="G644" s="2">
        <f>E644-F644</f>
        <v/>
      </c>
    </row>
    <row r="645" ht="15" customHeight="1" s="1">
      <c r="A645" s="2" t="n">
        <v>50643</v>
      </c>
      <c r="B645" s="2" t="inlineStr">
        <is>
          <t>SKU-0139</t>
        </is>
      </c>
      <c r="C645" s="2" t="n">
        <v>5</v>
      </c>
      <c r="D645" s="2">
        <f>VLOOKUP(B645,Products!$A$2:$D$201,3,FALSE())</f>
        <v/>
      </c>
      <c r="E645" s="2">
        <f>C645*D645</f>
        <v/>
      </c>
      <c r="F645" s="2">
        <f>C645*INDEX(Products!$D$2:$D$201,MATCH(B645,Products!$A$2:$A$201,0))</f>
        <v/>
      </c>
      <c r="G645" s="2">
        <f>E645-F645</f>
        <v/>
      </c>
    </row>
    <row r="646" ht="15" customHeight="1" s="1">
      <c r="A646" s="2" t="n">
        <v>50644</v>
      </c>
      <c r="B646" s="2" t="inlineStr">
        <is>
          <t>SKU-0180</t>
        </is>
      </c>
      <c r="C646" s="2" t="n">
        <v>14</v>
      </c>
      <c r="D646" s="2">
        <f>VLOOKUP(B646,Products!$A$2:$D$201,3,FALSE())</f>
        <v/>
      </c>
      <c r="E646" s="2">
        <f>C646*D646</f>
        <v/>
      </c>
      <c r="F646" s="2">
        <f>C646*INDEX(Products!$D$2:$D$201,MATCH(B646,Products!$A$2:$A$201,0))</f>
        <v/>
      </c>
      <c r="G646" s="2">
        <f>E646-F646</f>
        <v/>
      </c>
    </row>
    <row r="647" ht="15" customHeight="1" s="1">
      <c r="A647" s="2" t="n">
        <v>50645</v>
      </c>
      <c r="B647" s="2" t="inlineStr">
        <is>
          <t>SKU-0026</t>
        </is>
      </c>
      <c r="C647" s="2" t="n">
        <v>1</v>
      </c>
      <c r="D647" s="2">
        <f>VLOOKUP(B647,Products!$A$2:$D$201,3,FALSE())</f>
        <v/>
      </c>
      <c r="E647" s="2">
        <f>C647*D647</f>
        <v/>
      </c>
      <c r="F647" s="2">
        <f>C647*INDEX(Products!$D$2:$D$201,MATCH(B647,Products!$A$2:$A$201,0))</f>
        <v/>
      </c>
      <c r="G647" s="2">
        <f>E647-F647</f>
        <v/>
      </c>
    </row>
    <row r="648" ht="15" customHeight="1" s="1">
      <c r="A648" s="2" t="n">
        <v>50646</v>
      </c>
      <c r="B648" s="2" t="inlineStr">
        <is>
          <t>SKU-0179</t>
        </is>
      </c>
      <c r="C648" s="2" t="n">
        <v>18</v>
      </c>
      <c r="D648" s="2">
        <f>VLOOKUP(B648,Products!$A$2:$D$201,3,FALSE())</f>
        <v/>
      </c>
      <c r="E648" s="2">
        <f>C648*D648</f>
        <v/>
      </c>
      <c r="F648" s="2">
        <f>C648*INDEX(Products!$D$2:$D$201,MATCH(B648,Products!$A$2:$A$201,0))</f>
        <v/>
      </c>
      <c r="G648" s="2">
        <f>E648-F648</f>
        <v/>
      </c>
    </row>
    <row r="649" ht="15" customHeight="1" s="1">
      <c r="A649" s="2" t="n">
        <v>50647</v>
      </c>
      <c r="B649" s="2" t="inlineStr">
        <is>
          <t>SKU-0119</t>
        </is>
      </c>
      <c r="C649" s="2" t="n">
        <v>11</v>
      </c>
      <c r="D649" s="2">
        <f>VLOOKUP(B649,Products!$A$2:$D$201,3,FALSE())</f>
        <v/>
      </c>
      <c r="E649" s="2">
        <f>C649*D649</f>
        <v/>
      </c>
      <c r="F649" s="2">
        <f>C649*INDEX(Products!$D$2:$D$201,MATCH(B649,Products!$A$2:$A$201,0))</f>
        <v/>
      </c>
      <c r="G649" s="2">
        <f>E649-F649</f>
        <v/>
      </c>
    </row>
    <row r="650" ht="15" customHeight="1" s="1">
      <c r="A650" s="2" t="n">
        <v>50648</v>
      </c>
      <c r="B650" s="2" t="inlineStr">
        <is>
          <t>SKU-0185</t>
        </is>
      </c>
      <c r="C650" s="2" t="n">
        <v>3</v>
      </c>
      <c r="D650" s="2">
        <f>VLOOKUP(B650,Products!$A$2:$D$201,3,FALSE())</f>
        <v/>
      </c>
      <c r="E650" s="2">
        <f>C650*D650</f>
        <v/>
      </c>
      <c r="F650" s="2">
        <f>C650*INDEX(Products!$D$2:$D$201,MATCH(B650,Products!$A$2:$A$201,0))</f>
        <v/>
      </c>
      <c r="G650" s="2">
        <f>E650-F650</f>
        <v/>
      </c>
    </row>
    <row r="651" ht="15" customHeight="1" s="1">
      <c r="A651" s="2" t="n">
        <v>50649</v>
      </c>
      <c r="B651" s="2" t="inlineStr">
        <is>
          <t>SKU-0124</t>
        </is>
      </c>
      <c r="C651" s="2" t="n">
        <v>5</v>
      </c>
      <c r="D651" s="2">
        <f>VLOOKUP(B651,Products!$A$2:$D$201,3,FALSE())</f>
        <v/>
      </c>
      <c r="E651" s="2">
        <f>C651*D651</f>
        <v/>
      </c>
      <c r="F651" s="2">
        <f>C651*INDEX(Products!$D$2:$D$201,MATCH(B651,Products!$A$2:$A$201,0))</f>
        <v/>
      </c>
      <c r="G651" s="2">
        <f>E651-F651</f>
        <v/>
      </c>
    </row>
    <row r="652" ht="15" customHeight="1" s="1">
      <c r="A652" s="2" t="n">
        <v>50650</v>
      </c>
      <c r="B652" s="2" t="inlineStr">
        <is>
          <t>SKU-0094</t>
        </is>
      </c>
      <c r="C652" s="2" t="n">
        <v>1</v>
      </c>
      <c r="D652" s="2">
        <f>VLOOKUP(B652,Products!$A$2:$D$201,3,FALSE())</f>
        <v/>
      </c>
      <c r="E652" s="2">
        <f>C652*D652</f>
        <v/>
      </c>
      <c r="F652" s="2">
        <f>C652*INDEX(Products!$D$2:$D$201,MATCH(B652,Products!$A$2:$A$201,0))</f>
        <v/>
      </c>
      <c r="G652" s="2">
        <f>E652-F652</f>
        <v/>
      </c>
    </row>
    <row r="653" ht="15" customHeight="1" s="1">
      <c r="A653" s="2" t="n">
        <v>50651</v>
      </c>
      <c r="B653" s="2" t="inlineStr">
        <is>
          <t>SKU-0014</t>
        </is>
      </c>
      <c r="C653" s="2" t="n">
        <v>20</v>
      </c>
      <c r="D653" s="2">
        <f>VLOOKUP(B653,Products!$A$2:$D$201,3,FALSE())</f>
        <v/>
      </c>
      <c r="E653" s="2">
        <f>C653*D653</f>
        <v/>
      </c>
      <c r="F653" s="2">
        <f>C653*INDEX(Products!$D$2:$D$201,MATCH(B653,Products!$A$2:$A$201,0))</f>
        <v/>
      </c>
      <c r="G653" s="2">
        <f>E653-F653</f>
        <v/>
      </c>
    </row>
    <row r="654" ht="15" customHeight="1" s="1">
      <c r="A654" s="2" t="n">
        <v>50652</v>
      </c>
      <c r="B654" s="2" t="inlineStr">
        <is>
          <t>SKU-0094</t>
        </is>
      </c>
      <c r="C654" s="2" t="n">
        <v>16</v>
      </c>
      <c r="D654" s="2">
        <f>VLOOKUP(B654,Products!$A$2:$D$201,3,FALSE())</f>
        <v/>
      </c>
      <c r="E654" s="2">
        <f>C654*D654</f>
        <v/>
      </c>
      <c r="F654" s="2">
        <f>C654*INDEX(Products!$D$2:$D$201,MATCH(B654,Products!$A$2:$A$201,0))</f>
        <v/>
      </c>
      <c r="G654" s="2">
        <f>E654-F654</f>
        <v/>
      </c>
    </row>
    <row r="655" ht="15" customHeight="1" s="1">
      <c r="A655" s="2" t="n">
        <v>50653</v>
      </c>
      <c r="B655" s="2" t="inlineStr">
        <is>
          <t>SKU-0067</t>
        </is>
      </c>
      <c r="C655" s="2" t="n">
        <v>19</v>
      </c>
      <c r="D655" s="2">
        <f>VLOOKUP(B655,Products!$A$2:$D$201,3,FALSE())</f>
        <v/>
      </c>
      <c r="E655" s="2">
        <f>C655*D655</f>
        <v/>
      </c>
      <c r="F655" s="2">
        <f>C655*INDEX(Products!$D$2:$D$201,MATCH(B655,Products!$A$2:$A$201,0))</f>
        <v/>
      </c>
      <c r="G655" s="2">
        <f>E655-F655</f>
        <v/>
      </c>
    </row>
    <row r="656" ht="15" customHeight="1" s="1">
      <c r="A656" s="2" t="n">
        <v>50654</v>
      </c>
      <c r="B656" s="2" t="inlineStr">
        <is>
          <t>SKU-0115</t>
        </is>
      </c>
      <c r="C656" s="2" t="n">
        <v>11</v>
      </c>
      <c r="D656" s="2">
        <f>VLOOKUP(B656,Products!$A$2:$D$201,3,FALSE())</f>
        <v/>
      </c>
      <c r="E656" s="2">
        <f>C656*D656</f>
        <v/>
      </c>
      <c r="F656" s="2">
        <f>C656*INDEX(Products!$D$2:$D$201,MATCH(B656,Products!$A$2:$A$201,0))</f>
        <v/>
      </c>
      <c r="G656" s="2">
        <f>E656-F656</f>
        <v/>
      </c>
    </row>
    <row r="657" ht="15" customHeight="1" s="1">
      <c r="A657" s="2" t="n">
        <v>50655</v>
      </c>
      <c r="B657" s="2" t="inlineStr">
        <is>
          <t>SKU-0155</t>
        </is>
      </c>
      <c r="C657" s="2" t="n">
        <v>18</v>
      </c>
      <c r="D657" s="2">
        <f>VLOOKUP(B657,Products!$A$2:$D$201,3,FALSE())</f>
        <v/>
      </c>
      <c r="E657" s="2">
        <f>C657*D657</f>
        <v/>
      </c>
      <c r="F657" s="2">
        <f>C657*INDEX(Products!$D$2:$D$201,MATCH(B657,Products!$A$2:$A$201,0))</f>
        <v/>
      </c>
      <c r="G657" s="2">
        <f>E657-F657</f>
        <v/>
      </c>
    </row>
    <row r="658" ht="15" customHeight="1" s="1">
      <c r="A658" s="2" t="n">
        <v>50656</v>
      </c>
      <c r="B658" s="2" t="inlineStr">
        <is>
          <t>SKU-0105</t>
        </is>
      </c>
      <c r="C658" s="2" t="n">
        <v>6</v>
      </c>
      <c r="D658" s="2">
        <f>VLOOKUP(B658,Products!$A$2:$D$201,3,FALSE())</f>
        <v/>
      </c>
      <c r="E658" s="2">
        <f>C658*D658</f>
        <v/>
      </c>
      <c r="F658" s="2">
        <f>C658*INDEX(Products!$D$2:$D$201,MATCH(B658,Products!$A$2:$A$201,0))</f>
        <v/>
      </c>
      <c r="G658" s="2">
        <f>E658-F658</f>
        <v/>
      </c>
    </row>
    <row r="659" ht="15" customHeight="1" s="1">
      <c r="A659" s="2" t="n">
        <v>50657</v>
      </c>
      <c r="B659" s="2" t="inlineStr">
        <is>
          <t>SKU-0100</t>
        </is>
      </c>
      <c r="C659" s="2" t="n">
        <v>14</v>
      </c>
      <c r="D659" s="2">
        <f>VLOOKUP(B659,Products!$A$2:$D$201,3,FALSE())</f>
        <v/>
      </c>
      <c r="E659" s="2">
        <f>C659*D659</f>
        <v/>
      </c>
      <c r="F659" s="2">
        <f>C659*INDEX(Products!$D$2:$D$201,MATCH(B659,Products!$A$2:$A$201,0))</f>
        <v/>
      </c>
      <c r="G659" s="2">
        <f>E659-F659</f>
        <v/>
      </c>
    </row>
    <row r="660" ht="15" customHeight="1" s="1">
      <c r="A660" s="2" t="n">
        <v>50658</v>
      </c>
      <c r="B660" s="2" t="inlineStr">
        <is>
          <t>SKU-0143</t>
        </is>
      </c>
      <c r="C660" s="2" t="n">
        <v>15</v>
      </c>
      <c r="D660" s="2">
        <f>VLOOKUP(B660,Products!$A$2:$D$201,3,FALSE())</f>
        <v/>
      </c>
      <c r="E660" s="2">
        <f>C660*D660</f>
        <v/>
      </c>
      <c r="F660" s="2">
        <f>C660*INDEX(Products!$D$2:$D$201,MATCH(B660,Products!$A$2:$A$201,0))</f>
        <v/>
      </c>
      <c r="G660" s="2">
        <f>E660-F660</f>
        <v/>
      </c>
    </row>
    <row r="661" ht="15" customHeight="1" s="1">
      <c r="A661" s="2" t="n">
        <v>50659</v>
      </c>
      <c r="B661" s="2" t="inlineStr">
        <is>
          <t>SKU-0004</t>
        </is>
      </c>
      <c r="C661" s="2" t="n">
        <v>8</v>
      </c>
      <c r="D661" s="2">
        <f>VLOOKUP(B661,Products!$A$2:$D$201,3,FALSE())</f>
        <v/>
      </c>
      <c r="E661" s="2">
        <f>C661*D661</f>
        <v/>
      </c>
      <c r="F661" s="2">
        <f>C661*INDEX(Products!$D$2:$D$201,MATCH(B661,Products!$A$2:$A$201,0))</f>
        <v/>
      </c>
      <c r="G661" s="2">
        <f>E661-F661</f>
        <v/>
      </c>
    </row>
    <row r="662" ht="15" customHeight="1" s="1">
      <c r="A662" s="2" t="n">
        <v>50660</v>
      </c>
      <c r="B662" s="2" t="inlineStr">
        <is>
          <t>SKU-0122</t>
        </is>
      </c>
      <c r="C662" s="2" t="n">
        <v>10</v>
      </c>
      <c r="D662" s="2">
        <f>VLOOKUP(B662,Products!$A$2:$D$201,3,FALSE())</f>
        <v/>
      </c>
      <c r="E662" s="2">
        <f>C662*D662</f>
        <v/>
      </c>
      <c r="F662" s="2">
        <f>C662*INDEX(Products!$D$2:$D$201,MATCH(B662,Products!$A$2:$A$201,0))</f>
        <v/>
      </c>
      <c r="G662" s="2">
        <f>E662-F662</f>
        <v/>
      </c>
    </row>
    <row r="663" ht="15" customHeight="1" s="1">
      <c r="A663" s="2" t="n">
        <v>50661</v>
      </c>
      <c r="B663" s="2" t="inlineStr">
        <is>
          <t>SKU-0027</t>
        </is>
      </c>
      <c r="C663" s="2" t="n">
        <v>17</v>
      </c>
      <c r="D663" s="2">
        <f>VLOOKUP(B663,Products!$A$2:$D$201,3,FALSE())</f>
        <v/>
      </c>
      <c r="E663" s="2">
        <f>C663*D663</f>
        <v/>
      </c>
      <c r="F663" s="2">
        <f>C663*INDEX(Products!$D$2:$D$201,MATCH(B663,Products!$A$2:$A$201,0))</f>
        <v/>
      </c>
      <c r="G663" s="2">
        <f>E663-F663</f>
        <v/>
      </c>
    </row>
    <row r="664" ht="15" customHeight="1" s="1">
      <c r="A664" s="2" t="n">
        <v>50662</v>
      </c>
      <c r="B664" s="2" t="inlineStr">
        <is>
          <t>SKU-0018</t>
        </is>
      </c>
      <c r="C664" s="2" t="n">
        <v>18</v>
      </c>
      <c r="D664" s="2">
        <f>VLOOKUP(B664,Products!$A$2:$D$201,3,FALSE())</f>
        <v/>
      </c>
      <c r="E664" s="2">
        <f>C664*D664</f>
        <v/>
      </c>
      <c r="F664" s="2">
        <f>C664*INDEX(Products!$D$2:$D$201,MATCH(B664,Products!$A$2:$A$201,0))</f>
        <v/>
      </c>
      <c r="G664" s="2">
        <f>E664-F664</f>
        <v/>
      </c>
    </row>
    <row r="665" ht="15" customHeight="1" s="1">
      <c r="A665" s="2" t="n">
        <v>50663</v>
      </c>
      <c r="B665" s="2" t="inlineStr">
        <is>
          <t>SKU-0123</t>
        </is>
      </c>
      <c r="C665" s="2" t="n">
        <v>8</v>
      </c>
      <c r="D665" s="2">
        <f>VLOOKUP(B665,Products!$A$2:$D$201,3,FALSE())</f>
        <v/>
      </c>
      <c r="E665" s="2">
        <f>C665*D665</f>
        <v/>
      </c>
      <c r="F665" s="2">
        <f>C665*INDEX(Products!$D$2:$D$201,MATCH(B665,Products!$A$2:$A$201,0))</f>
        <v/>
      </c>
      <c r="G665" s="2">
        <f>E665-F665</f>
        <v/>
      </c>
    </row>
    <row r="666" ht="15" customHeight="1" s="1">
      <c r="A666" s="2" t="n">
        <v>50664</v>
      </c>
      <c r="B666" s="2" t="inlineStr">
        <is>
          <t>SKU-0021</t>
        </is>
      </c>
      <c r="C666" s="2" t="n">
        <v>20</v>
      </c>
      <c r="D666" s="2">
        <f>VLOOKUP(B666,Products!$A$2:$D$201,3,FALSE())</f>
        <v/>
      </c>
      <c r="E666" s="2">
        <f>C666*D666</f>
        <v/>
      </c>
      <c r="F666" s="2">
        <f>C666*INDEX(Products!$D$2:$D$201,MATCH(B666,Products!$A$2:$A$201,0))</f>
        <v/>
      </c>
      <c r="G666" s="2">
        <f>E666-F666</f>
        <v/>
      </c>
    </row>
    <row r="667" ht="15" customHeight="1" s="1">
      <c r="A667" s="2" t="n">
        <v>50665</v>
      </c>
      <c r="B667" s="2" t="inlineStr">
        <is>
          <t>SKU-0080</t>
        </is>
      </c>
      <c r="C667" s="2" t="n">
        <v>4</v>
      </c>
      <c r="D667" s="2">
        <f>VLOOKUP(B667,Products!$A$2:$D$201,3,FALSE())</f>
        <v/>
      </c>
      <c r="E667" s="2">
        <f>C667*D667</f>
        <v/>
      </c>
      <c r="F667" s="2">
        <f>C667*INDEX(Products!$D$2:$D$201,MATCH(B667,Products!$A$2:$A$201,0))</f>
        <v/>
      </c>
      <c r="G667" s="2">
        <f>E667-F667</f>
        <v/>
      </c>
    </row>
    <row r="668" ht="15" customHeight="1" s="1">
      <c r="A668" s="2" t="n">
        <v>50666</v>
      </c>
      <c r="B668" s="2" t="inlineStr">
        <is>
          <t>SKU-0020</t>
        </is>
      </c>
      <c r="C668" s="2" t="n">
        <v>11</v>
      </c>
      <c r="D668" s="2">
        <f>VLOOKUP(B668,Products!$A$2:$D$201,3,FALSE())</f>
        <v/>
      </c>
      <c r="E668" s="2">
        <f>C668*D668</f>
        <v/>
      </c>
      <c r="F668" s="2">
        <f>C668*INDEX(Products!$D$2:$D$201,MATCH(B668,Products!$A$2:$A$201,0))</f>
        <v/>
      </c>
      <c r="G668" s="2">
        <f>E668-F668</f>
        <v/>
      </c>
    </row>
    <row r="669" ht="15" customHeight="1" s="1">
      <c r="A669" s="2" t="n">
        <v>50667</v>
      </c>
      <c r="B669" s="2" t="inlineStr">
        <is>
          <t>SKU-0104</t>
        </is>
      </c>
      <c r="C669" s="2" t="n">
        <v>6</v>
      </c>
      <c r="D669" s="2">
        <f>VLOOKUP(B669,Products!$A$2:$D$201,3,FALSE())</f>
        <v/>
      </c>
      <c r="E669" s="2">
        <f>C669*D669</f>
        <v/>
      </c>
      <c r="F669" s="2">
        <f>C669*INDEX(Products!$D$2:$D$201,MATCH(B669,Products!$A$2:$A$201,0))</f>
        <v/>
      </c>
      <c r="G669" s="2">
        <f>E669-F669</f>
        <v/>
      </c>
    </row>
    <row r="670" ht="15" customHeight="1" s="1">
      <c r="A670" s="2" t="n">
        <v>50668</v>
      </c>
      <c r="B670" s="2" t="inlineStr">
        <is>
          <t>SKU-0082</t>
        </is>
      </c>
      <c r="C670" s="2" t="n">
        <v>12</v>
      </c>
      <c r="D670" s="2">
        <f>VLOOKUP(B670,Products!$A$2:$D$201,3,FALSE())</f>
        <v/>
      </c>
      <c r="E670" s="2">
        <f>C670*D670</f>
        <v/>
      </c>
      <c r="F670" s="2">
        <f>C670*INDEX(Products!$D$2:$D$201,MATCH(B670,Products!$A$2:$A$201,0))</f>
        <v/>
      </c>
      <c r="G670" s="2">
        <f>E670-F670</f>
        <v/>
      </c>
    </row>
    <row r="671" ht="15" customHeight="1" s="1">
      <c r="A671" s="2" t="n">
        <v>50669</v>
      </c>
      <c r="B671" s="2" t="inlineStr">
        <is>
          <t>SKU-0196</t>
        </is>
      </c>
      <c r="C671" s="2" t="n">
        <v>2</v>
      </c>
      <c r="D671" s="2">
        <f>VLOOKUP(B671,Products!$A$2:$D$201,3,FALSE())</f>
        <v/>
      </c>
      <c r="E671" s="2">
        <f>C671*D671</f>
        <v/>
      </c>
      <c r="F671" s="2">
        <f>C671*INDEX(Products!$D$2:$D$201,MATCH(B671,Products!$A$2:$A$201,0))</f>
        <v/>
      </c>
      <c r="G671" s="2">
        <f>E671-F671</f>
        <v/>
      </c>
    </row>
    <row r="672" ht="15" customHeight="1" s="1">
      <c r="A672" s="2" t="n">
        <v>50670</v>
      </c>
      <c r="B672" s="2" t="inlineStr">
        <is>
          <t>SKU-0079</t>
        </is>
      </c>
      <c r="C672" s="2" t="n">
        <v>4</v>
      </c>
      <c r="D672" s="2">
        <f>VLOOKUP(B672,Products!$A$2:$D$201,3,FALSE())</f>
        <v/>
      </c>
      <c r="E672" s="2">
        <f>C672*D672</f>
        <v/>
      </c>
      <c r="F672" s="2">
        <f>C672*INDEX(Products!$D$2:$D$201,MATCH(B672,Products!$A$2:$A$201,0))</f>
        <v/>
      </c>
      <c r="G672" s="2">
        <f>E672-F672</f>
        <v/>
      </c>
    </row>
    <row r="673" ht="15" customHeight="1" s="1">
      <c r="A673" s="2" t="n">
        <v>50671</v>
      </c>
      <c r="B673" s="2" t="inlineStr">
        <is>
          <t>SKU-0132</t>
        </is>
      </c>
      <c r="C673" s="2" t="n">
        <v>3</v>
      </c>
      <c r="D673" s="2">
        <f>VLOOKUP(B673,Products!$A$2:$D$201,3,FALSE())</f>
        <v/>
      </c>
      <c r="E673" s="2">
        <f>C673*D673</f>
        <v/>
      </c>
      <c r="F673" s="2">
        <f>C673*INDEX(Products!$D$2:$D$201,MATCH(B673,Products!$A$2:$A$201,0))</f>
        <v/>
      </c>
      <c r="G673" s="2">
        <f>E673-F673</f>
        <v/>
      </c>
    </row>
    <row r="674" ht="15" customHeight="1" s="1">
      <c r="A674" s="2" t="n">
        <v>50672</v>
      </c>
      <c r="B674" s="2" t="inlineStr">
        <is>
          <t>SKU-0195</t>
        </is>
      </c>
      <c r="C674" s="2" t="n">
        <v>3</v>
      </c>
      <c r="D674" s="2">
        <f>VLOOKUP(B674,Products!$A$2:$D$201,3,FALSE())</f>
        <v/>
      </c>
      <c r="E674" s="2">
        <f>C674*D674</f>
        <v/>
      </c>
      <c r="F674" s="2">
        <f>C674*INDEX(Products!$D$2:$D$201,MATCH(B674,Products!$A$2:$A$201,0))</f>
        <v/>
      </c>
      <c r="G674" s="2">
        <f>E674-F674</f>
        <v/>
      </c>
    </row>
    <row r="675" ht="15" customHeight="1" s="1">
      <c r="A675" s="2" t="n">
        <v>50673</v>
      </c>
      <c r="B675" s="2" t="inlineStr">
        <is>
          <t>SKU-0010</t>
        </is>
      </c>
      <c r="C675" s="2" t="n">
        <v>16</v>
      </c>
      <c r="D675" s="2">
        <f>VLOOKUP(B675,Products!$A$2:$D$201,3,FALSE())</f>
        <v/>
      </c>
      <c r="E675" s="2">
        <f>C675*D675</f>
        <v/>
      </c>
      <c r="F675" s="2">
        <f>C675*INDEX(Products!$D$2:$D$201,MATCH(B675,Products!$A$2:$A$201,0))</f>
        <v/>
      </c>
      <c r="G675" s="2">
        <f>E675-F675</f>
        <v/>
      </c>
    </row>
    <row r="676" ht="15" customHeight="1" s="1">
      <c r="A676" s="2" t="n">
        <v>50674</v>
      </c>
      <c r="B676" s="2" t="inlineStr">
        <is>
          <t>SKU-0131</t>
        </is>
      </c>
      <c r="C676" s="2" t="n">
        <v>16</v>
      </c>
      <c r="D676" s="2">
        <f>VLOOKUP(B676,Products!$A$2:$D$201,3,FALSE())</f>
        <v/>
      </c>
      <c r="E676" s="2">
        <f>C676*D676</f>
        <v/>
      </c>
      <c r="F676" s="2">
        <f>C676*INDEX(Products!$D$2:$D$201,MATCH(B676,Products!$A$2:$A$201,0))</f>
        <v/>
      </c>
      <c r="G676" s="2">
        <f>E676-F676</f>
        <v/>
      </c>
    </row>
    <row r="677" ht="15" customHeight="1" s="1">
      <c r="A677" s="2" t="n">
        <v>50675</v>
      </c>
      <c r="B677" s="2" t="inlineStr">
        <is>
          <t>SKU-0055</t>
        </is>
      </c>
      <c r="C677" s="2" t="n">
        <v>15</v>
      </c>
      <c r="D677" s="2">
        <f>VLOOKUP(B677,Products!$A$2:$D$201,3,FALSE())</f>
        <v/>
      </c>
      <c r="E677" s="2">
        <f>C677*D677</f>
        <v/>
      </c>
      <c r="F677" s="2">
        <f>C677*INDEX(Products!$D$2:$D$201,MATCH(B677,Products!$A$2:$A$201,0))</f>
        <v/>
      </c>
      <c r="G677" s="2">
        <f>E677-F677</f>
        <v/>
      </c>
    </row>
    <row r="678" ht="15" customHeight="1" s="1">
      <c r="A678" s="2" t="n">
        <v>50676</v>
      </c>
      <c r="B678" s="2" t="inlineStr">
        <is>
          <t>SKU-0077</t>
        </is>
      </c>
      <c r="C678" s="2" t="n">
        <v>5</v>
      </c>
      <c r="D678" s="2">
        <f>VLOOKUP(B678,Products!$A$2:$D$201,3,FALSE())</f>
        <v/>
      </c>
      <c r="E678" s="2">
        <f>C678*D678</f>
        <v/>
      </c>
      <c r="F678" s="2">
        <f>C678*INDEX(Products!$D$2:$D$201,MATCH(B678,Products!$A$2:$A$201,0))</f>
        <v/>
      </c>
      <c r="G678" s="2">
        <f>E678-F678</f>
        <v/>
      </c>
    </row>
    <row r="679" ht="15" customHeight="1" s="1">
      <c r="A679" s="2" t="n">
        <v>50677</v>
      </c>
      <c r="B679" s="2" t="inlineStr">
        <is>
          <t>SKU-0108</t>
        </is>
      </c>
      <c r="C679" s="2" t="n">
        <v>9</v>
      </c>
      <c r="D679" s="2">
        <f>VLOOKUP(B679,Products!$A$2:$D$201,3,FALSE())</f>
        <v/>
      </c>
      <c r="E679" s="2">
        <f>C679*D679</f>
        <v/>
      </c>
      <c r="F679" s="2">
        <f>C679*INDEX(Products!$D$2:$D$201,MATCH(B679,Products!$A$2:$A$201,0))</f>
        <v/>
      </c>
      <c r="G679" s="2">
        <f>E679-F679</f>
        <v/>
      </c>
    </row>
    <row r="680" ht="15" customHeight="1" s="1">
      <c r="A680" s="2" t="n">
        <v>50678</v>
      </c>
      <c r="B680" s="2" t="inlineStr">
        <is>
          <t>SKU-0157</t>
        </is>
      </c>
      <c r="C680" s="2" t="n">
        <v>15</v>
      </c>
      <c r="D680" s="2">
        <f>VLOOKUP(B680,Products!$A$2:$D$201,3,FALSE())</f>
        <v/>
      </c>
      <c r="E680" s="2">
        <f>C680*D680</f>
        <v/>
      </c>
      <c r="F680" s="2">
        <f>C680*INDEX(Products!$D$2:$D$201,MATCH(B680,Products!$A$2:$A$201,0))</f>
        <v/>
      </c>
      <c r="G680" s="2">
        <f>E680-F680</f>
        <v/>
      </c>
    </row>
    <row r="681" ht="15" customHeight="1" s="1">
      <c r="A681" s="2" t="n">
        <v>50679</v>
      </c>
      <c r="B681" s="2" t="inlineStr">
        <is>
          <t>SKU-0146</t>
        </is>
      </c>
      <c r="C681" s="2" t="n">
        <v>3</v>
      </c>
      <c r="D681" s="2">
        <f>VLOOKUP(B681,Products!$A$2:$D$201,3,FALSE())</f>
        <v/>
      </c>
      <c r="E681" s="2">
        <f>C681*D681</f>
        <v/>
      </c>
      <c r="F681" s="2">
        <f>C681*INDEX(Products!$D$2:$D$201,MATCH(B681,Products!$A$2:$A$201,0))</f>
        <v/>
      </c>
      <c r="G681" s="2">
        <f>E681-F681</f>
        <v/>
      </c>
    </row>
    <row r="682" ht="15" customHeight="1" s="1">
      <c r="A682" s="2" t="n">
        <v>50680</v>
      </c>
      <c r="B682" s="2" t="inlineStr">
        <is>
          <t>SKU-0172</t>
        </is>
      </c>
      <c r="C682" s="2" t="n">
        <v>17</v>
      </c>
      <c r="D682" s="2">
        <f>VLOOKUP(B682,Products!$A$2:$D$201,3,FALSE())</f>
        <v/>
      </c>
      <c r="E682" s="2">
        <f>C682*D682</f>
        <v/>
      </c>
      <c r="F682" s="2">
        <f>C682*INDEX(Products!$D$2:$D$201,MATCH(B682,Products!$A$2:$A$201,0))</f>
        <v/>
      </c>
      <c r="G682" s="2">
        <f>E682-F682</f>
        <v/>
      </c>
    </row>
    <row r="683" ht="15" customHeight="1" s="1">
      <c r="A683" s="2" t="n">
        <v>50681</v>
      </c>
      <c r="B683" s="2" t="inlineStr">
        <is>
          <t>SKU-0062</t>
        </is>
      </c>
      <c r="C683" s="2" t="n">
        <v>10</v>
      </c>
      <c r="D683" s="2">
        <f>VLOOKUP(B683,Products!$A$2:$D$201,3,FALSE())</f>
        <v/>
      </c>
      <c r="E683" s="2">
        <f>C683*D683</f>
        <v/>
      </c>
      <c r="F683" s="2">
        <f>C683*INDEX(Products!$D$2:$D$201,MATCH(B683,Products!$A$2:$A$201,0))</f>
        <v/>
      </c>
      <c r="G683" s="2">
        <f>E683-F683</f>
        <v/>
      </c>
    </row>
    <row r="684" ht="15" customHeight="1" s="1">
      <c r="A684" s="2" t="n">
        <v>50682</v>
      </c>
      <c r="B684" s="2" t="inlineStr">
        <is>
          <t>SKU-0023</t>
        </is>
      </c>
      <c r="C684" s="2" t="n">
        <v>19</v>
      </c>
      <c r="D684" s="2">
        <f>VLOOKUP(B684,Products!$A$2:$D$201,3,FALSE())</f>
        <v/>
      </c>
      <c r="E684" s="2">
        <f>C684*D684</f>
        <v/>
      </c>
      <c r="F684" s="2">
        <f>C684*INDEX(Products!$D$2:$D$201,MATCH(B684,Products!$A$2:$A$201,0))</f>
        <v/>
      </c>
      <c r="G684" s="2">
        <f>E684-F684</f>
        <v/>
      </c>
    </row>
    <row r="685" ht="15" customHeight="1" s="1">
      <c r="A685" s="2" t="n">
        <v>50683</v>
      </c>
      <c r="B685" s="2" t="inlineStr">
        <is>
          <t>SKU-0077</t>
        </is>
      </c>
      <c r="C685" s="2" t="n">
        <v>3</v>
      </c>
      <c r="D685" s="2">
        <f>VLOOKUP(B685,Products!$A$2:$D$201,3,FALSE())</f>
        <v/>
      </c>
      <c r="E685" s="2">
        <f>C685*D685</f>
        <v/>
      </c>
      <c r="F685" s="2">
        <f>C685*INDEX(Products!$D$2:$D$201,MATCH(B685,Products!$A$2:$A$201,0))</f>
        <v/>
      </c>
      <c r="G685" s="2">
        <f>E685-F685</f>
        <v/>
      </c>
    </row>
    <row r="686" ht="15" customHeight="1" s="1">
      <c r="A686" s="2" t="n">
        <v>50684</v>
      </c>
      <c r="B686" s="2" t="inlineStr">
        <is>
          <t>SKU-0096</t>
        </is>
      </c>
      <c r="C686" s="2" t="n">
        <v>10</v>
      </c>
      <c r="D686" s="2">
        <f>VLOOKUP(B686,Products!$A$2:$D$201,3,FALSE())</f>
        <v/>
      </c>
      <c r="E686" s="2">
        <f>C686*D686</f>
        <v/>
      </c>
      <c r="F686" s="2">
        <f>C686*INDEX(Products!$D$2:$D$201,MATCH(B686,Products!$A$2:$A$201,0))</f>
        <v/>
      </c>
      <c r="G686" s="2">
        <f>E686-F686</f>
        <v/>
      </c>
    </row>
    <row r="687" ht="15" customHeight="1" s="1">
      <c r="A687" s="2" t="n">
        <v>50685</v>
      </c>
      <c r="B687" s="2" t="inlineStr">
        <is>
          <t>SKU-0105</t>
        </is>
      </c>
      <c r="C687" s="2" t="n">
        <v>4</v>
      </c>
      <c r="D687" s="2">
        <f>VLOOKUP(B687,Products!$A$2:$D$201,3,FALSE())</f>
        <v/>
      </c>
      <c r="E687" s="2">
        <f>C687*D687</f>
        <v/>
      </c>
      <c r="F687" s="2">
        <f>C687*INDEX(Products!$D$2:$D$201,MATCH(B687,Products!$A$2:$A$201,0))</f>
        <v/>
      </c>
      <c r="G687" s="2">
        <f>E687-F687</f>
        <v/>
      </c>
    </row>
    <row r="688" ht="15" customHeight="1" s="1">
      <c r="A688" s="2" t="n">
        <v>50686</v>
      </c>
      <c r="B688" s="2" t="inlineStr">
        <is>
          <t>SKU-0040</t>
        </is>
      </c>
      <c r="C688" s="2" t="n">
        <v>12</v>
      </c>
      <c r="D688" s="2">
        <f>VLOOKUP(B688,Products!$A$2:$D$201,3,FALSE())</f>
        <v/>
      </c>
      <c r="E688" s="2">
        <f>C688*D688</f>
        <v/>
      </c>
      <c r="F688" s="2">
        <f>C688*INDEX(Products!$D$2:$D$201,MATCH(B688,Products!$A$2:$A$201,0))</f>
        <v/>
      </c>
      <c r="G688" s="2">
        <f>E688-F688</f>
        <v/>
      </c>
    </row>
    <row r="689" ht="15" customHeight="1" s="1">
      <c r="A689" s="2" t="n">
        <v>50687</v>
      </c>
      <c r="B689" s="2" t="inlineStr">
        <is>
          <t>SKU-0160</t>
        </is>
      </c>
      <c r="C689" s="2" t="n">
        <v>14</v>
      </c>
      <c r="D689" s="2">
        <f>VLOOKUP(B689,Products!$A$2:$D$201,3,FALSE())</f>
        <v/>
      </c>
      <c r="E689" s="2">
        <f>C689*D689</f>
        <v/>
      </c>
      <c r="F689" s="2">
        <f>C689*INDEX(Products!$D$2:$D$201,MATCH(B689,Products!$A$2:$A$201,0))</f>
        <v/>
      </c>
      <c r="G689" s="2">
        <f>E689-F689</f>
        <v/>
      </c>
    </row>
    <row r="690" ht="15" customHeight="1" s="1">
      <c r="A690" s="2" t="n">
        <v>50688</v>
      </c>
      <c r="B690" s="2" t="inlineStr">
        <is>
          <t>SKU-0022</t>
        </is>
      </c>
      <c r="C690" s="2" t="n">
        <v>11</v>
      </c>
      <c r="D690" s="2">
        <f>VLOOKUP(B690,Products!$A$2:$D$201,3,FALSE())</f>
        <v/>
      </c>
      <c r="E690" s="2">
        <f>C690*D690</f>
        <v/>
      </c>
      <c r="F690" s="2">
        <f>C690*INDEX(Products!$D$2:$D$201,MATCH(B690,Products!$A$2:$A$201,0))</f>
        <v/>
      </c>
      <c r="G690" s="2">
        <f>E690-F690</f>
        <v/>
      </c>
    </row>
    <row r="691" ht="15" customHeight="1" s="1">
      <c r="A691" s="2" t="n">
        <v>50689</v>
      </c>
      <c r="B691" s="2" t="inlineStr">
        <is>
          <t>SKU-0053</t>
        </is>
      </c>
      <c r="C691" s="2" t="n">
        <v>12</v>
      </c>
      <c r="D691" s="2">
        <f>VLOOKUP(B691,Products!$A$2:$D$201,3,FALSE())</f>
        <v/>
      </c>
      <c r="E691" s="2">
        <f>C691*D691</f>
        <v/>
      </c>
      <c r="F691" s="2">
        <f>C691*INDEX(Products!$D$2:$D$201,MATCH(B691,Products!$A$2:$A$201,0))</f>
        <v/>
      </c>
      <c r="G691" s="2">
        <f>E691-F691</f>
        <v/>
      </c>
    </row>
    <row r="692" ht="15" customHeight="1" s="1">
      <c r="A692" s="2" t="n">
        <v>50690</v>
      </c>
      <c r="B692" s="2" t="inlineStr">
        <is>
          <t>SKU-0174</t>
        </is>
      </c>
      <c r="C692" s="2" t="n">
        <v>4</v>
      </c>
      <c r="D692" s="2">
        <f>VLOOKUP(B692,Products!$A$2:$D$201,3,FALSE())</f>
        <v/>
      </c>
      <c r="E692" s="2">
        <f>C692*D692</f>
        <v/>
      </c>
      <c r="F692" s="2">
        <f>C692*INDEX(Products!$D$2:$D$201,MATCH(B692,Products!$A$2:$A$201,0))</f>
        <v/>
      </c>
      <c r="G692" s="2">
        <f>E692-F692</f>
        <v/>
      </c>
    </row>
    <row r="693" ht="15" customHeight="1" s="1">
      <c r="A693" s="2" t="n">
        <v>50691</v>
      </c>
      <c r="B693" s="2" t="inlineStr">
        <is>
          <t>SKU-0118</t>
        </is>
      </c>
      <c r="C693" s="2" t="n">
        <v>11</v>
      </c>
      <c r="D693" s="2">
        <f>VLOOKUP(B693,Products!$A$2:$D$201,3,FALSE())</f>
        <v/>
      </c>
      <c r="E693" s="2">
        <f>C693*D693</f>
        <v/>
      </c>
      <c r="F693" s="2">
        <f>C693*INDEX(Products!$D$2:$D$201,MATCH(B693,Products!$A$2:$A$201,0))</f>
        <v/>
      </c>
      <c r="G693" s="2">
        <f>E693-F693</f>
        <v/>
      </c>
    </row>
    <row r="694" ht="15" customHeight="1" s="1">
      <c r="A694" s="2" t="n">
        <v>50692</v>
      </c>
      <c r="B694" s="2" t="inlineStr">
        <is>
          <t>SKU-0025</t>
        </is>
      </c>
      <c r="C694" s="2" t="n">
        <v>16</v>
      </c>
      <c r="D694" s="2">
        <f>VLOOKUP(B694,Products!$A$2:$D$201,3,FALSE())</f>
        <v/>
      </c>
      <c r="E694" s="2">
        <f>C694*D694</f>
        <v/>
      </c>
      <c r="F694" s="2">
        <f>C694*INDEX(Products!$D$2:$D$201,MATCH(B694,Products!$A$2:$A$201,0))</f>
        <v/>
      </c>
      <c r="G694" s="2">
        <f>E694-F694</f>
        <v/>
      </c>
    </row>
    <row r="695" ht="15" customHeight="1" s="1">
      <c r="A695" s="2" t="n">
        <v>50693</v>
      </c>
      <c r="B695" s="2" t="inlineStr">
        <is>
          <t>SKU-0083</t>
        </is>
      </c>
      <c r="C695" s="2" t="n">
        <v>2</v>
      </c>
      <c r="D695" s="2">
        <f>VLOOKUP(B695,Products!$A$2:$D$201,3,FALSE())</f>
        <v/>
      </c>
      <c r="E695" s="2">
        <f>C695*D695</f>
        <v/>
      </c>
      <c r="F695" s="2">
        <f>C695*INDEX(Products!$D$2:$D$201,MATCH(B695,Products!$A$2:$A$201,0))</f>
        <v/>
      </c>
      <c r="G695" s="2">
        <f>E695-F695</f>
        <v/>
      </c>
    </row>
    <row r="696" ht="15" customHeight="1" s="1">
      <c r="A696" s="2" t="n">
        <v>50694</v>
      </c>
      <c r="B696" s="2" t="inlineStr">
        <is>
          <t>SKU-0175</t>
        </is>
      </c>
      <c r="C696" s="2" t="n">
        <v>15</v>
      </c>
      <c r="D696" s="2">
        <f>VLOOKUP(B696,Products!$A$2:$D$201,3,FALSE())</f>
        <v/>
      </c>
      <c r="E696" s="2">
        <f>C696*D696</f>
        <v/>
      </c>
      <c r="F696" s="2">
        <f>C696*INDEX(Products!$D$2:$D$201,MATCH(B696,Products!$A$2:$A$201,0))</f>
        <v/>
      </c>
      <c r="G696" s="2">
        <f>E696-F696</f>
        <v/>
      </c>
    </row>
    <row r="697" ht="15" customHeight="1" s="1">
      <c r="A697" s="2" t="n">
        <v>50695</v>
      </c>
      <c r="B697" s="2" t="inlineStr">
        <is>
          <t>SKU-0179</t>
        </is>
      </c>
      <c r="C697" s="2" t="n">
        <v>2</v>
      </c>
      <c r="D697" s="2">
        <f>VLOOKUP(B697,Products!$A$2:$D$201,3,FALSE())</f>
        <v/>
      </c>
      <c r="E697" s="2">
        <f>C697*D697</f>
        <v/>
      </c>
      <c r="F697" s="2">
        <f>C697*INDEX(Products!$D$2:$D$201,MATCH(B697,Products!$A$2:$A$201,0))</f>
        <v/>
      </c>
      <c r="G697" s="2">
        <f>E697-F697</f>
        <v/>
      </c>
    </row>
    <row r="698" ht="15" customHeight="1" s="1">
      <c r="A698" s="2" t="n">
        <v>50696</v>
      </c>
      <c r="B698" s="2" t="inlineStr">
        <is>
          <t>SKU-0152</t>
        </is>
      </c>
      <c r="C698" s="2" t="n">
        <v>8</v>
      </c>
      <c r="D698" s="2">
        <f>VLOOKUP(B698,Products!$A$2:$D$201,3,FALSE())</f>
        <v/>
      </c>
      <c r="E698" s="2">
        <f>C698*D698</f>
        <v/>
      </c>
      <c r="F698" s="2">
        <f>C698*INDEX(Products!$D$2:$D$201,MATCH(B698,Products!$A$2:$A$201,0))</f>
        <v/>
      </c>
      <c r="G698" s="2">
        <f>E698-F698</f>
        <v/>
      </c>
    </row>
    <row r="699" ht="15" customHeight="1" s="1">
      <c r="A699" s="2" t="n">
        <v>50697</v>
      </c>
      <c r="B699" s="2" t="inlineStr">
        <is>
          <t>SKU-0073</t>
        </is>
      </c>
      <c r="C699" s="2" t="n">
        <v>10</v>
      </c>
      <c r="D699" s="2">
        <f>VLOOKUP(B699,Products!$A$2:$D$201,3,FALSE())</f>
        <v/>
      </c>
      <c r="E699" s="2">
        <f>C699*D699</f>
        <v/>
      </c>
      <c r="F699" s="2">
        <f>C699*INDEX(Products!$D$2:$D$201,MATCH(B699,Products!$A$2:$A$201,0))</f>
        <v/>
      </c>
      <c r="G699" s="2">
        <f>E699-F699</f>
        <v/>
      </c>
    </row>
    <row r="700" ht="15" customHeight="1" s="1">
      <c r="A700" s="2" t="n">
        <v>50698</v>
      </c>
      <c r="B700" s="2" t="inlineStr">
        <is>
          <t>SKU-0067</t>
        </is>
      </c>
      <c r="C700" s="2" t="n">
        <v>15</v>
      </c>
      <c r="D700" s="2">
        <f>VLOOKUP(B700,Products!$A$2:$D$201,3,FALSE())</f>
        <v/>
      </c>
      <c r="E700" s="2">
        <f>C700*D700</f>
        <v/>
      </c>
      <c r="F700" s="2">
        <f>C700*INDEX(Products!$D$2:$D$201,MATCH(B700,Products!$A$2:$A$201,0))</f>
        <v/>
      </c>
      <c r="G700" s="2">
        <f>E700-F700</f>
        <v/>
      </c>
    </row>
    <row r="701" ht="15" customHeight="1" s="1">
      <c r="A701" s="2" t="n">
        <v>50699</v>
      </c>
      <c r="B701" s="2" t="inlineStr">
        <is>
          <t>SKU-0128</t>
        </is>
      </c>
      <c r="C701" s="2" t="n">
        <v>17</v>
      </c>
      <c r="D701" s="2">
        <f>VLOOKUP(B701,Products!$A$2:$D$201,3,FALSE())</f>
        <v/>
      </c>
      <c r="E701" s="2">
        <f>C701*D701</f>
        <v/>
      </c>
      <c r="F701" s="2">
        <f>C701*INDEX(Products!$D$2:$D$201,MATCH(B701,Products!$A$2:$A$201,0))</f>
        <v/>
      </c>
      <c r="G701" s="2">
        <f>E701-F701</f>
        <v/>
      </c>
    </row>
    <row r="702" ht="15" customHeight="1" s="1">
      <c r="A702" s="2" t="n">
        <v>50700</v>
      </c>
      <c r="B702" s="2" t="inlineStr">
        <is>
          <t>SKU-0088</t>
        </is>
      </c>
      <c r="C702" s="2" t="n">
        <v>17</v>
      </c>
      <c r="D702" s="2">
        <f>VLOOKUP(B702,Products!$A$2:$D$201,3,FALSE())</f>
        <v/>
      </c>
      <c r="E702" s="2">
        <f>C702*D702</f>
        <v/>
      </c>
      <c r="F702" s="2">
        <f>C702*INDEX(Products!$D$2:$D$201,MATCH(B702,Products!$A$2:$A$201,0))</f>
        <v/>
      </c>
      <c r="G702" s="2">
        <f>E702-F702</f>
        <v/>
      </c>
    </row>
    <row r="703" ht="15" customHeight="1" s="1">
      <c r="A703" s="2" t="n">
        <v>50701</v>
      </c>
      <c r="B703" s="2" t="inlineStr">
        <is>
          <t>SKU-0129</t>
        </is>
      </c>
      <c r="C703" s="2" t="n">
        <v>3</v>
      </c>
      <c r="D703" s="2">
        <f>VLOOKUP(B703,Products!$A$2:$D$201,3,FALSE())</f>
        <v/>
      </c>
      <c r="E703" s="2">
        <f>C703*D703</f>
        <v/>
      </c>
      <c r="F703" s="2">
        <f>C703*INDEX(Products!$D$2:$D$201,MATCH(B703,Products!$A$2:$A$201,0))</f>
        <v/>
      </c>
      <c r="G703" s="2">
        <f>E703-F703</f>
        <v/>
      </c>
    </row>
    <row r="704" ht="15" customHeight="1" s="1">
      <c r="A704" s="2" t="n">
        <v>50702</v>
      </c>
      <c r="B704" s="2" t="inlineStr">
        <is>
          <t>SKU-0130</t>
        </is>
      </c>
      <c r="C704" s="2" t="n">
        <v>19</v>
      </c>
      <c r="D704" s="2">
        <f>VLOOKUP(B704,Products!$A$2:$D$201,3,FALSE())</f>
        <v/>
      </c>
      <c r="E704" s="2">
        <f>C704*D704</f>
        <v/>
      </c>
      <c r="F704" s="2">
        <f>C704*INDEX(Products!$D$2:$D$201,MATCH(B704,Products!$A$2:$A$201,0))</f>
        <v/>
      </c>
      <c r="G704" s="2">
        <f>E704-F704</f>
        <v/>
      </c>
    </row>
    <row r="705" ht="15" customHeight="1" s="1">
      <c r="A705" s="2" t="n">
        <v>50703</v>
      </c>
      <c r="B705" s="2" t="inlineStr">
        <is>
          <t>SKU-0115</t>
        </is>
      </c>
      <c r="C705" s="2" t="n">
        <v>14</v>
      </c>
      <c r="D705" s="2">
        <f>VLOOKUP(B705,Products!$A$2:$D$201,3,FALSE())</f>
        <v/>
      </c>
      <c r="E705" s="2">
        <f>C705*D705</f>
        <v/>
      </c>
      <c r="F705" s="2">
        <f>C705*INDEX(Products!$D$2:$D$201,MATCH(B705,Products!$A$2:$A$201,0))</f>
        <v/>
      </c>
      <c r="G705" s="2">
        <f>E705-F705</f>
        <v/>
      </c>
    </row>
    <row r="706" ht="15" customHeight="1" s="1">
      <c r="A706" s="2" t="n">
        <v>50704</v>
      </c>
      <c r="B706" s="2" t="inlineStr">
        <is>
          <t>SKU-0168</t>
        </is>
      </c>
      <c r="C706" s="2" t="n">
        <v>7</v>
      </c>
      <c r="D706" s="2">
        <f>VLOOKUP(B706,Products!$A$2:$D$201,3,FALSE())</f>
        <v/>
      </c>
      <c r="E706" s="2">
        <f>C706*D706</f>
        <v/>
      </c>
      <c r="F706" s="2">
        <f>C706*INDEX(Products!$D$2:$D$201,MATCH(B706,Products!$A$2:$A$201,0))</f>
        <v/>
      </c>
      <c r="G706" s="2">
        <f>E706-F706</f>
        <v/>
      </c>
    </row>
    <row r="707" ht="15" customHeight="1" s="1">
      <c r="A707" s="2" t="n">
        <v>50705</v>
      </c>
      <c r="B707" s="2" t="inlineStr">
        <is>
          <t>SKU-0157</t>
        </is>
      </c>
      <c r="C707" s="2" t="n">
        <v>13</v>
      </c>
      <c r="D707" s="2">
        <f>VLOOKUP(B707,Products!$A$2:$D$201,3,FALSE())</f>
        <v/>
      </c>
      <c r="E707" s="2">
        <f>C707*D707</f>
        <v/>
      </c>
      <c r="F707" s="2">
        <f>C707*INDEX(Products!$D$2:$D$201,MATCH(B707,Products!$A$2:$A$201,0))</f>
        <v/>
      </c>
      <c r="G707" s="2">
        <f>E707-F707</f>
        <v/>
      </c>
    </row>
    <row r="708" ht="15" customHeight="1" s="1">
      <c r="A708" s="2" t="n">
        <v>50706</v>
      </c>
      <c r="B708" s="2" t="inlineStr">
        <is>
          <t>SKU-0109</t>
        </is>
      </c>
      <c r="C708" s="2" t="n">
        <v>4</v>
      </c>
      <c r="D708" s="2">
        <f>VLOOKUP(B708,Products!$A$2:$D$201,3,FALSE())</f>
        <v/>
      </c>
      <c r="E708" s="2">
        <f>C708*D708</f>
        <v/>
      </c>
      <c r="F708" s="2">
        <f>C708*INDEX(Products!$D$2:$D$201,MATCH(B708,Products!$A$2:$A$201,0))</f>
        <v/>
      </c>
      <c r="G708" s="2">
        <f>E708-F708</f>
        <v/>
      </c>
    </row>
    <row r="709" ht="15" customHeight="1" s="1">
      <c r="A709" s="2" t="n">
        <v>50707</v>
      </c>
      <c r="B709" s="2" t="inlineStr">
        <is>
          <t>SKU-0033</t>
        </is>
      </c>
      <c r="C709" s="2" t="n">
        <v>3</v>
      </c>
      <c r="D709" s="2">
        <f>VLOOKUP(B709,Products!$A$2:$D$201,3,FALSE())</f>
        <v/>
      </c>
      <c r="E709" s="2">
        <f>C709*D709</f>
        <v/>
      </c>
      <c r="F709" s="2">
        <f>C709*INDEX(Products!$D$2:$D$201,MATCH(B709,Products!$A$2:$A$201,0))</f>
        <v/>
      </c>
      <c r="G709" s="2">
        <f>E709-F709</f>
        <v/>
      </c>
    </row>
    <row r="710" ht="15" customHeight="1" s="1">
      <c r="A710" s="2" t="n">
        <v>50708</v>
      </c>
      <c r="B710" s="2" t="inlineStr">
        <is>
          <t>SKU-0112</t>
        </is>
      </c>
      <c r="C710" s="2" t="n">
        <v>11</v>
      </c>
      <c r="D710" s="2">
        <f>VLOOKUP(B710,Products!$A$2:$D$201,3,FALSE())</f>
        <v/>
      </c>
      <c r="E710" s="2">
        <f>C710*D710</f>
        <v/>
      </c>
      <c r="F710" s="2">
        <f>C710*INDEX(Products!$D$2:$D$201,MATCH(B710,Products!$A$2:$A$201,0))</f>
        <v/>
      </c>
      <c r="G710" s="2">
        <f>E710-F710</f>
        <v/>
      </c>
    </row>
    <row r="711" ht="15" customHeight="1" s="1">
      <c r="A711" s="2" t="n">
        <v>50709</v>
      </c>
      <c r="B711" s="2" t="inlineStr">
        <is>
          <t>SKU-0009</t>
        </is>
      </c>
      <c r="C711" s="2" t="n">
        <v>10</v>
      </c>
      <c r="D711" s="2">
        <f>VLOOKUP(B711,Products!$A$2:$D$201,3,FALSE())</f>
        <v/>
      </c>
      <c r="E711" s="2">
        <f>C711*D711</f>
        <v/>
      </c>
      <c r="F711" s="2">
        <f>C711*INDEX(Products!$D$2:$D$201,MATCH(B711,Products!$A$2:$A$201,0))</f>
        <v/>
      </c>
      <c r="G711" s="2">
        <f>E711-F711</f>
        <v/>
      </c>
    </row>
    <row r="712" ht="15" customHeight="1" s="1">
      <c r="A712" s="2" t="n">
        <v>50710</v>
      </c>
      <c r="B712" s="2" t="inlineStr">
        <is>
          <t>SKU-0093</t>
        </is>
      </c>
      <c r="C712" s="2" t="n">
        <v>14</v>
      </c>
      <c r="D712" s="2">
        <f>VLOOKUP(B712,Products!$A$2:$D$201,3,FALSE())</f>
        <v/>
      </c>
      <c r="E712" s="2">
        <f>C712*D712</f>
        <v/>
      </c>
      <c r="F712" s="2">
        <f>C712*INDEX(Products!$D$2:$D$201,MATCH(B712,Products!$A$2:$A$201,0))</f>
        <v/>
      </c>
      <c r="G712" s="2">
        <f>E712-F712</f>
        <v/>
      </c>
    </row>
    <row r="713" ht="15" customHeight="1" s="1">
      <c r="A713" s="2" t="n">
        <v>50711</v>
      </c>
      <c r="B713" s="2" t="inlineStr">
        <is>
          <t>SKU-0154</t>
        </is>
      </c>
      <c r="C713" s="2" t="n">
        <v>19</v>
      </c>
      <c r="D713" s="2">
        <f>VLOOKUP(B713,Products!$A$2:$D$201,3,FALSE())</f>
        <v/>
      </c>
      <c r="E713" s="2">
        <f>C713*D713</f>
        <v/>
      </c>
      <c r="F713" s="2">
        <f>C713*INDEX(Products!$D$2:$D$201,MATCH(B713,Products!$A$2:$A$201,0))</f>
        <v/>
      </c>
      <c r="G713" s="2">
        <f>E713-F713</f>
        <v/>
      </c>
    </row>
    <row r="714" ht="15" customHeight="1" s="1">
      <c r="A714" s="2" t="n">
        <v>50712</v>
      </c>
      <c r="B714" s="2" t="inlineStr">
        <is>
          <t>SKU-0027</t>
        </is>
      </c>
      <c r="C714" s="2" t="n">
        <v>6</v>
      </c>
      <c r="D714" s="2">
        <f>VLOOKUP(B714,Products!$A$2:$D$201,3,FALSE())</f>
        <v/>
      </c>
      <c r="E714" s="2">
        <f>C714*D714</f>
        <v/>
      </c>
      <c r="F714" s="2">
        <f>C714*INDEX(Products!$D$2:$D$201,MATCH(B714,Products!$A$2:$A$201,0))</f>
        <v/>
      </c>
      <c r="G714" s="2">
        <f>E714-F714</f>
        <v/>
      </c>
    </row>
    <row r="715" ht="15" customHeight="1" s="1">
      <c r="A715" s="2" t="n">
        <v>50713</v>
      </c>
      <c r="B715" s="2" t="inlineStr">
        <is>
          <t>SKU-0002</t>
        </is>
      </c>
      <c r="C715" s="2" t="n">
        <v>15</v>
      </c>
      <c r="D715" s="2">
        <f>VLOOKUP(B715,Products!$A$2:$D$201,3,FALSE())</f>
        <v/>
      </c>
      <c r="E715" s="2">
        <f>C715*D715</f>
        <v/>
      </c>
      <c r="F715" s="2">
        <f>C715*INDEX(Products!$D$2:$D$201,MATCH(B715,Products!$A$2:$A$201,0))</f>
        <v/>
      </c>
      <c r="G715" s="2">
        <f>E715-F715</f>
        <v/>
      </c>
    </row>
    <row r="716" ht="15" customHeight="1" s="1">
      <c r="A716" s="2" t="n">
        <v>50714</v>
      </c>
      <c r="B716" s="2" t="inlineStr">
        <is>
          <t>SKU-0036</t>
        </is>
      </c>
      <c r="C716" s="2" t="n">
        <v>10</v>
      </c>
      <c r="D716" s="2">
        <f>VLOOKUP(B716,Products!$A$2:$D$201,3,FALSE())</f>
        <v/>
      </c>
      <c r="E716" s="2">
        <f>C716*D716</f>
        <v/>
      </c>
      <c r="F716" s="2">
        <f>C716*INDEX(Products!$D$2:$D$201,MATCH(B716,Products!$A$2:$A$201,0))</f>
        <v/>
      </c>
      <c r="G716" s="2">
        <f>E716-F716</f>
        <v/>
      </c>
    </row>
    <row r="717" ht="15" customHeight="1" s="1">
      <c r="A717" s="2" t="n">
        <v>50715</v>
      </c>
      <c r="B717" s="2" t="inlineStr">
        <is>
          <t>SKU-0010</t>
        </is>
      </c>
      <c r="C717" s="2" t="n">
        <v>19</v>
      </c>
      <c r="D717" s="2">
        <f>VLOOKUP(B717,Products!$A$2:$D$201,3,FALSE())</f>
        <v/>
      </c>
      <c r="E717" s="2">
        <f>C717*D717</f>
        <v/>
      </c>
      <c r="F717" s="2">
        <f>C717*INDEX(Products!$D$2:$D$201,MATCH(B717,Products!$A$2:$A$201,0))</f>
        <v/>
      </c>
      <c r="G717" s="2">
        <f>E717-F717</f>
        <v/>
      </c>
    </row>
    <row r="718" ht="15" customHeight="1" s="1">
      <c r="A718" s="2" t="n">
        <v>50716</v>
      </c>
      <c r="B718" s="2" t="inlineStr">
        <is>
          <t>SKU-0027</t>
        </is>
      </c>
      <c r="C718" s="2" t="n">
        <v>19</v>
      </c>
      <c r="D718" s="2">
        <f>VLOOKUP(B718,Products!$A$2:$D$201,3,FALSE())</f>
        <v/>
      </c>
      <c r="E718" s="2">
        <f>C718*D718</f>
        <v/>
      </c>
      <c r="F718" s="2">
        <f>C718*INDEX(Products!$D$2:$D$201,MATCH(B718,Products!$A$2:$A$201,0))</f>
        <v/>
      </c>
      <c r="G718" s="2">
        <f>E718-F718</f>
        <v/>
      </c>
    </row>
    <row r="719" ht="15" customHeight="1" s="1">
      <c r="A719" s="2" t="n">
        <v>50717</v>
      </c>
      <c r="B719" s="2" t="inlineStr">
        <is>
          <t>SKU-0193</t>
        </is>
      </c>
      <c r="C719" s="2" t="n">
        <v>2</v>
      </c>
      <c r="D719" s="2">
        <f>VLOOKUP(B719,Products!$A$2:$D$201,3,FALSE())</f>
        <v/>
      </c>
      <c r="E719" s="2">
        <f>C719*D719</f>
        <v/>
      </c>
      <c r="F719" s="2">
        <f>C719*INDEX(Products!$D$2:$D$201,MATCH(B719,Products!$A$2:$A$201,0))</f>
        <v/>
      </c>
      <c r="G719" s="2">
        <f>E719-F719</f>
        <v/>
      </c>
    </row>
    <row r="720" ht="15" customHeight="1" s="1">
      <c r="A720" s="2" t="n">
        <v>50718</v>
      </c>
      <c r="B720" s="2" t="inlineStr">
        <is>
          <t>SKU-0017</t>
        </is>
      </c>
      <c r="C720" s="2" t="n">
        <v>3</v>
      </c>
      <c r="D720" s="2">
        <f>VLOOKUP(B720,Products!$A$2:$D$201,3,FALSE())</f>
        <v/>
      </c>
      <c r="E720" s="2">
        <f>C720*D720</f>
        <v/>
      </c>
      <c r="F720" s="2">
        <f>C720*INDEX(Products!$D$2:$D$201,MATCH(B720,Products!$A$2:$A$201,0))</f>
        <v/>
      </c>
      <c r="G720" s="2">
        <f>E720-F720</f>
        <v/>
      </c>
    </row>
    <row r="721" ht="15" customHeight="1" s="1">
      <c r="A721" s="2" t="n">
        <v>50719</v>
      </c>
      <c r="B721" s="2" t="inlineStr">
        <is>
          <t>SKU-0075</t>
        </is>
      </c>
      <c r="C721" s="2" t="n">
        <v>10</v>
      </c>
      <c r="D721" s="2">
        <f>VLOOKUP(B721,Products!$A$2:$D$201,3,FALSE())</f>
        <v/>
      </c>
      <c r="E721" s="2">
        <f>C721*D721</f>
        <v/>
      </c>
      <c r="F721" s="2">
        <f>C721*INDEX(Products!$D$2:$D$201,MATCH(B721,Products!$A$2:$A$201,0))</f>
        <v/>
      </c>
      <c r="G721" s="2">
        <f>E721-F721</f>
        <v/>
      </c>
    </row>
    <row r="722" ht="15" customHeight="1" s="1">
      <c r="A722" s="2" t="n">
        <v>50720</v>
      </c>
      <c r="B722" s="2" t="inlineStr">
        <is>
          <t>SKU-0072</t>
        </is>
      </c>
      <c r="C722" s="2" t="n">
        <v>14</v>
      </c>
      <c r="D722" s="2">
        <f>VLOOKUP(B722,Products!$A$2:$D$201,3,FALSE())</f>
        <v/>
      </c>
      <c r="E722" s="2">
        <f>C722*D722</f>
        <v/>
      </c>
      <c r="F722" s="2">
        <f>C722*INDEX(Products!$D$2:$D$201,MATCH(B722,Products!$A$2:$A$201,0))</f>
        <v/>
      </c>
      <c r="G722" s="2">
        <f>E722-F722</f>
        <v/>
      </c>
    </row>
    <row r="723" ht="15" customHeight="1" s="1">
      <c r="A723" s="2" t="n">
        <v>50721</v>
      </c>
      <c r="B723" s="2" t="inlineStr">
        <is>
          <t>SKU-0168</t>
        </is>
      </c>
      <c r="C723" s="2" t="n">
        <v>8</v>
      </c>
      <c r="D723" s="2">
        <f>VLOOKUP(B723,Products!$A$2:$D$201,3,FALSE())</f>
        <v/>
      </c>
      <c r="E723" s="2">
        <f>C723*D723</f>
        <v/>
      </c>
      <c r="F723" s="2">
        <f>C723*INDEX(Products!$D$2:$D$201,MATCH(B723,Products!$A$2:$A$201,0))</f>
        <v/>
      </c>
      <c r="G723" s="2">
        <f>E723-F723</f>
        <v/>
      </c>
    </row>
    <row r="724" ht="15" customHeight="1" s="1">
      <c r="A724" s="2" t="n">
        <v>50722</v>
      </c>
      <c r="B724" s="2" t="inlineStr">
        <is>
          <t>SKU-0008</t>
        </is>
      </c>
      <c r="C724" s="2" t="n">
        <v>14</v>
      </c>
      <c r="D724" s="2">
        <f>VLOOKUP(B724,Products!$A$2:$D$201,3,FALSE())</f>
        <v/>
      </c>
      <c r="E724" s="2">
        <f>C724*D724</f>
        <v/>
      </c>
      <c r="F724" s="2">
        <f>C724*INDEX(Products!$D$2:$D$201,MATCH(B724,Products!$A$2:$A$201,0))</f>
        <v/>
      </c>
      <c r="G724" s="2">
        <f>E724-F724</f>
        <v/>
      </c>
    </row>
    <row r="725" ht="15" customHeight="1" s="1">
      <c r="A725" s="2" t="n">
        <v>50723</v>
      </c>
      <c r="B725" s="2" t="inlineStr">
        <is>
          <t>SKU-0116</t>
        </is>
      </c>
      <c r="C725" s="2" t="n">
        <v>10</v>
      </c>
      <c r="D725" s="2">
        <f>VLOOKUP(B725,Products!$A$2:$D$201,3,FALSE())</f>
        <v/>
      </c>
      <c r="E725" s="2">
        <f>C725*D725</f>
        <v/>
      </c>
      <c r="F725" s="2">
        <f>C725*INDEX(Products!$D$2:$D$201,MATCH(B725,Products!$A$2:$A$201,0))</f>
        <v/>
      </c>
      <c r="G725" s="2">
        <f>E725-F725</f>
        <v/>
      </c>
    </row>
    <row r="726" ht="15" customHeight="1" s="1">
      <c r="A726" s="2" t="n">
        <v>50724</v>
      </c>
      <c r="B726" s="2" t="inlineStr">
        <is>
          <t>SKU-0041</t>
        </is>
      </c>
      <c r="C726" s="2" t="n">
        <v>11</v>
      </c>
      <c r="D726" s="2">
        <f>VLOOKUP(B726,Products!$A$2:$D$201,3,FALSE())</f>
        <v/>
      </c>
      <c r="E726" s="2">
        <f>C726*D726</f>
        <v/>
      </c>
      <c r="F726" s="2">
        <f>C726*INDEX(Products!$D$2:$D$201,MATCH(B726,Products!$A$2:$A$201,0))</f>
        <v/>
      </c>
      <c r="G726" s="2">
        <f>E726-F726</f>
        <v/>
      </c>
    </row>
    <row r="727" ht="15" customHeight="1" s="1">
      <c r="A727" s="2" t="n">
        <v>50725</v>
      </c>
      <c r="B727" s="2" t="inlineStr">
        <is>
          <t>SKU-0135</t>
        </is>
      </c>
      <c r="C727" s="2" t="n">
        <v>17</v>
      </c>
      <c r="D727" s="2">
        <f>VLOOKUP(B727,Products!$A$2:$D$201,3,FALSE())</f>
        <v/>
      </c>
      <c r="E727" s="2">
        <f>C727*D727</f>
        <v/>
      </c>
      <c r="F727" s="2">
        <f>C727*INDEX(Products!$D$2:$D$201,MATCH(B727,Products!$A$2:$A$201,0))</f>
        <v/>
      </c>
      <c r="G727" s="2">
        <f>E727-F727</f>
        <v/>
      </c>
    </row>
    <row r="728" ht="15" customHeight="1" s="1">
      <c r="A728" s="2" t="n">
        <v>50726</v>
      </c>
      <c r="B728" s="2" t="inlineStr">
        <is>
          <t>SKU-0144</t>
        </is>
      </c>
      <c r="C728" s="2" t="n">
        <v>13</v>
      </c>
      <c r="D728" s="2">
        <f>VLOOKUP(B728,Products!$A$2:$D$201,3,FALSE())</f>
        <v/>
      </c>
      <c r="E728" s="2">
        <f>C728*D728</f>
        <v/>
      </c>
      <c r="F728" s="2">
        <f>C728*INDEX(Products!$D$2:$D$201,MATCH(B728,Products!$A$2:$A$201,0))</f>
        <v/>
      </c>
      <c r="G728" s="2">
        <f>E728-F728</f>
        <v/>
      </c>
    </row>
    <row r="729" ht="15" customHeight="1" s="1">
      <c r="A729" s="2" t="n">
        <v>50727</v>
      </c>
      <c r="B729" s="2" t="inlineStr">
        <is>
          <t>SKU-0119</t>
        </is>
      </c>
      <c r="C729" s="2" t="n">
        <v>20</v>
      </c>
      <c r="D729" s="2">
        <f>VLOOKUP(B729,Products!$A$2:$D$201,3,FALSE())</f>
        <v/>
      </c>
      <c r="E729" s="2">
        <f>C729*D729</f>
        <v/>
      </c>
      <c r="F729" s="2">
        <f>C729*INDEX(Products!$D$2:$D$201,MATCH(B729,Products!$A$2:$A$201,0))</f>
        <v/>
      </c>
      <c r="G729" s="2">
        <f>E729-F729</f>
        <v/>
      </c>
    </row>
    <row r="730" ht="15" customHeight="1" s="1">
      <c r="A730" s="2" t="n">
        <v>50728</v>
      </c>
      <c r="B730" s="2" t="inlineStr">
        <is>
          <t>SKU-0118</t>
        </is>
      </c>
      <c r="C730" s="2" t="n">
        <v>2</v>
      </c>
      <c r="D730" s="2">
        <f>VLOOKUP(B730,Products!$A$2:$D$201,3,FALSE())</f>
        <v/>
      </c>
      <c r="E730" s="2">
        <f>C730*D730</f>
        <v/>
      </c>
      <c r="F730" s="2">
        <f>C730*INDEX(Products!$D$2:$D$201,MATCH(B730,Products!$A$2:$A$201,0))</f>
        <v/>
      </c>
      <c r="G730" s="2">
        <f>E730-F730</f>
        <v/>
      </c>
    </row>
    <row r="731" ht="15" customHeight="1" s="1">
      <c r="A731" s="2" t="n">
        <v>50729</v>
      </c>
      <c r="B731" s="2" t="inlineStr">
        <is>
          <t>SKU-0045</t>
        </is>
      </c>
      <c r="C731" s="2" t="n">
        <v>12</v>
      </c>
      <c r="D731" s="2">
        <f>VLOOKUP(B731,Products!$A$2:$D$201,3,FALSE())</f>
        <v/>
      </c>
      <c r="E731" s="2">
        <f>C731*D731</f>
        <v/>
      </c>
      <c r="F731" s="2">
        <f>C731*INDEX(Products!$D$2:$D$201,MATCH(B731,Products!$A$2:$A$201,0))</f>
        <v/>
      </c>
      <c r="G731" s="2">
        <f>E731-F731</f>
        <v/>
      </c>
    </row>
    <row r="732" ht="15" customHeight="1" s="1">
      <c r="A732" s="2" t="n">
        <v>50730</v>
      </c>
      <c r="B732" s="2" t="inlineStr">
        <is>
          <t>SKU-0121</t>
        </is>
      </c>
      <c r="C732" s="2" t="n">
        <v>11</v>
      </c>
      <c r="D732" s="2">
        <f>VLOOKUP(B732,Products!$A$2:$D$201,3,FALSE())</f>
        <v/>
      </c>
      <c r="E732" s="2">
        <f>C732*D732</f>
        <v/>
      </c>
      <c r="F732" s="2">
        <f>C732*INDEX(Products!$D$2:$D$201,MATCH(B732,Products!$A$2:$A$201,0))</f>
        <v/>
      </c>
      <c r="G732" s="2">
        <f>E732-F732</f>
        <v/>
      </c>
    </row>
    <row r="733" ht="15" customHeight="1" s="1">
      <c r="A733" s="2" t="n">
        <v>50731</v>
      </c>
      <c r="B733" s="2" t="inlineStr">
        <is>
          <t>SKU-0159</t>
        </is>
      </c>
      <c r="C733" s="2" t="n">
        <v>3</v>
      </c>
      <c r="D733" s="2">
        <f>VLOOKUP(B733,Products!$A$2:$D$201,3,FALSE())</f>
        <v/>
      </c>
      <c r="E733" s="2">
        <f>C733*D733</f>
        <v/>
      </c>
      <c r="F733" s="2">
        <f>C733*INDEX(Products!$D$2:$D$201,MATCH(B733,Products!$A$2:$A$201,0))</f>
        <v/>
      </c>
      <c r="G733" s="2">
        <f>E733-F733</f>
        <v/>
      </c>
    </row>
    <row r="734" ht="15" customHeight="1" s="1">
      <c r="A734" s="2" t="n">
        <v>50732</v>
      </c>
      <c r="B734" s="2" t="inlineStr">
        <is>
          <t>SKU-0028</t>
        </is>
      </c>
      <c r="C734" s="2" t="n">
        <v>15</v>
      </c>
      <c r="D734" s="2">
        <f>VLOOKUP(B734,Products!$A$2:$D$201,3,FALSE())</f>
        <v/>
      </c>
      <c r="E734" s="2">
        <f>C734*D734</f>
        <v/>
      </c>
      <c r="F734" s="2">
        <f>C734*INDEX(Products!$D$2:$D$201,MATCH(B734,Products!$A$2:$A$201,0))</f>
        <v/>
      </c>
      <c r="G734" s="2">
        <f>E734-F734</f>
        <v/>
      </c>
    </row>
    <row r="735" ht="15" customHeight="1" s="1">
      <c r="A735" s="2" t="n">
        <v>50733</v>
      </c>
      <c r="B735" s="2" t="inlineStr">
        <is>
          <t>SKU-0069</t>
        </is>
      </c>
      <c r="C735" s="2" t="n">
        <v>12</v>
      </c>
      <c r="D735" s="2">
        <f>VLOOKUP(B735,Products!$A$2:$D$201,3,FALSE())</f>
        <v/>
      </c>
      <c r="E735" s="2">
        <f>C735*D735</f>
        <v/>
      </c>
      <c r="F735" s="2">
        <f>C735*INDEX(Products!$D$2:$D$201,MATCH(B735,Products!$A$2:$A$201,0))</f>
        <v/>
      </c>
      <c r="G735" s="2">
        <f>E735-F735</f>
        <v/>
      </c>
    </row>
    <row r="736" ht="15" customHeight="1" s="1">
      <c r="A736" s="2" t="n">
        <v>50734</v>
      </c>
      <c r="B736" s="2" t="inlineStr">
        <is>
          <t>SKU-0087</t>
        </is>
      </c>
      <c r="C736" s="2" t="n">
        <v>4</v>
      </c>
      <c r="D736" s="2">
        <f>VLOOKUP(B736,Products!$A$2:$D$201,3,FALSE())</f>
        <v/>
      </c>
      <c r="E736" s="2">
        <f>C736*D736</f>
        <v/>
      </c>
      <c r="F736" s="2">
        <f>C736*INDEX(Products!$D$2:$D$201,MATCH(B736,Products!$A$2:$A$201,0))</f>
        <v/>
      </c>
      <c r="G736" s="2">
        <f>E736-F736</f>
        <v/>
      </c>
    </row>
    <row r="737" ht="15" customHeight="1" s="1">
      <c r="A737" s="2" t="n">
        <v>50735</v>
      </c>
      <c r="B737" s="2" t="inlineStr">
        <is>
          <t>SKU-0099</t>
        </is>
      </c>
      <c r="C737" s="2" t="n">
        <v>13</v>
      </c>
      <c r="D737" s="2">
        <f>VLOOKUP(B737,Products!$A$2:$D$201,3,FALSE())</f>
        <v/>
      </c>
      <c r="E737" s="2">
        <f>C737*D737</f>
        <v/>
      </c>
      <c r="F737" s="2">
        <f>C737*INDEX(Products!$D$2:$D$201,MATCH(B737,Products!$A$2:$A$201,0))</f>
        <v/>
      </c>
      <c r="G737" s="2">
        <f>E737-F737</f>
        <v/>
      </c>
    </row>
    <row r="738" ht="15" customHeight="1" s="1">
      <c r="A738" s="2" t="n">
        <v>50736</v>
      </c>
      <c r="B738" s="2" t="inlineStr">
        <is>
          <t>SKU-0115</t>
        </is>
      </c>
      <c r="C738" s="2" t="n">
        <v>9</v>
      </c>
      <c r="D738" s="2">
        <f>VLOOKUP(B738,Products!$A$2:$D$201,3,FALSE())</f>
        <v/>
      </c>
      <c r="E738" s="2">
        <f>C738*D738</f>
        <v/>
      </c>
      <c r="F738" s="2">
        <f>C738*INDEX(Products!$D$2:$D$201,MATCH(B738,Products!$A$2:$A$201,0))</f>
        <v/>
      </c>
      <c r="G738" s="2">
        <f>E738-F738</f>
        <v/>
      </c>
    </row>
    <row r="739" ht="15" customHeight="1" s="1">
      <c r="A739" s="2" t="n">
        <v>50737</v>
      </c>
      <c r="B739" s="2" t="inlineStr">
        <is>
          <t>SKU-0033</t>
        </is>
      </c>
      <c r="C739" s="2" t="n">
        <v>5</v>
      </c>
      <c r="D739" s="2">
        <f>VLOOKUP(B739,Products!$A$2:$D$201,3,FALSE())</f>
        <v/>
      </c>
      <c r="E739" s="2">
        <f>C739*D739</f>
        <v/>
      </c>
      <c r="F739" s="2">
        <f>C739*INDEX(Products!$D$2:$D$201,MATCH(B739,Products!$A$2:$A$201,0))</f>
        <v/>
      </c>
      <c r="G739" s="2">
        <f>E739-F739</f>
        <v/>
      </c>
    </row>
    <row r="740" ht="15" customHeight="1" s="1">
      <c r="A740" s="2" t="n">
        <v>50738</v>
      </c>
      <c r="B740" s="2" t="inlineStr">
        <is>
          <t>SKU-0191</t>
        </is>
      </c>
      <c r="C740" s="2" t="n">
        <v>18</v>
      </c>
      <c r="D740" s="2">
        <f>VLOOKUP(B740,Products!$A$2:$D$201,3,FALSE())</f>
        <v/>
      </c>
      <c r="E740" s="2">
        <f>C740*D740</f>
        <v/>
      </c>
      <c r="F740" s="2">
        <f>C740*INDEX(Products!$D$2:$D$201,MATCH(B740,Products!$A$2:$A$201,0))</f>
        <v/>
      </c>
      <c r="G740" s="2">
        <f>E740-F740</f>
        <v/>
      </c>
    </row>
    <row r="741" ht="15" customHeight="1" s="1">
      <c r="A741" s="2" t="n">
        <v>50739</v>
      </c>
      <c r="B741" s="2" t="inlineStr">
        <is>
          <t>SKU-0117</t>
        </is>
      </c>
      <c r="C741" s="2" t="n">
        <v>12</v>
      </c>
      <c r="D741" s="2">
        <f>VLOOKUP(B741,Products!$A$2:$D$201,3,FALSE())</f>
        <v/>
      </c>
      <c r="E741" s="2">
        <f>C741*D741</f>
        <v/>
      </c>
      <c r="F741" s="2">
        <f>C741*INDEX(Products!$D$2:$D$201,MATCH(B741,Products!$A$2:$A$201,0))</f>
        <v/>
      </c>
      <c r="G741" s="2">
        <f>E741-F741</f>
        <v/>
      </c>
    </row>
    <row r="742" ht="15" customHeight="1" s="1">
      <c r="A742" s="2" t="n">
        <v>50740</v>
      </c>
      <c r="B742" s="2" t="inlineStr">
        <is>
          <t>SKU-0071</t>
        </is>
      </c>
      <c r="C742" s="2" t="n">
        <v>6</v>
      </c>
      <c r="D742" s="2">
        <f>VLOOKUP(B742,Products!$A$2:$D$201,3,FALSE())</f>
        <v/>
      </c>
      <c r="E742" s="2">
        <f>C742*D742</f>
        <v/>
      </c>
      <c r="F742" s="2">
        <f>C742*INDEX(Products!$D$2:$D$201,MATCH(B742,Products!$A$2:$A$201,0))</f>
        <v/>
      </c>
      <c r="G742" s="2">
        <f>E742-F742</f>
        <v/>
      </c>
    </row>
    <row r="743" ht="15" customHeight="1" s="1">
      <c r="A743" s="2" t="n">
        <v>50741</v>
      </c>
      <c r="B743" s="2" t="inlineStr">
        <is>
          <t>SKU-0044</t>
        </is>
      </c>
      <c r="C743" s="2" t="n">
        <v>14</v>
      </c>
      <c r="D743" s="2">
        <f>VLOOKUP(B743,Products!$A$2:$D$201,3,FALSE())</f>
        <v/>
      </c>
      <c r="E743" s="2">
        <f>C743*D743</f>
        <v/>
      </c>
      <c r="F743" s="2">
        <f>C743*INDEX(Products!$D$2:$D$201,MATCH(B743,Products!$A$2:$A$201,0))</f>
        <v/>
      </c>
      <c r="G743" s="2">
        <f>E743-F743</f>
        <v/>
      </c>
    </row>
    <row r="744" ht="15" customHeight="1" s="1">
      <c r="A744" s="2" t="n">
        <v>50742</v>
      </c>
      <c r="B744" s="2" t="inlineStr">
        <is>
          <t>SKU-0002</t>
        </is>
      </c>
      <c r="C744" s="2" t="n">
        <v>13</v>
      </c>
      <c r="D744" s="2">
        <f>VLOOKUP(B744,Products!$A$2:$D$201,3,FALSE())</f>
        <v/>
      </c>
      <c r="E744" s="2">
        <f>C744*D744</f>
        <v/>
      </c>
      <c r="F744" s="2">
        <f>C744*INDEX(Products!$D$2:$D$201,MATCH(B744,Products!$A$2:$A$201,0))</f>
        <v/>
      </c>
      <c r="G744" s="2">
        <f>E744-F744</f>
        <v/>
      </c>
    </row>
    <row r="745" ht="15" customHeight="1" s="1">
      <c r="A745" s="2" t="n">
        <v>50743</v>
      </c>
      <c r="B745" s="2" t="inlineStr">
        <is>
          <t>SKU-0080</t>
        </is>
      </c>
      <c r="C745" s="2" t="n">
        <v>9</v>
      </c>
      <c r="D745" s="2">
        <f>VLOOKUP(B745,Products!$A$2:$D$201,3,FALSE())</f>
        <v/>
      </c>
      <c r="E745" s="2">
        <f>C745*D745</f>
        <v/>
      </c>
      <c r="F745" s="2">
        <f>C745*INDEX(Products!$D$2:$D$201,MATCH(B745,Products!$A$2:$A$201,0))</f>
        <v/>
      </c>
      <c r="G745" s="2">
        <f>E745-F745</f>
        <v/>
      </c>
    </row>
    <row r="746" ht="15" customHeight="1" s="1">
      <c r="A746" s="2" t="n">
        <v>50744</v>
      </c>
      <c r="B746" s="2" t="inlineStr">
        <is>
          <t>SKU-0049</t>
        </is>
      </c>
      <c r="C746" s="2" t="n">
        <v>20</v>
      </c>
      <c r="D746" s="2">
        <f>VLOOKUP(B746,Products!$A$2:$D$201,3,FALSE())</f>
        <v/>
      </c>
      <c r="E746" s="2">
        <f>C746*D746</f>
        <v/>
      </c>
      <c r="F746" s="2">
        <f>C746*INDEX(Products!$D$2:$D$201,MATCH(B746,Products!$A$2:$A$201,0))</f>
        <v/>
      </c>
      <c r="G746" s="2">
        <f>E746-F746</f>
        <v/>
      </c>
    </row>
    <row r="747" ht="15" customHeight="1" s="1">
      <c r="A747" s="2" t="n">
        <v>50745</v>
      </c>
      <c r="B747" s="2" t="inlineStr">
        <is>
          <t>SKU-0039</t>
        </is>
      </c>
      <c r="C747" s="2" t="n">
        <v>14</v>
      </c>
      <c r="D747" s="2">
        <f>VLOOKUP(B747,Products!$A$2:$D$201,3,FALSE())</f>
        <v/>
      </c>
      <c r="E747" s="2">
        <f>C747*D747</f>
        <v/>
      </c>
      <c r="F747" s="2">
        <f>C747*INDEX(Products!$D$2:$D$201,MATCH(B747,Products!$A$2:$A$201,0))</f>
        <v/>
      </c>
      <c r="G747" s="2">
        <f>E747-F747</f>
        <v/>
      </c>
    </row>
    <row r="748" ht="15" customHeight="1" s="1">
      <c r="A748" s="2" t="n">
        <v>50746</v>
      </c>
      <c r="B748" s="2" t="inlineStr">
        <is>
          <t>SKU-0157</t>
        </is>
      </c>
      <c r="C748" s="2" t="n">
        <v>17</v>
      </c>
      <c r="D748" s="2">
        <f>VLOOKUP(B748,Products!$A$2:$D$201,3,FALSE())</f>
        <v/>
      </c>
      <c r="E748" s="2">
        <f>C748*D748</f>
        <v/>
      </c>
      <c r="F748" s="2">
        <f>C748*INDEX(Products!$D$2:$D$201,MATCH(B748,Products!$A$2:$A$201,0))</f>
        <v/>
      </c>
      <c r="G748" s="2">
        <f>E748-F748</f>
        <v/>
      </c>
    </row>
    <row r="749" ht="15" customHeight="1" s="1">
      <c r="A749" s="2" t="n">
        <v>50747</v>
      </c>
      <c r="B749" s="2" t="inlineStr">
        <is>
          <t>SKU-0116</t>
        </is>
      </c>
      <c r="C749" s="2" t="n">
        <v>4</v>
      </c>
      <c r="D749" s="2">
        <f>VLOOKUP(B749,Products!$A$2:$D$201,3,FALSE())</f>
        <v/>
      </c>
      <c r="E749" s="2">
        <f>C749*D749</f>
        <v/>
      </c>
      <c r="F749" s="2">
        <f>C749*INDEX(Products!$D$2:$D$201,MATCH(B749,Products!$A$2:$A$201,0))</f>
        <v/>
      </c>
      <c r="G749" s="2">
        <f>E749-F749</f>
        <v/>
      </c>
    </row>
    <row r="750" ht="15" customHeight="1" s="1">
      <c r="A750" s="2" t="n">
        <v>50748</v>
      </c>
      <c r="B750" s="2" t="inlineStr">
        <is>
          <t>SKU-0073</t>
        </is>
      </c>
      <c r="C750" s="2" t="n">
        <v>13</v>
      </c>
      <c r="D750" s="2">
        <f>VLOOKUP(B750,Products!$A$2:$D$201,3,FALSE())</f>
        <v/>
      </c>
      <c r="E750" s="2">
        <f>C750*D750</f>
        <v/>
      </c>
      <c r="F750" s="2">
        <f>C750*INDEX(Products!$D$2:$D$201,MATCH(B750,Products!$A$2:$A$201,0))</f>
        <v/>
      </c>
      <c r="G750" s="2">
        <f>E750-F750</f>
        <v/>
      </c>
    </row>
    <row r="751" ht="15" customHeight="1" s="1">
      <c r="A751" s="2" t="n">
        <v>50749</v>
      </c>
      <c r="B751" s="2" t="inlineStr">
        <is>
          <t>SKU-0009</t>
        </is>
      </c>
      <c r="C751" s="2" t="n">
        <v>7</v>
      </c>
      <c r="D751" s="2">
        <f>VLOOKUP(B751,Products!$A$2:$D$201,3,FALSE())</f>
        <v/>
      </c>
      <c r="E751" s="2">
        <f>C751*D751</f>
        <v/>
      </c>
      <c r="F751" s="2">
        <f>C751*INDEX(Products!$D$2:$D$201,MATCH(B751,Products!$A$2:$A$201,0))</f>
        <v/>
      </c>
      <c r="G751" s="2">
        <f>E751-F751</f>
        <v/>
      </c>
    </row>
    <row r="752" ht="15" customHeight="1" s="1">
      <c r="A752" s="2" t="n">
        <v>50750</v>
      </c>
      <c r="B752" s="2" t="inlineStr">
        <is>
          <t>SKU-0049</t>
        </is>
      </c>
      <c r="C752" s="2" t="n">
        <v>13</v>
      </c>
      <c r="D752" s="2">
        <f>VLOOKUP(B752,Products!$A$2:$D$201,3,FALSE())</f>
        <v/>
      </c>
      <c r="E752" s="2">
        <f>C752*D752</f>
        <v/>
      </c>
      <c r="F752" s="2">
        <f>C752*INDEX(Products!$D$2:$D$201,MATCH(B752,Products!$A$2:$A$201,0))</f>
        <v/>
      </c>
      <c r="G752" s="2">
        <f>E752-F752</f>
        <v/>
      </c>
    </row>
    <row r="753" ht="15" customHeight="1" s="1">
      <c r="A753" s="2" t="n">
        <v>50751</v>
      </c>
      <c r="B753" s="2" t="inlineStr">
        <is>
          <t>SKU-0062</t>
        </is>
      </c>
      <c r="C753" s="2" t="n">
        <v>16</v>
      </c>
      <c r="D753" s="2">
        <f>VLOOKUP(B753,Products!$A$2:$D$201,3,FALSE())</f>
        <v/>
      </c>
      <c r="E753" s="2">
        <f>C753*D753</f>
        <v/>
      </c>
      <c r="F753" s="2">
        <f>C753*INDEX(Products!$D$2:$D$201,MATCH(B753,Products!$A$2:$A$201,0))</f>
        <v/>
      </c>
      <c r="G753" s="2">
        <f>E753-F753</f>
        <v/>
      </c>
    </row>
    <row r="754" ht="15" customHeight="1" s="1">
      <c r="A754" s="2" t="n">
        <v>50752</v>
      </c>
      <c r="B754" s="2" t="inlineStr">
        <is>
          <t>SKU-0148</t>
        </is>
      </c>
      <c r="C754" s="2" t="n">
        <v>17</v>
      </c>
      <c r="D754" s="2">
        <f>VLOOKUP(B754,Products!$A$2:$D$201,3,FALSE())</f>
        <v/>
      </c>
      <c r="E754" s="2">
        <f>C754*D754</f>
        <v/>
      </c>
      <c r="F754" s="2">
        <f>C754*INDEX(Products!$D$2:$D$201,MATCH(B754,Products!$A$2:$A$201,0))</f>
        <v/>
      </c>
      <c r="G754" s="2">
        <f>E754-F754</f>
        <v/>
      </c>
    </row>
    <row r="755" ht="15" customHeight="1" s="1">
      <c r="A755" s="2" t="n">
        <v>50753</v>
      </c>
      <c r="B755" s="2" t="inlineStr">
        <is>
          <t>SKU-0006</t>
        </is>
      </c>
      <c r="C755" s="2" t="n">
        <v>4</v>
      </c>
      <c r="D755" s="2">
        <f>VLOOKUP(B755,Products!$A$2:$D$201,3,FALSE())</f>
        <v/>
      </c>
      <c r="E755" s="2">
        <f>C755*D755</f>
        <v/>
      </c>
      <c r="F755" s="2">
        <f>C755*INDEX(Products!$D$2:$D$201,MATCH(B755,Products!$A$2:$A$201,0))</f>
        <v/>
      </c>
      <c r="G755" s="2">
        <f>E755-F755</f>
        <v/>
      </c>
    </row>
    <row r="756" ht="15" customHeight="1" s="1">
      <c r="A756" s="2" t="n">
        <v>50754</v>
      </c>
      <c r="B756" s="2" t="inlineStr">
        <is>
          <t>SKU-0199</t>
        </is>
      </c>
      <c r="C756" s="2" t="n">
        <v>18</v>
      </c>
      <c r="D756" s="2">
        <f>VLOOKUP(B756,Products!$A$2:$D$201,3,FALSE())</f>
        <v/>
      </c>
      <c r="E756" s="2">
        <f>C756*D756</f>
        <v/>
      </c>
      <c r="F756" s="2">
        <f>C756*INDEX(Products!$D$2:$D$201,MATCH(B756,Products!$A$2:$A$201,0))</f>
        <v/>
      </c>
      <c r="G756" s="2">
        <f>E756-F756</f>
        <v/>
      </c>
    </row>
    <row r="757" ht="15" customHeight="1" s="1">
      <c r="A757" s="2" t="n">
        <v>50755</v>
      </c>
      <c r="B757" s="2" t="inlineStr">
        <is>
          <t>SKU-0078</t>
        </is>
      </c>
      <c r="C757" s="2" t="n">
        <v>4</v>
      </c>
      <c r="D757" s="2">
        <f>VLOOKUP(B757,Products!$A$2:$D$201,3,FALSE())</f>
        <v/>
      </c>
      <c r="E757" s="2">
        <f>C757*D757</f>
        <v/>
      </c>
      <c r="F757" s="2">
        <f>C757*INDEX(Products!$D$2:$D$201,MATCH(B757,Products!$A$2:$A$201,0))</f>
        <v/>
      </c>
      <c r="G757" s="2">
        <f>E757-F757</f>
        <v/>
      </c>
    </row>
    <row r="758" ht="15" customHeight="1" s="1">
      <c r="A758" s="2" t="n">
        <v>50756</v>
      </c>
      <c r="B758" s="2" t="inlineStr">
        <is>
          <t>SKU-0086</t>
        </is>
      </c>
      <c r="C758" s="2" t="n">
        <v>11</v>
      </c>
      <c r="D758" s="2">
        <f>VLOOKUP(B758,Products!$A$2:$D$201,3,FALSE())</f>
        <v/>
      </c>
      <c r="E758" s="2">
        <f>C758*D758</f>
        <v/>
      </c>
      <c r="F758" s="2">
        <f>C758*INDEX(Products!$D$2:$D$201,MATCH(B758,Products!$A$2:$A$201,0))</f>
        <v/>
      </c>
      <c r="G758" s="2">
        <f>E758-F758</f>
        <v/>
      </c>
    </row>
    <row r="759" ht="15" customHeight="1" s="1">
      <c r="A759" s="2" t="n">
        <v>50757</v>
      </c>
      <c r="B759" s="2" t="inlineStr">
        <is>
          <t>SKU-0156</t>
        </is>
      </c>
      <c r="C759" s="2" t="n">
        <v>12</v>
      </c>
      <c r="D759" s="2">
        <f>VLOOKUP(B759,Products!$A$2:$D$201,3,FALSE())</f>
        <v/>
      </c>
      <c r="E759" s="2">
        <f>C759*D759</f>
        <v/>
      </c>
      <c r="F759" s="2">
        <f>C759*INDEX(Products!$D$2:$D$201,MATCH(B759,Products!$A$2:$A$201,0))</f>
        <v/>
      </c>
      <c r="G759" s="2">
        <f>E759-F759</f>
        <v/>
      </c>
    </row>
    <row r="760" ht="15" customHeight="1" s="1">
      <c r="A760" s="2" t="n">
        <v>50758</v>
      </c>
      <c r="B760" s="2" t="inlineStr">
        <is>
          <t>SKU-0041</t>
        </is>
      </c>
      <c r="C760" s="2" t="n">
        <v>1</v>
      </c>
      <c r="D760" s="2">
        <f>VLOOKUP(B760,Products!$A$2:$D$201,3,FALSE())</f>
        <v/>
      </c>
      <c r="E760" s="2">
        <f>C760*D760</f>
        <v/>
      </c>
      <c r="F760" s="2">
        <f>C760*INDEX(Products!$D$2:$D$201,MATCH(B760,Products!$A$2:$A$201,0))</f>
        <v/>
      </c>
      <c r="G760" s="2">
        <f>E760-F760</f>
        <v/>
      </c>
    </row>
    <row r="761" ht="15" customHeight="1" s="1">
      <c r="A761" s="2" t="n">
        <v>50759</v>
      </c>
      <c r="B761" s="2" t="inlineStr">
        <is>
          <t>SKU-0011</t>
        </is>
      </c>
      <c r="C761" s="2" t="n">
        <v>7</v>
      </c>
      <c r="D761" s="2">
        <f>VLOOKUP(B761,Products!$A$2:$D$201,3,FALSE())</f>
        <v/>
      </c>
      <c r="E761" s="2">
        <f>C761*D761</f>
        <v/>
      </c>
      <c r="F761" s="2">
        <f>C761*INDEX(Products!$D$2:$D$201,MATCH(B761,Products!$A$2:$A$201,0))</f>
        <v/>
      </c>
      <c r="G761" s="2">
        <f>E761-F761</f>
        <v/>
      </c>
    </row>
    <row r="762" ht="15" customHeight="1" s="1">
      <c r="A762" s="2" t="n">
        <v>50760</v>
      </c>
      <c r="B762" s="2" t="inlineStr">
        <is>
          <t>SKU-0127</t>
        </is>
      </c>
      <c r="C762" s="2" t="n">
        <v>2</v>
      </c>
      <c r="D762" s="2">
        <f>VLOOKUP(B762,Products!$A$2:$D$201,3,FALSE())</f>
        <v/>
      </c>
      <c r="E762" s="2">
        <f>C762*D762</f>
        <v/>
      </c>
      <c r="F762" s="2">
        <f>C762*INDEX(Products!$D$2:$D$201,MATCH(B762,Products!$A$2:$A$201,0))</f>
        <v/>
      </c>
      <c r="G762" s="2">
        <f>E762-F762</f>
        <v/>
      </c>
    </row>
    <row r="763" ht="15" customHeight="1" s="1">
      <c r="A763" s="2" t="n">
        <v>50761</v>
      </c>
      <c r="B763" s="2" t="inlineStr">
        <is>
          <t>SKU-0069</t>
        </is>
      </c>
      <c r="C763" s="2" t="n">
        <v>16</v>
      </c>
      <c r="D763" s="2">
        <f>VLOOKUP(B763,Products!$A$2:$D$201,3,FALSE())</f>
        <v/>
      </c>
      <c r="E763" s="2">
        <f>C763*D763</f>
        <v/>
      </c>
      <c r="F763" s="2">
        <f>C763*INDEX(Products!$D$2:$D$201,MATCH(B763,Products!$A$2:$A$201,0))</f>
        <v/>
      </c>
      <c r="G763" s="2">
        <f>E763-F763</f>
        <v/>
      </c>
    </row>
    <row r="764" ht="15" customHeight="1" s="1">
      <c r="A764" s="2" t="n">
        <v>50762</v>
      </c>
      <c r="B764" s="2" t="inlineStr">
        <is>
          <t>SKU-0134</t>
        </is>
      </c>
      <c r="C764" s="2" t="n">
        <v>7</v>
      </c>
      <c r="D764" s="2">
        <f>VLOOKUP(B764,Products!$A$2:$D$201,3,FALSE())</f>
        <v/>
      </c>
      <c r="E764" s="2">
        <f>C764*D764</f>
        <v/>
      </c>
      <c r="F764" s="2">
        <f>C764*INDEX(Products!$D$2:$D$201,MATCH(B764,Products!$A$2:$A$201,0))</f>
        <v/>
      </c>
      <c r="G764" s="2">
        <f>E764-F764</f>
        <v/>
      </c>
    </row>
    <row r="765" ht="15" customHeight="1" s="1">
      <c r="A765" s="2" t="n">
        <v>50763</v>
      </c>
      <c r="B765" s="2" t="inlineStr">
        <is>
          <t>SKU-0011</t>
        </is>
      </c>
      <c r="C765" s="2" t="n">
        <v>8</v>
      </c>
      <c r="D765" s="2">
        <f>VLOOKUP(B765,Products!$A$2:$D$201,3,FALSE())</f>
        <v/>
      </c>
      <c r="E765" s="2">
        <f>C765*D765</f>
        <v/>
      </c>
      <c r="F765" s="2">
        <f>C765*INDEX(Products!$D$2:$D$201,MATCH(B765,Products!$A$2:$A$201,0))</f>
        <v/>
      </c>
      <c r="G765" s="2">
        <f>E765-F765</f>
        <v/>
      </c>
    </row>
    <row r="766" ht="15" customHeight="1" s="1">
      <c r="A766" s="2" t="n">
        <v>50764</v>
      </c>
      <c r="B766" s="2" t="inlineStr">
        <is>
          <t>SKU-0084</t>
        </is>
      </c>
      <c r="C766" s="2" t="n">
        <v>11</v>
      </c>
      <c r="D766" s="2">
        <f>VLOOKUP(B766,Products!$A$2:$D$201,3,FALSE())</f>
        <v/>
      </c>
      <c r="E766" s="2">
        <f>C766*D766</f>
        <v/>
      </c>
      <c r="F766" s="2">
        <f>C766*INDEX(Products!$D$2:$D$201,MATCH(B766,Products!$A$2:$A$201,0))</f>
        <v/>
      </c>
      <c r="G766" s="2">
        <f>E766-F766</f>
        <v/>
      </c>
    </row>
    <row r="767" ht="15" customHeight="1" s="1">
      <c r="A767" s="2" t="n">
        <v>50765</v>
      </c>
      <c r="B767" s="2" t="inlineStr">
        <is>
          <t>SKU-0056</t>
        </is>
      </c>
      <c r="C767" s="2" t="n">
        <v>12</v>
      </c>
      <c r="D767" s="2">
        <f>VLOOKUP(B767,Products!$A$2:$D$201,3,FALSE())</f>
        <v/>
      </c>
      <c r="E767" s="2">
        <f>C767*D767</f>
        <v/>
      </c>
      <c r="F767" s="2">
        <f>C767*INDEX(Products!$D$2:$D$201,MATCH(B767,Products!$A$2:$A$201,0))</f>
        <v/>
      </c>
      <c r="G767" s="2">
        <f>E767-F767</f>
        <v/>
      </c>
    </row>
    <row r="768" ht="15" customHeight="1" s="1">
      <c r="A768" s="2" t="n">
        <v>50766</v>
      </c>
      <c r="B768" s="2" t="inlineStr">
        <is>
          <t>SKU-0116</t>
        </is>
      </c>
      <c r="C768" s="2" t="n">
        <v>1</v>
      </c>
      <c r="D768" s="2">
        <f>VLOOKUP(B768,Products!$A$2:$D$201,3,FALSE())</f>
        <v/>
      </c>
      <c r="E768" s="2">
        <f>C768*D768</f>
        <v/>
      </c>
      <c r="F768" s="2">
        <f>C768*INDEX(Products!$D$2:$D$201,MATCH(B768,Products!$A$2:$A$201,0))</f>
        <v/>
      </c>
      <c r="G768" s="2">
        <f>E768-F768</f>
        <v/>
      </c>
    </row>
    <row r="769" ht="15" customHeight="1" s="1">
      <c r="A769" s="2" t="n">
        <v>50767</v>
      </c>
      <c r="B769" s="2" t="inlineStr">
        <is>
          <t>SKU-0008</t>
        </is>
      </c>
      <c r="C769" s="2" t="n">
        <v>4</v>
      </c>
      <c r="D769" s="2">
        <f>VLOOKUP(B769,Products!$A$2:$D$201,3,FALSE())</f>
        <v/>
      </c>
      <c r="E769" s="2">
        <f>C769*D769</f>
        <v/>
      </c>
      <c r="F769" s="2">
        <f>C769*INDEX(Products!$D$2:$D$201,MATCH(B769,Products!$A$2:$A$201,0))</f>
        <v/>
      </c>
      <c r="G769" s="2">
        <f>E769-F769</f>
        <v/>
      </c>
    </row>
    <row r="770" ht="15" customHeight="1" s="1">
      <c r="A770" s="2" t="n">
        <v>50768</v>
      </c>
      <c r="B770" s="2" t="inlineStr">
        <is>
          <t>SKU-0194</t>
        </is>
      </c>
      <c r="C770" s="2" t="n">
        <v>7</v>
      </c>
      <c r="D770" s="2">
        <f>VLOOKUP(B770,Products!$A$2:$D$201,3,FALSE())</f>
        <v/>
      </c>
      <c r="E770" s="2">
        <f>C770*D770</f>
        <v/>
      </c>
      <c r="F770" s="2">
        <f>C770*INDEX(Products!$D$2:$D$201,MATCH(B770,Products!$A$2:$A$201,0))</f>
        <v/>
      </c>
      <c r="G770" s="2">
        <f>E770-F770</f>
        <v/>
      </c>
    </row>
    <row r="771" ht="15" customHeight="1" s="1">
      <c r="A771" s="2" t="n">
        <v>50769</v>
      </c>
      <c r="B771" s="2" t="inlineStr">
        <is>
          <t>SKU-0027</t>
        </is>
      </c>
      <c r="C771" s="2" t="n">
        <v>10</v>
      </c>
      <c r="D771" s="2">
        <f>VLOOKUP(B771,Products!$A$2:$D$201,3,FALSE())</f>
        <v/>
      </c>
      <c r="E771" s="2">
        <f>C771*D771</f>
        <v/>
      </c>
      <c r="F771" s="2">
        <f>C771*INDEX(Products!$D$2:$D$201,MATCH(B771,Products!$A$2:$A$201,0))</f>
        <v/>
      </c>
      <c r="G771" s="2">
        <f>E771-F771</f>
        <v/>
      </c>
    </row>
    <row r="772" ht="15" customHeight="1" s="1">
      <c r="A772" s="2" t="n">
        <v>50770</v>
      </c>
      <c r="B772" s="2" t="inlineStr">
        <is>
          <t>SKU-0030</t>
        </is>
      </c>
      <c r="C772" s="2" t="n">
        <v>8</v>
      </c>
      <c r="D772" s="2">
        <f>VLOOKUP(B772,Products!$A$2:$D$201,3,FALSE())</f>
        <v/>
      </c>
      <c r="E772" s="2">
        <f>C772*D772</f>
        <v/>
      </c>
      <c r="F772" s="2">
        <f>C772*INDEX(Products!$D$2:$D$201,MATCH(B772,Products!$A$2:$A$201,0))</f>
        <v/>
      </c>
      <c r="G772" s="2">
        <f>E772-F772</f>
        <v/>
      </c>
    </row>
    <row r="773" ht="15" customHeight="1" s="1">
      <c r="A773" s="2" t="n">
        <v>50771</v>
      </c>
      <c r="B773" s="2" t="inlineStr">
        <is>
          <t>SKU-0016</t>
        </is>
      </c>
      <c r="C773" s="2" t="n">
        <v>4</v>
      </c>
      <c r="D773" s="2">
        <f>VLOOKUP(B773,Products!$A$2:$D$201,3,FALSE())</f>
        <v/>
      </c>
      <c r="E773" s="2">
        <f>C773*D773</f>
        <v/>
      </c>
      <c r="F773" s="2">
        <f>C773*INDEX(Products!$D$2:$D$201,MATCH(B773,Products!$A$2:$A$201,0))</f>
        <v/>
      </c>
      <c r="G773" s="2">
        <f>E773-F773</f>
        <v/>
      </c>
    </row>
    <row r="774" ht="15" customHeight="1" s="1">
      <c r="A774" s="2" t="n">
        <v>50772</v>
      </c>
      <c r="B774" s="2" t="inlineStr">
        <is>
          <t>SKU-0197</t>
        </is>
      </c>
      <c r="C774" s="2" t="n">
        <v>19</v>
      </c>
      <c r="D774" s="2">
        <f>VLOOKUP(B774,Products!$A$2:$D$201,3,FALSE())</f>
        <v/>
      </c>
      <c r="E774" s="2">
        <f>C774*D774</f>
        <v/>
      </c>
      <c r="F774" s="2">
        <f>C774*INDEX(Products!$D$2:$D$201,MATCH(B774,Products!$A$2:$A$201,0))</f>
        <v/>
      </c>
      <c r="G774" s="2">
        <f>E774-F774</f>
        <v/>
      </c>
    </row>
    <row r="775" ht="15" customHeight="1" s="1">
      <c r="A775" s="2" t="n">
        <v>50773</v>
      </c>
      <c r="B775" s="2" t="inlineStr">
        <is>
          <t>SKU-0089</t>
        </is>
      </c>
      <c r="C775" s="2" t="n">
        <v>11</v>
      </c>
      <c r="D775" s="2">
        <f>VLOOKUP(B775,Products!$A$2:$D$201,3,FALSE())</f>
        <v/>
      </c>
      <c r="E775" s="2">
        <f>C775*D775</f>
        <v/>
      </c>
      <c r="F775" s="2">
        <f>C775*INDEX(Products!$D$2:$D$201,MATCH(B775,Products!$A$2:$A$201,0))</f>
        <v/>
      </c>
      <c r="G775" s="2">
        <f>E775-F775</f>
        <v/>
      </c>
    </row>
    <row r="776" ht="15" customHeight="1" s="1">
      <c r="A776" s="2" t="n">
        <v>50774</v>
      </c>
      <c r="B776" s="2" t="inlineStr">
        <is>
          <t>SKU-0065</t>
        </is>
      </c>
      <c r="C776" s="2" t="n">
        <v>14</v>
      </c>
      <c r="D776" s="2">
        <f>VLOOKUP(B776,Products!$A$2:$D$201,3,FALSE())</f>
        <v/>
      </c>
      <c r="E776" s="2">
        <f>C776*D776</f>
        <v/>
      </c>
      <c r="F776" s="2">
        <f>C776*INDEX(Products!$D$2:$D$201,MATCH(B776,Products!$A$2:$A$201,0))</f>
        <v/>
      </c>
      <c r="G776" s="2">
        <f>E776-F776</f>
        <v/>
      </c>
    </row>
    <row r="777" ht="15" customHeight="1" s="1">
      <c r="A777" s="2" t="n">
        <v>50775</v>
      </c>
      <c r="B777" s="2" t="inlineStr">
        <is>
          <t>SKU-0043</t>
        </is>
      </c>
      <c r="C777" s="2" t="n">
        <v>9</v>
      </c>
      <c r="D777" s="2">
        <f>VLOOKUP(B777,Products!$A$2:$D$201,3,FALSE())</f>
        <v/>
      </c>
      <c r="E777" s="2">
        <f>C777*D777</f>
        <v/>
      </c>
      <c r="F777" s="2">
        <f>C777*INDEX(Products!$D$2:$D$201,MATCH(B777,Products!$A$2:$A$201,0))</f>
        <v/>
      </c>
      <c r="G777" s="2">
        <f>E777-F777</f>
        <v/>
      </c>
    </row>
    <row r="778" ht="15" customHeight="1" s="1">
      <c r="A778" s="2" t="n">
        <v>50776</v>
      </c>
      <c r="B778" s="2" t="inlineStr">
        <is>
          <t>SKU-0078</t>
        </is>
      </c>
      <c r="C778" s="2" t="n">
        <v>3</v>
      </c>
      <c r="D778" s="2">
        <f>VLOOKUP(B778,Products!$A$2:$D$201,3,FALSE())</f>
        <v/>
      </c>
      <c r="E778" s="2">
        <f>C778*D778</f>
        <v/>
      </c>
      <c r="F778" s="2">
        <f>C778*INDEX(Products!$D$2:$D$201,MATCH(B778,Products!$A$2:$A$201,0))</f>
        <v/>
      </c>
      <c r="G778" s="2">
        <f>E778-F778</f>
        <v/>
      </c>
    </row>
    <row r="779" ht="15" customHeight="1" s="1">
      <c r="A779" s="2" t="n">
        <v>50777</v>
      </c>
      <c r="B779" s="2" t="inlineStr">
        <is>
          <t>SKU-0100</t>
        </is>
      </c>
      <c r="C779" s="2" t="n">
        <v>6</v>
      </c>
      <c r="D779" s="2">
        <f>VLOOKUP(B779,Products!$A$2:$D$201,3,FALSE())</f>
        <v/>
      </c>
      <c r="E779" s="2">
        <f>C779*D779</f>
        <v/>
      </c>
      <c r="F779" s="2">
        <f>C779*INDEX(Products!$D$2:$D$201,MATCH(B779,Products!$A$2:$A$201,0))</f>
        <v/>
      </c>
      <c r="G779" s="2">
        <f>E779-F779</f>
        <v/>
      </c>
    </row>
    <row r="780" ht="15" customHeight="1" s="1">
      <c r="A780" s="2" t="n">
        <v>50778</v>
      </c>
      <c r="B780" s="2" t="inlineStr">
        <is>
          <t>SKU-0061</t>
        </is>
      </c>
      <c r="C780" s="2" t="n">
        <v>16</v>
      </c>
      <c r="D780" s="2">
        <f>VLOOKUP(B780,Products!$A$2:$D$201,3,FALSE())</f>
        <v/>
      </c>
      <c r="E780" s="2">
        <f>C780*D780</f>
        <v/>
      </c>
      <c r="F780" s="2">
        <f>C780*INDEX(Products!$D$2:$D$201,MATCH(B780,Products!$A$2:$A$201,0))</f>
        <v/>
      </c>
      <c r="G780" s="2">
        <f>E780-F780</f>
        <v/>
      </c>
    </row>
    <row r="781" ht="15" customHeight="1" s="1">
      <c r="A781" s="2" t="n">
        <v>50779</v>
      </c>
      <c r="B781" s="2" t="inlineStr">
        <is>
          <t>SKU-0002</t>
        </is>
      </c>
      <c r="C781" s="2" t="n">
        <v>10</v>
      </c>
      <c r="D781" s="2">
        <f>VLOOKUP(B781,Products!$A$2:$D$201,3,FALSE())</f>
        <v/>
      </c>
      <c r="E781" s="2">
        <f>C781*D781</f>
        <v/>
      </c>
      <c r="F781" s="2">
        <f>C781*INDEX(Products!$D$2:$D$201,MATCH(B781,Products!$A$2:$A$201,0))</f>
        <v/>
      </c>
      <c r="G781" s="2">
        <f>E781-F781</f>
        <v/>
      </c>
    </row>
    <row r="782" ht="15" customHeight="1" s="1">
      <c r="A782" s="2" t="n">
        <v>50780</v>
      </c>
      <c r="B782" s="2" t="inlineStr">
        <is>
          <t>SKU-0120</t>
        </is>
      </c>
      <c r="C782" s="2" t="n">
        <v>8</v>
      </c>
      <c r="D782" s="2">
        <f>VLOOKUP(B782,Products!$A$2:$D$201,3,FALSE())</f>
        <v/>
      </c>
      <c r="E782" s="2">
        <f>C782*D782</f>
        <v/>
      </c>
      <c r="F782" s="2">
        <f>C782*INDEX(Products!$D$2:$D$201,MATCH(B782,Products!$A$2:$A$201,0))</f>
        <v/>
      </c>
      <c r="G782" s="2">
        <f>E782-F782</f>
        <v/>
      </c>
    </row>
    <row r="783" ht="15" customHeight="1" s="1">
      <c r="A783" s="2" t="n">
        <v>50781</v>
      </c>
      <c r="B783" s="2" t="inlineStr">
        <is>
          <t>SKU-0014</t>
        </is>
      </c>
      <c r="C783" s="2" t="n">
        <v>18</v>
      </c>
      <c r="D783" s="2">
        <f>VLOOKUP(B783,Products!$A$2:$D$201,3,FALSE())</f>
        <v/>
      </c>
      <c r="E783" s="2">
        <f>C783*D783</f>
        <v/>
      </c>
      <c r="F783" s="2">
        <f>C783*INDEX(Products!$D$2:$D$201,MATCH(B783,Products!$A$2:$A$201,0))</f>
        <v/>
      </c>
      <c r="G783" s="2">
        <f>E783-F783</f>
        <v/>
      </c>
    </row>
    <row r="784" ht="15" customHeight="1" s="1">
      <c r="A784" s="2" t="n">
        <v>50782</v>
      </c>
      <c r="B784" s="2" t="inlineStr">
        <is>
          <t>SKU-0055</t>
        </is>
      </c>
      <c r="C784" s="2" t="n">
        <v>13</v>
      </c>
      <c r="D784" s="2">
        <f>VLOOKUP(B784,Products!$A$2:$D$201,3,FALSE())</f>
        <v/>
      </c>
      <c r="E784" s="2">
        <f>C784*D784</f>
        <v/>
      </c>
      <c r="F784" s="2">
        <f>C784*INDEX(Products!$D$2:$D$201,MATCH(B784,Products!$A$2:$A$201,0))</f>
        <v/>
      </c>
      <c r="G784" s="2">
        <f>E784-F784</f>
        <v/>
      </c>
    </row>
    <row r="785" ht="15" customHeight="1" s="1">
      <c r="A785" s="2" t="n">
        <v>50783</v>
      </c>
      <c r="B785" s="2" t="inlineStr">
        <is>
          <t>SKU-0170</t>
        </is>
      </c>
      <c r="C785" s="2" t="n">
        <v>19</v>
      </c>
      <c r="D785" s="2">
        <f>VLOOKUP(B785,Products!$A$2:$D$201,3,FALSE())</f>
        <v/>
      </c>
      <c r="E785" s="2">
        <f>C785*D785</f>
        <v/>
      </c>
      <c r="F785" s="2">
        <f>C785*INDEX(Products!$D$2:$D$201,MATCH(B785,Products!$A$2:$A$201,0))</f>
        <v/>
      </c>
      <c r="G785" s="2">
        <f>E785-F785</f>
        <v/>
      </c>
    </row>
    <row r="786" ht="15" customHeight="1" s="1">
      <c r="A786" s="2" t="n">
        <v>50784</v>
      </c>
      <c r="B786" s="2" t="inlineStr">
        <is>
          <t>SKU-0024</t>
        </is>
      </c>
      <c r="C786" s="2" t="n">
        <v>10</v>
      </c>
      <c r="D786" s="2">
        <f>VLOOKUP(B786,Products!$A$2:$D$201,3,FALSE())</f>
        <v/>
      </c>
      <c r="E786" s="2">
        <f>C786*D786</f>
        <v/>
      </c>
      <c r="F786" s="2">
        <f>C786*INDEX(Products!$D$2:$D$201,MATCH(B786,Products!$A$2:$A$201,0))</f>
        <v/>
      </c>
      <c r="G786" s="2">
        <f>E786-F786</f>
        <v/>
      </c>
    </row>
    <row r="787" ht="15" customHeight="1" s="1">
      <c r="A787" s="2" t="n">
        <v>50785</v>
      </c>
      <c r="B787" s="2" t="inlineStr">
        <is>
          <t>SKU-0124</t>
        </is>
      </c>
      <c r="C787" s="2" t="n">
        <v>2</v>
      </c>
      <c r="D787" s="2">
        <f>VLOOKUP(B787,Products!$A$2:$D$201,3,FALSE())</f>
        <v/>
      </c>
      <c r="E787" s="2">
        <f>C787*D787</f>
        <v/>
      </c>
      <c r="F787" s="2">
        <f>C787*INDEX(Products!$D$2:$D$201,MATCH(B787,Products!$A$2:$A$201,0))</f>
        <v/>
      </c>
      <c r="G787" s="2">
        <f>E787-F787</f>
        <v/>
      </c>
    </row>
    <row r="788" ht="15" customHeight="1" s="1">
      <c r="A788" s="2" t="n">
        <v>50786</v>
      </c>
      <c r="B788" s="2" t="inlineStr">
        <is>
          <t>SKU-0176</t>
        </is>
      </c>
      <c r="C788" s="2" t="n">
        <v>9</v>
      </c>
      <c r="D788" s="2">
        <f>VLOOKUP(B788,Products!$A$2:$D$201,3,FALSE())</f>
        <v/>
      </c>
      <c r="E788" s="2">
        <f>C788*D788</f>
        <v/>
      </c>
      <c r="F788" s="2">
        <f>C788*INDEX(Products!$D$2:$D$201,MATCH(B788,Products!$A$2:$A$201,0))</f>
        <v/>
      </c>
      <c r="G788" s="2">
        <f>E788-F788</f>
        <v/>
      </c>
    </row>
    <row r="789" ht="15" customHeight="1" s="1">
      <c r="A789" s="2" t="n">
        <v>50787</v>
      </c>
      <c r="B789" s="2" t="inlineStr">
        <is>
          <t>SKU-0000</t>
        </is>
      </c>
      <c r="C789" s="2" t="n">
        <v>15</v>
      </c>
      <c r="D789" s="2">
        <f>VLOOKUP(B789,Products!$A$2:$D$201,3,FALSE())</f>
        <v/>
      </c>
      <c r="E789" s="2">
        <f>C789*D789</f>
        <v/>
      </c>
      <c r="F789" s="2">
        <f>C789*INDEX(Products!$D$2:$D$201,MATCH(B789,Products!$A$2:$A$201,0))</f>
        <v/>
      </c>
      <c r="G789" s="2">
        <f>E789-F789</f>
        <v/>
      </c>
    </row>
    <row r="790" ht="15" customHeight="1" s="1">
      <c r="A790" s="2" t="n">
        <v>50788</v>
      </c>
      <c r="B790" s="2" t="inlineStr">
        <is>
          <t>SKU-0037</t>
        </is>
      </c>
      <c r="C790" s="2" t="n">
        <v>4</v>
      </c>
      <c r="D790" s="2">
        <f>VLOOKUP(B790,Products!$A$2:$D$201,3,FALSE())</f>
        <v/>
      </c>
      <c r="E790" s="2">
        <f>C790*D790</f>
        <v/>
      </c>
      <c r="F790" s="2">
        <f>C790*INDEX(Products!$D$2:$D$201,MATCH(B790,Products!$A$2:$A$201,0))</f>
        <v/>
      </c>
      <c r="G790" s="2">
        <f>E790-F790</f>
        <v/>
      </c>
    </row>
    <row r="791" ht="15" customHeight="1" s="1">
      <c r="A791" s="2" t="n">
        <v>50789</v>
      </c>
      <c r="B791" s="2" t="inlineStr">
        <is>
          <t>SKU-0189</t>
        </is>
      </c>
      <c r="C791" s="2" t="n">
        <v>3</v>
      </c>
      <c r="D791" s="2">
        <f>VLOOKUP(B791,Products!$A$2:$D$201,3,FALSE())</f>
        <v/>
      </c>
      <c r="E791" s="2">
        <f>C791*D791</f>
        <v/>
      </c>
      <c r="F791" s="2">
        <f>C791*INDEX(Products!$D$2:$D$201,MATCH(B791,Products!$A$2:$A$201,0))</f>
        <v/>
      </c>
      <c r="G791" s="2">
        <f>E791-F791</f>
        <v/>
      </c>
    </row>
    <row r="792" ht="15" customHeight="1" s="1">
      <c r="A792" s="2" t="n">
        <v>50790</v>
      </c>
      <c r="B792" s="2" t="inlineStr">
        <is>
          <t>SKU-0063</t>
        </is>
      </c>
      <c r="C792" s="2" t="n">
        <v>11</v>
      </c>
      <c r="D792" s="2">
        <f>VLOOKUP(B792,Products!$A$2:$D$201,3,FALSE())</f>
        <v/>
      </c>
      <c r="E792" s="2">
        <f>C792*D792</f>
        <v/>
      </c>
      <c r="F792" s="2">
        <f>C792*INDEX(Products!$D$2:$D$201,MATCH(B792,Products!$A$2:$A$201,0))</f>
        <v/>
      </c>
      <c r="G792" s="2">
        <f>E792-F792</f>
        <v/>
      </c>
    </row>
    <row r="793" ht="15" customHeight="1" s="1">
      <c r="A793" s="2" t="n">
        <v>50791</v>
      </c>
      <c r="B793" s="2" t="inlineStr">
        <is>
          <t>SKU-0094</t>
        </is>
      </c>
      <c r="C793" s="2" t="n">
        <v>8</v>
      </c>
      <c r="D793" s="2">
        <f>VLOOKUP(B793,Products!$A$2:$D$201,3,FALSE())</f>
        <v/>
      </c>
      <c r="E793" s="2">
        <f>C793*D793</f>
        <v/>
      </c>
      <c r="F793" s="2">
        <f>C793*INDEX(Products!$D$2:$D$201,MATCH(B793,Products!$A$2:$A$201,0))</f>
        <v/>
      </c>
      <c r="G793" s="2">
        <f>E793-F793</f>
        <v/>
      </c>
    </row>
    <row r="794" ht="15" customHeight="1" s="1">
      <c r="A794" s="2" t="n">
        <v>50792</v>
      </c>
      <c r="B794" s="2" t="inlineStr">
        <is>
          <t>SKU-0157</t>
        </is>
      </c>
      <c r="C794" s="2" t="n">
        <v>16</v>
      </c>
      <c r="D794" s="2">
        <f>VLOOKUP(B794,Products!$A$2:$D$201,3,FALSE())</f>
        <v/>
      </c>
      <c r="E794" s="2">
        <f>C794*D794</f>
        <v/>
      </c>
      <c r="F794" s="2">
        <f>C794*INDEX(Products!$D$2:$D$201,MATCH(B794,Products!$A$2:$A$201,0))</f>
        <v/>
      </c>
      <c r="G794" s="2">
        <f>E794-F794</f>
        <v/>
      </c>
    </row>
    <row r="795" ht="15" customHeight="1" s="1">
      <c r="A795" s="2" t="n">
        <v>50793</v>
      </c>
      <c r="B795" s="2" t="inlineStr">
        <is>
          <t>SKU-0001</t>
        </is>
      </c>
      <c r="C795" s="2" t="n">
        <v>1</v>
      </c>
      <c r="D795" s="2">
        <f>VLOOKUP(B795,Products!$A$2:$D$201,3,FALSE())</f>
        <v/>
      </c>
      <c r="E795" s="2">
        <f>C795*D795</f>
        <v/>
      </c>
      <c r="F795" s="2">
        <f>C795*INDEX(Products!$D$2:$D$201,MATCH(B795,Products!$A$2:$A$201,0))</f>
        <v/>
      </c>
      <c r="G795" s="2">
        <f>E795-F795</f>
        <v/>
      </c>
    </row>
    <row r="796" ht="15" customHeight="1" s="1">
      <c r="A796" s="2" t="n">
        <v>50794</v>
      </c>
      <c r="B796" s="2" t="inlineStr">
        <is>
          <t>SKU-0151</t>
        </is>
      </c>
      <c r="C796" s="2" t="n">
        <v>11</v>
      </c>
      <c r="D796" s="2">
        <f>VLOOKUP(B796,Products!$A$2:$D$201,3,FALSE())</f>
        <v/>
      </c>
      <c r="E796" s="2">
        <f>C796*D796</f>
        <v/>
      </c>
      <c r="F796" s="2">
        <f>C796*INDEX(Products!$D$2:$D$201,MATCH(B796,Products!$A$2:$A$201,0))</f>
        <v/>
      </c>
      <c r="G796" s="2">
        <f>E796-F796</f>
        <v/>
      </c>
    </row>
    <row r="797" ht="15" customHeight="1" s="1">
      <c r="A797" s="2" t="n">
        <v>50795</v>
      </c>
      <c r="B797" s="2" t="inlineStr">
        <is>
          <t>SKU-0133</t>
        </is>
      </c>
      <c r="C797" s="2" t="n">
        <v>13</v>
      </c>
      <c r="D797" s="2">
        <f>VLOOKUP(B797,Products!$A$2:$D$201,3,FALSE())</f>
        <v/>
      </c>
      <c r="E797" s="2">
        <f>C797*D797</f>
        <v/>
      </c>
      <c r="F797" s="2">
        <f>C797*INDEX(Products!$D$2:$D$201,MATCH(B797,Products!$A$2:$A$201,0))</f>
        <v/>
      </c>
      <c r="G797" s="2">
        <f>E797-F797</f>
        <v/>
      </c>
    </row>
    <row r="798" ht="15" customHeight="1" s="1">
      <c r="A798" s="2" t="n">
        <v>50796</v>
      </c>
      <c r="B798" s="2" t="inlineStr">
        <is>
          <t>SKU-0090</t>
        </is>
      </c>
      <c r="C798" s="2" t="n">
        <v>11</v>
      </c>
      <c r="D798" s="2">
        <f>VLOOKUP(B798,Products!$A$2:$D$201,3,FALSE())</f>
        <v/>
      </c>
      <c r="E798" s="2">
        <f>C798*D798</f>
        <v/>
      </c>
      <c r="F798" s="2">
        <f>C798*INDEX(Products!$D$2:$D$201,MATCH(B798,Products!$A$2:$A$201,0))</f>
        <v/>
      </c>
      <c r="G798" s="2">
        <f>E798-F798</f>
        <v/>
      </c>
    </row>
    <row r="799" ht="15" customHeight="1" s="1">
      <c r="A799" s="2" t="n">
        <v>50797</v>
      </c>
      <c r="B799" s="2" t="inlineStr">
        <is>
          <t>SKU-0068</t>
        </is>
      </c>
      <c r="C799" s="2" t="n">
        <v>7</v>
      </c>
      <c r="D799" s="2">
        <f>VLOOKUP(B799,Products!$A$2:$D$201,3,FALSE())</f>
        <v/>
      </c>
      <c r="E799" s="2">
        <f>C799*D799</f>
        <v/>
      </c>
      <c r="F799" s="2">
        <f>C799*INDEX(Products!$D$2:$D$201,MATCH(B799,Products!$A$2:$A$201,0))</f>
        <v/>
      </c>
      <c r="G799" s="2">
        <f>E799-F799</f>
        <v/>
      </c>
    </row>
    <row r="800" ht="15" customHeight="1" s="1">
      <c r="A800" s="2" t="n">
        <v>50798</v>
      </c>
      <c r="B800" s="2" t="inlineStr">
        <is>
          <t>SKU-0149</t>
        </is>
      </c>
      <c r="C800" s="2" t="n">
        <v>10</v>
      </c>
      <c r="D800" s="2">
        <f>VLOOKUP(B800,Products!$A$2:$D$201,3,FALSE())</f>
        <v/>
      </c>
      <c r="E800" s="2">
        <f>C800*D800</f>
        <v/>
      </c>
      <c r="F800" s="2">
        <f>C800*INDEX(Products!$D$2:$D$201,MATCH(B800,Products!$A$2:$A$201,0))</f>
        <v/>
      </c>
      <c r="G800" s="2">
        <f>E800-F800</f>
        <v/>
      </c>
    </row>
    <row r="801" ht="15" customHeight="1" s="1">
      <c r="A801" s="2" t="n">
        <v>50799</v>
      </c>
      <c r="B801" s="2" t="inlineStr">
        <is>
          <t>SKU-0115</t>
        </is>
      </c>
      <c r="C801" s="2" t="n">
        <v>5</v>
      </c>
      <c r="D801" s="2">
        <f>VLOOKUP(B801,Products!$A$2:$D$201,3,FALSE())</f>
        <v/>
      </c>
      <c r="E801" s="2">
        <f>C801*D801</f>
        <v/>
      </c>
      <c r="F801" s="2">
        <f>C801*INDEX(Products!$D$2:$D$201,MATCH(B801,Products!$A$2:$A$201,0))</f>
        <v/>
      </c>
      <c r="G801" s="2">
        <f>E801-F801</f>
        <v/>
      </c>
    </row>
    <row r="802" ht="15" customHeight="1" s="1">
      <c r="A802" s="2" t="n">
        <v>50800</v>
      </c>
      <c r="B802" s="2" t="inlineStr">
        <is>
          <t>SKU-0175</t>
        </is>
      </c>
      <c r="C802" s="2" t="n">
        <v>1</v>
      </c>
      <c r="D802" s="2">
        <f>VLOOKUP(B802,Products!$A$2:$D$201,3,FALSE())</f>
        <v/>
      </c>
      <c r="E802" s="2">
        <f>C802*D802</f>
        <v/>
      </c>
      <c r="F802" s="2">
        <f>C802*INDEX(Products!$D$2:$D$201,MATCH(B802,Products!$A$2:$A$201,0))</f>
        <v/>
      </c>
      <c r="G802" s="2">
        <f>E802-F802</f>
        <v/>
      </c>
    </row>
    <row r="803" ht="15" customHeight="1" s="1">
      <c r="A803" s="2" t="n">
        <v>50801</v>
      </c>
      <c r="B803" s="2" t="inlineStr">
        <is>
          <t>SKU-0151</t>
        </is>
      </c>
      <c r="C803" s="2" t="n">
        <v>19</v>
      </c>
      <c r="D803" s="2">
        <f>VLOOKUP(B803,Products!$A$2:$D$201,3,FALSE())</f>
        <v/>
      </c>
      <c r="E803" s="2">
        <f>C803*D803</f>
        <v/>
      </c>
      <c r="F803" s="2">
        <f>C803*INDEX(Products!$D$2:$D$201,MATCH(B803,Products!$A$2:$A$201,0))</f>
        <v/>
      </c>
      <c r="G803" s="2">
        <f>E803-F803</f>
        <v/>
      </c>
    </row>
    <row r="804" ht="15" customHeight="1" s="1">
      <c r="A804" s="2" t="n">
        <v>50802</v>
      </c>
      <c r="B804" s="2" t="inlineStr">
        <is>
          <t>SKU-0050</t>
        </is>
      </c>
      <c r="C804" s="2" t="n">
        <v>8</v>
      </c>
      <c r="D804" s="2">
        <f>VLOOKUP(B804,Products!$A$2:$D$201,3,FALSE())</f>
        <v/>
      </c>
      <c r="E804" s="2">
        <f>C804*D804</f>
        <v/>
      </c>
      <c r="F804" s="2">
        <f>C804*INDEX(Products!$D$2:$D$201,MATCH(B804,Products!$A$2:$A$201,0))</f>
        <v/>
      </c>
      <c r="G804" s="2">
        <f>E804-F804</f>
        <v/>
      </c>
    </row>
    <row r="805" ht="15" customHeight="1" s="1">
      <c r="A805" s="2" t="n">
        <v>50803</v>
      </c>
      <c r="B805" s="2" t="inlineStr">
        <is>
          <t>SKU-0001</t>
        </is>
      </c>
      <c r="C805" s="2" t="n">
        <v>19</v>
      </c>
      <c r="D805" s="2">
        <f>VLOOKUP(B805,Products!$A$2:$D$201,3,FALSE())</f>
        <v/>
      </c>
      <c r="E805" s="2">
        <f>C805*D805</f>
        <v/>
      </c>
      <c r="F805" s="2">
        <f>C805*INDEX(Products!$D$2:$D$201,MATCH(B805,Products!$A$2:$A$201,0))</f>
        <v/>
      </c>
      <c r="G805" s="2">
        <f>E805-F805</f>
        <v/>
      </c>
    </row>
    <row r="806" ht="15" customHeight="1" s="1">
      <c r="A806" s="2" t="n">
        <v>50804</v>
      </c>
      <c r="B806" s="2" t="inlineStr">
        <is>
          <t>SKU-0077</t>
        </is>
      </c>
      <c r="C806" s="2" t="n">
        <v>3</v>
      </c>
      <c r="D806" s="2">
        <f>VLOOKUP(B806,Products!$A$2:$D$201,3,FALSE())</f>
        <v/>
      </c>
      <c r="E806" s="2">
        <f>C806*D806</f>
        <v/>
      </c>
      <c r="F806" s="2">
        <f>C806*INDEX(Products!$D$2:$D$201,MATCH(B806,Products!$A$2:$A$201,0))</f>
        <v/>
      </c>
      <c r="G806" s="2">
        <f>E806-F806</f>
        <v/>
      </c>
    </row>
    <row r="807" ht="15" customHeight="1" s="1">
      <c r="A807" s="2" t="n">
        <v>50805</v>
      </c>
      <c r="B807" s="2" t="inlineStr">
        <is>
          <t>SKU-0058</t>
        </is>
      </c>
      <c r="C807" s="2" t="n">
        <v>8</v>
      </c>
      <c r="D807" s="2">
        <f>VLOOKUP(B807,Products!$A$2:$D$201,3,FALSE())</f>
        <v/>
      </c>
      <c r="E807" s="2">
        <f>C807*D807</f>
        <v/>
      </c>
      <c r="F807" s="2">
        <f>C807*INDEX(Products!$D$2:$D$201,MATCH(B807,Products!$A$2:$A$201,0))</f>
        <v/>
      </c>
      <c r="G807" s="2">
        <f>E807-F807</f>
        <v/>
      </c>
    </row>
    <row r="808" ht="15" customHeight="1" s="1">
      <c r="A808" s="2" t="n">
        <v>50806</v>
      </c>
      <c r="B808" s="2" t="inlineStr">
        <is>
          <t>SKU-0052</t>
        </is>
      </c>
      <c r="C808" s="2" t="n">
        <v>13</v>
      </c>
      <c r="D808" s="2">
        <f>VLOOKUP(B808,Products!$A$2:$D$201,3,FALSE())</f>
        <v/>
      </c>
      <c r="E808" s="2">
        <f>C808*D808</f>
        <v/>
      </c>
      <c r="F808" s="2">
        <f>C808*INDEX(Products!$D$2:$D$201,MATCH(B808,Products!$A$2:$A$201,0))</f>
        <v/>
      </c>
      <c r="G808" s="2">
        <f>E808-F808</f>
        <v/>
      </c>
    </row>
    <row r="809" ht="15" customHeight="1" s="1">
      <c r="A809" s="2" t="n">
        <v>50807</v>
      </c>
      <c r="B809" s="2" t="inlineStr">
        <is>
          <t>SKU-0170</t>
        </is>
      </c>
      <c r="C809" s="2" t="n">
        <v>19</v>
      </c>
      <c r="D809" s="2">
        <f>VLOOKUP(B809,Products!$A$2:$D$201,3,FALSE())</f>
        <v/>
      </c>
      <c r="E809" s="2">
        <f>C809*D809</f>
        <v/>
      </c>
      <c r="F809" s="2">
        <f>C809*INDEX(Products!$D$2:$D$201,MATCH(B809,Products!$A$2:$A$201,0))</f>
        <v/>
      </c>
      <c r="G809" s="2">
        <f>E809-F809</f>
        <v/>
      </c>
    </row>
    <row r="810" ht="15" customHeight="1" s="1">
      <c r="A810" s="2" t="n">
        <v>50808</v>
      </c>
      <c r="B810" s="2" t="inlineStr">
        <is>
          <t>SKU-0055</t>
        </is>
      </c>
      <c r="C810" s="2" t="n">
        <v>10</v>
      </c>
      <c r="D810" s="2">
        <f>VLOOKUP(B810,Products!$A$2:$D$201,3,FALSE())</f>
        <v/>
      </c>
      <c r="E810" s="2">
        <f>C810*D810</f>
        <v/>
      </c>
      <c r="F810" s="2">
        <f>C810*INDEX(Products!$D$2:$D$201,MATCH(B810,Products!$A$2:$A$201,0))</f>
        <v/>
      </c>
      <c r="G810" s="2">
        <f>E810-F810</f>
        <v/>
      </c>
    </row>
    <row r="811" ht="15" customHeight="1" s="1">
      <c r="A811" s="2" t="n">
        <v>50809</v>
      </c>
      <c r="B811" s="2" t="inlineStr">
        <is>
          <t>SKU-0187</t>
        </is>
      </c>
      <c r="C811" s="2" t="n">
        <v>5</v>
      </c>
      <c r="D811" s="2">
        <f>VLOOKUP(B811,Products!$A$2:$D$201,3,FALSE())</f>
        <v/>
      </c>
      <c r="E811" s="2">
        <f>C811*D811</f>
        <v/>
      </c>
      <c r="F811" s="2">
        <f>C811*INDEX(Products!$D$2:$D$201,MATCH(B811,Products!$A$2:$A$201,0))</f>
        <v/>
      </c>
      <c r="G811" s="2">
        <f>E811-F811</f>
        <v/>
      </c>
    </row>
    <row r="812" ht="15" customHeight="1" s="1">
      <c r="A812" s="2" t="n">
        <v>50810</v>
      </c>
      <c r="B812" s="2" t="inlineStr">
        <is>
          <t>SKU-0052</t>
        </is>
      </c>
      <c r="C812" s="2" t="n">
        <v>6</v>
      </c>
      <c r="D812" s="2">
        <f>VLOOKUP(B812,Products!$A$2:$D$201,3,FALSE())</f>
        <v/>
      </c>
      <c r="E812" s="2">
        <f>C812*D812</f>
        <v/>
      </c>
      <c r="F812" s="2">
        <f>C812*INDEX(Products!$D$2:$D$201,MATCH(B812,Products!$A$2:$A$201,0))</f>
        <v/>
      </c>
      <c r="G812" s="2">
        <f>E812-F812</f>
        <v/>
      </c>
    </row>
    <row r="813" ht="15" customHeight="1" s="1">
      <c r="A813" s="2" t="n">
        <v>50811</v>
      </c>
      <c r="B813" s="2" t="inlineStr">
        <is>
          <t>SKU-0030</t>
        </is>
      </c>
      <c r="C813" s="2" t="n">
        <v>20</v>
      </c>
      <c r="D813" s="2">
        <f>VLOOKUP(B813,Products!$A$2:$D$201,3,FALSE())</f>
        <v/>
      </c>
      <c r="E813" s="2">
        <f>C813*D813</f>
        <v/>
      </c>
      <c r="F813" s="2">
        <f>C813*INDEX(Products!$D$2:$D$201,MATCH(B813,Products!$A$2:$A$201,0))</f>
        <v/>
      </c>
      <c r="G813" s="2">
        <f>E813-F813</f>
        <v/>
      </c>
    </row>
    <row r="814" ht="15" customHeight="1" s="1">
      <c r="A814" s="2" t="n">
        <v>50812</v>
      </c>
      <c r="B814" s="2" t="inlineStr">
        <is>
          <t>SKU-0151</t>
        </is>
      </c>
      <c r="C814" s="2" t="n">
        <v>20</v>
      </c>
      <c r="D814" s="2">
        <f>VLOOKUP(B814,Products!$A$2:$D$201,3,FALSE())</f>
        <v/>
      </c>
      <c r="E814" s="2">
        <f>C814*D814</f>
        <v/>
      </c>
      <c r="F814" s="2">
        <f>C814*INDEX(Products!$D$2:$D$201,MATCH(B814,Products!$A$2:$A$201,0))</f>
        <v/>
      </c>
      <c r="G814" s="2">
        <f>E814-F814</f>
        <v/>
      </c>
    </row>
    <row r="815" ht="15" customHeight="1" s="1">
      <c r="A815" s="2" t="n">
        <v>50813</v>
      </c>
      <c r="B815" s="2" t="inlineStr">
        <is>
          <t>SKU-0180</t>
        </is>
      </c>
      <c r="C815" s="2" t="n">
        <v>20</v>
      </c>
      <c r="D815" s="2">
        <f>VLOOKUP(B815,Products!$A$2:$D$201,3,FALSE())</f>
        <v/>
      </c>
      <c r="E815" s="2">
        <f>C815*D815</f>
        <v/>
      </c>
      <c r="F815" s="2">
        <f>C815*INDEX(Products!$D$2:$D$201,MATCH(B815,Products!$A$2:$A$201,0))</f>
        <v/>
      </c>
      <c r="G815" s="2">
        <f>E815-F815</f>
        <v/>
      </c>
    </row>
    <row r="816" ht="15" customHeight="1" s="1">
      <c r="A816" s="2" t="n">
        <v>50814</v>
      </c>
      <c r="B816" s="2" t="inlineStr">
        <is>
          <t>SKU-0124</t>
        </is>
      </c>
      <c r="C816" s="2" t="n">
        <v>8</v>
      </c>
      <c r="D816" s="2">
        <f>VLOOKUP(B816,Products!$A$2:$D$201,3,FALSE())</f>
        <v/>
      </c>
      <c r="E816" s="2">
        <f>C816*D816</f>
        <v/>
      </c>
      <c r="F816" s="2">
        <f>C816*INDEX(Products!$D$2:$D$201,MATCH(B816,Products!$A$2:$A$201,0))</f>
        <v/>
      </c>
      <c r="G816" s="2">
        <f>E816-F816</f>
        <v/>
      </c>
    </row>
    <row r="817" ht="15" customHeight="1" s="1">
      <c r="A817" s="2" t="n">
        <v>50815</v>
      </c>
      <c r="B817" s="2" t="inlineStr">
        <is>
          <t>SKU-0112</t>
        </is>
      </c>
      <c r="C817" s="2" t="n">
        <v>10</v>
      </c>
      <c r="D817" s="2">
        <f>VLOOKUP(B817,Products!$A$2:$D$201,3,FALSE())</f>
        <v/>
      </c>
      <c r="E817" s="2">
        <f>C817*D817</f>
        <v/>
      </c>
      <c r="F817" s="2">
        <f>C817*INDEX(Products!$D$2:$D$201,MATCH(B817,Products!$A$2:$A$201,0))</f>
        <v/>
      </c>
      <c r="G817" s="2">
        <f>E817-F817</f>
        <v/>
      </c>
    </row>
    <row r="818" ht="15" customHeight="1" s="1">
      <c r="A818" s="2" t="n">
        <v>50816</v>
      </c>
      <c r="B818" s="2" t="inlineStr">
        <is>
          <t>SKU-0176</t>
        </is>
      </c>
      <c r="C818" s="2" t="n">
        <v>9</v>
      </c>
      <c r="D818" s="2">
        <f>VLOOKUP(B818,Products!$A$2:$D$201,3,FALSE())</f>
        <v/>
      </c>
      <c r="E818" s="2">
        <f>C818*D818</f>
        <v/>
      </c>
      <c r="F818" s="2">
        <f>C818*INDEX(Products!$D$2:$D$201,MATCH(B818,Products!$A$2:$A$201,0))</f>
        <v/>
      </c>
      <c r="G818" s="2">
        <f>E818-F818</f>
        <v/>
      </c>
    </row>
    <row r="819" ht="15" customHeight="1" s="1">
      <c r="A819" s="2" t="n">
        <v>50817</v>
      </c>
      <c r="B819" s="2" t="inlineStr">
        <is>
          <t>SKU-0020</t>
        </is>
      </c>
      <c r="C819" s="2" t="n">
        <v>20</v>
      </c>
      <c r="D819" s="2">
        <f>VLOOKUP(B819,Products!$A$2:$D$201,3,FALSE())</f>
        <v/>
      </c>
      <c r="E819" s="2">
        <f>C819*D819</f>
        <v/>
      </c>
      <c r="F819" s="2">
        <f>C819*INDEX(Products!$D$2:$D$201,MATCH(B819,Products!$A$2:$A$201,0))</f>
        <v/>
      </c>
      <c r="G819" s="2">
        <f>E819-F819</f>
        <v/>
      </c>
    </row>
    <row r="820" ht="15" customHeight="1" s="1">
      <c r="A820" s="2" t="n">
        <v>50818</v>
      </c>
      <c r="B820" s="2" t="inlineStr">
        <is>
          <t>SKU-0047</t>
        </is>
      </c>
      <c r="C820" s="2" t="n">
        <v>19</v>
      </c>
      <c r="D820" s="2">
        <f>VLOOKUP(B820,Products!$A$2:$D$201,3,FALSE())</f>
        <v/>
      </c>
      <c r="E820" s="2">
        <f>C820*D820</f>
        <v/>
      </c>
      <c r="F820" s="2">
        <f>C820*INDEX(Products!$D$2:$D$201,MATCH(B820,Products!$A$2:$A$201,0))</f>
        <v/>
      </c>
      <c r="G820" s="2">
        <f>E820-F820</f>
        <v/>
      </c>
    </row>
    <row r="821" ht="15" customHeight="1" s="1">
      <c r="A821" s="2" t="n">
        <v>50819</v>
      </c>
      <c r="B821" s="2" t="inlineStr">
        <is>
          <t>SKU-0119</t>
        </is>
      </c>
      <c r="C821" s="2" t="n">
        <v>18</v>
      </c>
      <c r="D821" s="2">
        <f>VLOOKUP(B821,Products!$A$2:$D$201,3,FALSE())</f>
        <v/>
      </c>
      <c r="E821" s="2">
        <f>C821*D821</f>
        <v/>
      </c>
      <c r="F821" s="2">
        <f>C821*INDEX(Products!$D$2:$D$201,MATCH(B821,Products!$A$2:$A$201,0))</f>
        <v/>
      </c>
      <c r="G821" s="2">
        <f>E821-F821</f>
        <v/>
      </c>
    </row>
    <row r="822" ht="15" customHeight="1" s="1">
      <c r="A822" s="2" t="n">
        <v>50820</v>
      </c>
      <c r="B822" s="2" t="inlineStr">
        <is>
          <t>SKU-0166</t>
        </is>
      </c>
      <c r="C822" s="2" t="n">
        <v>4</v>
      </c>
      <c r="D822" s="2">
        <f>VLOOKUP(B822,Products!$A$2:$D$201,3,FALSE())</f>
        <v/>
      </c>
      <c r="E822" s="2">
        <f>C822*D822</f>
        <v/>
      </c>
      <c r="F822" s="2">
        <f>C822*INDEX(Products!$D$2:$D$201,MATCH(B822,Products!$A$2:$A$201,0))</f>
        <v/>
      </c>
      <c r="G822" s="2">
        <f>E822-F822</f>
        <v/>
      </c>
    </row>
    <row r="823" ht="15" customHeight="1" s="1">
      <c r="A823" s="2" t="n">
        <v>50821</v>
      </c>
      <c r="B823" s="2" t="inlineStr">
        <is>
          <t>SKU-0173</t>
        </is>
      </c>
      <c r="C823" s="2" t="n">
        <v>12</v>
      </c>
      <c r="D823" s="2">
        <f>VLOOKUP(B823,Products!$A$2:$D$201,3,FALSE())</f>
        <v/>
      </c>
      <c r="E823" s="2">
        <f>C823*D823</f>
        <v/>
      </c>
      <c r="F823" s="2">
        <f>C823*INDEX(Products!$D$2:$D$201,MATCH(B823,Products!$A$2:$A$201,0))</f>
        <v/>
      </c>
      <c r="G823" s="2">
        <f>E823-F823</f>
        <v/>
      </c>
    </row>
    <row r="824" ht="15" customHeight="1" s="1">
      <c r="A824" s="2" t="n">
        <v>50822</v>
      </c>
      <c r="B824" s="2" t="inlineStr">
        <is>
          <t>SKU-0145</t>
        </is>
      </c>
      <c r="C824" s="2" t="n">
        <v>16</v>
      </c>
      <c r="D824" s="2">
        <f>VLOOKUP(B824,Products!$A$2:$D$201,3,FALSE())</f>
        <v/>
      </c>
      <c r="E824" s="2">
        <f>C824*D824</f>
        <v/>
      </c>
      <c r="F824" s="2">
        <f>C824*INDEX(Products!$D$2:$D$201,MATCH(B824,Products!$A$2:$A$201,0))</f>
        <v/>
      </c>
      <c r="G824" s="2">
        <f>E824-F824</f>
        <v/>
      </c>
    </row>
    <row r="825" ht="15" customHeight="1" s="1">
      <c r="A825" s="2" t="n">
        <v>50823</v>
      </c>
      <c r="B825" s="2" t="inlineStr">
        <is>
          <t>SKU-0133</t>
        </is>
      </c>
      <c r="C825" s="2" t="n">
        <v>1</v>
      </c>
      <c r="D825" s="2">
        <f>VLOOKUP(B825,Products!$A$2:$D$201,3,FALSE())</f>
        <v/>
      </c>
      <c r="E825" s="2">
        <f>C825*D825</f>
        <v/>
      </c>
      <c r="F825" s="2">
        <f>C825*INDEX(Products!$D$2:$D$201,MATCH(B825,Products!$A$2:$A$201,0))</f>
        <v/>
      </c>
      <c r="G825" s="2">
        <f>E825-F825</f>
        <v/>
      </c>
    </row>
    <row r="826" ht="15" customHeight="1" s="1">
      <c r="A826" s="2" t="n">
        <v>50824</v>
      </c>
      <c r="B826" s="2" t="inlineStr">
        <is>
          <t>SKU-0077</t>
        </is>
      </c>
      <c r="C826" s="2" t="n">
        <v>1</v>
      </c>
      <c r="D826" s="2">
        <f>VLOOKUP(B826,Products!$A$2:$D$201,3,FALSE())</f>
        <v/>
      </c>
      <c r="E826" s="2">
        <f>C826*D826</f>
        <v/>
      </c>
      <c r="F826" s="2">
        <f>C826*INDEX(Products!$D$2:$D$201,MATCH(B826,Products!$A$2:$A$201,0))</f>
        <v/>
      </c>
      <c r="G826" s="2">
        <f>E826-F826</f>
        <v/>
      </c>
    </row>
    <row r="827" ht="15" customHeight="1" s="1">
      <c r="A827" s="2" t="n">
        <v>50825</v>
      </c>
      <c r="B827" s="2" t="inlineStr">
        <is>
          <t>SKU-0143</t>
        </is>
      </c>
      <c r="C827" s="2" t="n">
        <v>6</v>
      </c>
      <c r="D827" s="2">
        <f>VLOOKUP(B827,Products!$A$2:$D$201,3,FALSE())</f>
        <v/>
      </c>
      <c r="E827" s="2">
        <f>C827*D827</f>
        <v/>
      </c>
      <c r="F827" s="2">
        <f>C827*INDEX(Products!$D$2:$D$201,MATCH(B827,Products!$A$2:$A$201,0))</f>
        <v/>
      </c>
      <c r="G827" s="2">
        <f>E827-F827</f>
        <v/>
      </c>
    </row>
    <row r="828" ht="15" customHeight="1" s="1">
      <c r="A828" s="2" t="n">
        <v>50826</v>
      </c>
      <c r="B828" s="2" t="inlineStr">
        <is>
          <t>SKU-0154</t>
        </is>
      </c>
      <c r="C828" s="2" t="n">
        <v>6</v>
      </c>
      <c r="D828" s="2">
        <f>VLOOKUP(B828,Products!$A$2:$D$201,3,FALSE())</f>
        <v/>
      </c>
      <c r="E828" s="2">
        <f>C828*D828</f>
        <v/>
      </c>
      <c r="F828" s="2">
        <f>C828*INDEX(Products!$D$2:$D$201,MATCH(B828,Products!$A$2:$A$201,0))</f>
        <v/>
      </c>
      <c r="G828" s="2">
        <f>E828-F828</f>
        <v/>
      </c>
    </row>
    <row r="829" ht="15" customHeight="1" s="1">
      <c r="A829" s="2" t="n">
        <v>50827</v>
      </c>
      <c r="B829" s="2" t="inlineStr">
        <is>
          <t>SKU-0167</t>
        </is>
      </c>
      <c r="C829" s="2" t="n">
        <v>10</v>
      </c>
      <c r="D829" s="2">
        <f>VLOOKUP(B829,Products!$A$2:$D$201,3,FALSE())</f>
        <v/>
      </c>
      <c r="E829" s="2">
        <f>C829*D829</f>
        <v/>
      </c>
      <c r="F829" s="2">
        <f>C829*INDEX(Products!$D$2:$D$201,MATCH(B829,Products!$A$2:$A$201,0))</f>
        <v/>
      </c>
      <c r="G829" s="2">
        <f>E829-F829</f>
        <v/>
      </c>
    </row>
    <row r="830" ht="15" customHeight="1" s="1">
      <c r="A830" s="2" t="n">
        <v>50828</v>
      </c>
      <c r="B830" s="2" t="inlineStr">
        <is>
          <t>SKU-0097</t>
        </is>
      </c>
      <c r="C830" s="2" t="n">
        <v>9</v>
      </c>
      <c r="D830" s="2">
        <f>VLOOKUP(B830,Products!$A$2:$D$201,3,FALSE())</f>
        <v/>
      </c>
      <c r="E830" s="2">
        <f>C830*D830</f>
        <v/>
      </c>
      <c r="F830" s="2">
        <f>C830*INDEX(Products!$D$2:$D$201,MATCH(B830,Products!$A$2:$A$201,0))</f>
        <v/>
      </c>
      <c r="G830" s="2">
        <f>E830-F830</f>
        <v/>
      </c>
    </row>
    <row r="831" ht="15" customHeight="1" s="1">
      <c r="A831" s="2" t="n">
        <v>50829</v>
      </c>
      <c r="B831" s="2" t="inlineStr">
        <is>
          <t>SKU-0120</t>
        </is>
      </c>
      <c r="C831" s="2" t="n">
        <v>20</v>
      </c>
      <c r="D831" s="2">
        <f>VLOOKUP(B831,Products!$A$2:$D$201,3,FALSE())</f>
        <v/>
      </c>
      <c r="E831" s="2">
        <f>C831*D831</f>
        <v/>
      </c>
      <c r="F831" s="2">
        <f>C831*INDEX(Products!$D$2:$D$201,MATCH(B831,Products!$A$2:$A$201,0))</f>
        <v/>
      </c>
      <c r="G831" s="2">
        <f>E831-F831</f>
        <v/>
      </c>
    </row>
    <row r="832" ht="15" customHeight="1" s="1">
      <c r="A832" s="2" t="n">
        <v>50830</v>
      </c>
      <c r="B832" s="2" t="inlineStr">
        <is>
          <t>SKU-0155</t>
        </is>
      </c>
      <c r="C832" s="2" t="n">
        <v>11</v>
      </c>
      <c r="D832" s="2">
        <f>VLOOKUP(B832,Products!$A$2:$D$201,3,FALSE())</f>
        <v/>
      </c>
      <c r="E832" s="2">
        <f>C832*D832</f>
        <v/>
      </c>
      <c r="F832" s="2">
        <f>C832*INDEX(Products!$D$2:$D$201,MATCH(B832,Products!$A$2:$A$201,0))</f>
        <v/>
      </c>
      <c r="G832" s="2">
        <f>E832-F832</f>
        <v/>
      </c>
    </row>
    <row r="833" ht="15" customHeight="1" s="1">
      <c r="A833" s="2" t="n">
        <v>50831</v>
      </c>
      <c r="B833" s="2" t="inlineStr">
        <is>
          <t>SKU-0034</t>
        </is>
      </c>
      <c r="C833" s="2" t="n">
        <v>7</v>
      </c>
      <c r="D833" s="2">
        <f>VLOOKUP(B833,Products!$A$2:$D$201,3,FALSE())</f>
        <v/>
      </c>
      <c r="E833" s="2">
        <f>C833*D833</f>
        <v/>
      </c>
      <c r="F833" s="2">
        <f>C833*INDEX(Products!$D$2:$D$201,MATCH(B833,Products!$A$2:$A$201,0))</f>
        <v/>
      </c>
      <c r="G833" s="2">
        <f>E833-F833</f>
        <v/>
      </c>
    </row>
    <row r="834" ht="15" customHeight="1" s="1">
      <c r="A834" s="2" t="n">
        <v>50832</v>
      </c>
      <c r="B834" s="2" t="inlineStr">
        <is>
          <t>SKU-0114</t>
        </is>
      </c>
      <c r="C834" s="2" t="n">
        <v>18</v>
      </c>
      <c r="D834" s="2">
        <f>VLOOKUP(B834,Products!$A$2:$D$201,3,FALSE())</f>
        <v/>
      </c>
      <c r="E834" s="2">
        <f>C834*D834</f>
        <v/>
      </c>
      <c r="F834" s="2">
        <f>C834*INDEX(Products!$D$2:$D$201,MATCH(B834,Products!$A$2:$A$201,0))</f>
        <v/>
      </c>
      <c r="G834" s="2">
        <f>E834-F834</f>
        <v/>
      </c>
    </row>
    <row r="835" ht="15" customHeight="1" s="1">
      <c r="A835" s="2" t="n">
        <v>50833</v>
      </c>
      <c r="B835" s="2" t="inlineStr">
        <is>
          <t>SKU-0143</t>
        </is>
      </c>
      <c r="C835" s="2" t="n">
        <v>7</v>
      </c>
      <c r="D835" s="2">
        <f>VLOOKUP(B835,Products!$A$2:$D$201,3,FALSE())</f>
        <v/>
      </c>
      <c r="E835" s="2">
        <f>C835*D835</f>
        <v/>
      </c>
      <c r="F835" s="2">
        <f>C835*INDEX(Products!$D$2:$D$201,MATCH(B835,Products!$A$2:$A$201,0))</f>
        <v/>
      </c>
      <c r="G835" s="2">
        <f>E835-F835</f>
        <v/>
      </c>
    </row>
    <row r="836" ht="15" customHeight="1" s="1">
      <c r="A836" s="2" t="n">
        <v>50834</v>
      </c>
      <c r="B836" s="2" t="inlineStr">
        <is>
          <t>SKU-0189</t>
        </is>
      </c>
      <c r="C836" s="2" t="n">
        <v>4</v>
      </c>
      <c r="D836" s="2">
        <f>VLOOKUP(B836,Products!$A$2:$D$201,3,FALSE())</f>
        <v/>
      </c>
      <c r="E836" s="2">
        <f>C836*D836</f>
        <v/>
      </c>
      <c r="F836" s="2">
        <f>C836*INDEX(Products!$D$2:$D$201,MATCH(B836,Products!$A$2:$A$201,0))</f>
        <v/>
      </c>
      <c r="G836" s="2">
        <f>E836-F836</f>
        <v/>
      </c>
    </row>
    <row r="837" ht="15" customHeight="1" s="1">
      <c r="A837" s="2" t="n">
        <v>50835</v>
      </c>
      <c r="B837" s="2" t="inlineStr">
        <is>
          <t>SKU-0156</t>
        </is>
      </c>
      <c r="C837" s="2" t="n">
        <v>1</v>
      </c>
      <c r="D837" s="2">
        <f>VLOOKUP(B837,Products!$A$2:$D$201,3,FALSE())</f>
        <v/>
      </c>
      <c r="E837" s="2">
        <f>C837*D837</f>
        <v/>
      </c>
      <c r="F837" s="2">
        <f>C837*INDEX(Products!$D$2:$D$201,MATCH(B837,Products!$A$2:$A$201,0))</f>
        <v/>
      </c>
      <c r="G837" s="2">
        <f>E837-F837</f>
        <v/>
      </c>
    </row>
    <row r="838" ht="15" customHeight="1" s="1">
      <c r="A838" s="2" t="n">
        <v>50836</v>
      </c>
      <c r="B838" s="2" t="inlineStr">
        <is>
          <t>SKU-0127</t>
        </is>
      </c>
      <c r="C838" s="2" t="n">
        <v>6</v>
      </c>
      <c r="D838" s="2">
        <f>VLOOKUP(B838,Products!$A$2:$D$201,3,FALSE())</f>
        <v/>
      </c>
      <c r="E838" s="2">
        <f>C838*D838</f>
        <v/>
      </c>
      <c r="F838" s="2">
        <f>C838*INDEX(Products!$D$2:$D$201,MATCH(B838,Products!$A$2:$A$201,0))</f>
        <v/>
      </c>
      <c r="G838" s="2">
        <f>E838-F838</f>
        <v/>
      </c>
    </row>
    <row r="839" ht="15" customHeight="1" s="1">
      <c r="A839" s="2" t="n">
        <v>50837</v>
      </c>
      <c r="B839" s="2" t="inlineStr">
        <is>
          <t>SKU-0075</t>
        </is>
      </c>
      <c r="C839" s="2" t="n">
        <v>18</v>
      </c>
      <c r="D839" s="2">
        <f>VLOOKUP(B839,Products!$A$2:$D$201,3,FALSE())</f>
        <v/>
      </c>
      <c r="E839" s="2">
        <f>C839*D839</f>
        <v/>
      </c>
      <c r="F839" s="2">
        <f>C839*INDEX(Products!$D$2:$D$201,MATCH(B839,Products!$A$2:$A$201,0))</f>
        <v/>
      </c>
      <c r="G839" s="2">
        <f>E839-F839</f>
        <v/>
      </c>
    </row>
    <row r="840" ht="15" customHeight="1" s="1">
      <c r="A840" s="2" t="n">
        <v>50838</v>
      </c>
      <c r="B840" s="2" t="inlineStr">
        <is>
          <t>SKU-0007</t>
        </is>
      </c>
      <c r="C840" s="2" t="n">
        <v>7</v>
      </c>
      <c r="D840" s="2">
        <f>VLOOKUP(B840,Products!$A$2:$D$201,3,FALSE())</f>
        <v/>
      </c>
      <c r="E840" s="2">
        <f>C840*D840</f>
        <v/>
      </c>
      <c r="F840" s="2">
        <f>C840*INDEX(Products!$D$2:$D$201,MATCH(B840,Products!$A$2:$A$201,0))</f>
        <v/>
      </c>
      <c r="G840" s="2">
        <f>E840-F840</f>
        <v/>
      </c>
    </row>
    <row r="841" ht="15" customHeight="1" s="1">
      <c r="A841" s="2" t="n">
        <v>50839</v>
      </c>
      <c r="B841" s="2" t="inlineStr">
        <is>
          <t>SKU-0069</t>
        </is>
      </c>
      <c r="C841" s="2" t="n">
        <v>6</v>
      </c>
      <c r="D841" s="2">
        <f>VLOOKUP(B841,Products!$A$2:$D$201,3,FALSE())</f>
        <v/>
      </c>
      <c r="E841" s="2">
        <f>C841*D841</f>
        <v/>
      </c>
      <c r="F841" s="2">
        <f>C841*INDEX(Products!$D$2:$D$201,MATCH(B841,Products!$A$2:$A$201,0))</f>
        <v/>
      </c>
      <c r="G841" s="2">
        <f>E841-F841</f>
        <v/>
      </c>
    </row>
    <row r="842" ht="15" customHeight="1" s="1">
      <c r="A842" s="2" t="n">
        <v>50840</v>
      </c>
      <c r="B842" s="2" t="inlineStr">
        <is>
          <t>SKU-0070</t>
        </is>
      </c>
      <c r="C842" s="2" t="n">
        <v>13</v>
      </c>
      <c r="D842" s="2">
        <f>VLOOKUP(B842,Products!$A$2:$D$201,3,FALSE())</f>
        <v/>
      </c>
      <c r="E842" s="2">
        <f>C842*D842</f>
        <v/>
      </c>
      <c r="F842" s="2">
        <f>C842*INDEX(Products!$D$2:$D$201,MATCH(B842,Products!$A$2:$A$201,0))</f>
        <v/>
      </c>
      <c r="G842" s="2">
        <f>E842-F842</f>
        <v/>
      </c>
    </row>
    <row r="843" ht="15" customHeight="1" s="1">
      <c r="A843" s="2" t="n">
        <v>50841</v>
      </c>
      <c r="B843" s="2" t="inlineStr">
        <is>
          <t>SKU-0069</t>
        </is>
      </c>
      <c r="C843" s="2" t="n">
        <v>3</v>
      </c>
      <c r="D843" s="2">
        <f>VLOOKUP(B843,Products!$A$2:$D$201,3,FALSE())</f>
        <v/>
      </c>
      <c r="E843" s="2">
        <f>C843*D843</f>
        <v/>
      </c>
      <c r="F843" s="2">
        <f>C843*INDEX(Products!$D$2:$D$201,MATCH(B843,Products!$A$2:$A$201,0))</f>
        <v/>
      </c>
      <c r="G843" s="2">
        <f>E843-F843</f>
        <v/>
      </c>
    </row>
    <row r="844" ht="15" customHeight="1" s="1">
      <c r="A844" s="2" t="n">
        <v>50842</v>
      </c>
      <c r="B844" s="2" t="inlineStr">
        <is>
          <t>SKU-0163</t>
        </is>
      </c>
      <c r="C844" s="2" t="n">
        <v>12</v>
      </c>
      <c r="D844" s="2">
        <f>VLOOKUP(B844,Products!$A$2:$D$201,3,FALSE())</f>
        <v/>
      </c>
      <c r="E844" s="2">
        <f>C844*D844</f>
        <v/>
      </c>
      <c r="F844" s="2">
        <f>C844*INDEX(Products!$D$2:$D$201,MATCH(B844,Products!$A$2:$A$201,0))</f>
        <v/>
      </c>
      <c r="G844" s="2">
        <f>E844-F844</f>
        <v/>
      </c>
    </row>
    <row r="845" ht="15" customHeight="1" s="1">
      <c r="A845" s="2" t="n">
        <v>50843</v>
      </c>
      <c r="B845" s="2" t="inlineStr">
        <is>
          <t>SKU-0079</t>
        </is>
      </c>
      <c r="C845" s="2" t="n">
        <v>4</v>
      </c>
      <c r="D845" s="2">
        <f>VLOOKUP(B845,Products!$A$2:$D$201,3,FALSE())</f>
        <v/>
      </c>
      <c r="E845" s="2">
        <f>C845*D845</f>
        <v/>
      </c>
      <c r="F845" s="2">
        <f>C845*INDEX(Products!$D$2:$D$201,MATCH(B845,Products!$A$2:$A$201,0))</f>
        <v/>
      </c>
      <c r="G845" s="2">
        <f>E845-F845</f>
        <v/>
      </c>
    </row>
    <row r="846" ht="15" customHeight="1" s="1">
      <c r="A846" s="2" t="n">
        <v>50844</v>
      </c>
      <c r="B846" s="2" t="inlineStr">
        <is>
          <t>SKU-0159</t>
        </is>
      </c>
      <c r="C846" s="2" t="n">
        <v>8</v>
      </c>
      <c r="D846" s="2">
        <f>VLOOKUP(B846,Products!$A$2:$D$201,3,FALSE())</f>
        <v/>
      </c>
      <c r="E846" s="2">
        <f>C846*D846</f>
        <v/>
      </c>
      <c r="F846" s="2">
        <f>C846*INDEX(Products!$D$2:$D$201,MATCH(B846,Products!$A$2:$A$201,0))</f>
        <v/>
      </c>
      <c r="G846" s="2">
        <f>E846-F846</f>
        <v/>
      </c>
    </row>
    <row r="847" ht="15" customHeight="1" s="1">
      <c r="A847" s="2" t="n">
        <v>50845</v>
      </c>
      <c r="B847" s="2" t="inlineStr">
        <is>
          <t>SKU-0005</t>
        </is>
      </c>
      <c r="C847" s="2" t="n">
        <v>20</v>
      </c>
      <c r="D847" s="2">
        <f>VLOOKUP(B847,Products!$A$2:$D$201,3,FALSE())</f>
        <v/>
      </c>
      <c r="E847" s="2">
        <f>C847*D847</f>
        <v/>
      </c>
      <c r="F847" s="2">
        <f>C847*INDEX(Products!$D$2:$D$201,MATCH(B847,Products!$A$2:$A$201,0))</f>
        <v/>
      </c>
      <c r="G847" s="2">
        <f>E847-F847</f>
        <v/>
      </c>
    </row>
    <row r="848" ht="15" customHeight="1" s="1">
      <c r="A848" s="2" t="n">
        <v>50846</v>
      </c>
      <c r="B848" s="2" t="inlineStr">
        <is>
          <t>SKU-0058</t>
        </is>
      </c>
      <c r="C848" s="2" t="n">
        <v>9</v>
      </c>
      <c r="D848" s="2">
        <f>VLOOKUP(B848,Products!$A$2:$D$201,3,FALSE())</f>
        <v/>
      </c>
      <c r="E848" s="2">
        <f>C848*D848</f>
        <v/>
      </c>
      <c r="F848" s="2">
        <f>C848*INDEX(Products!$D$2:$D$201,MATCH(B848,Products!$A$2:$A$201,0))</f>
        <v/>
      </c>
      <c r="G848" s="2">
        <f>E848-F848</f>
        <v/>
      </c>
    </row>
    <row r="849" ht="15" customHeight="1" s="1">
      <c r="A849" s="2" t="n">
        <v>50847</v>
      </c>
      <c r="B849" s="2" t="inlineStr">
        <is>
          <t>SKU-0096</t>
        </is>
      </c>
      <c r="C849" s="2" t="n">
        <v>15</v>
      </c>
      <c r="D849" s="2">
        <f>VLOOKUP(B849,Products!$A$2:$D$201,3,FALSE())</f>
        <v/>
      </c>
      <c r="E849" s="2">
        <f>C849*D849</f>
        <v/>
      </c>
      <c r="F849" s="2">
        <f>C849*INDEX(Products!$D$2:$D$201,MATCH(B849,Products!$A$2:$A$201,0))</f>
        <v/>
      </c>
      <c r="G849" s="2">
        <f>E849-F849</f>
        <v/>
      </c>
    </row>
    <row r="850" ht="15" customHeight="1" s="1">
      <c r="A850" s="2" t="n">
        <v>50848</v>
      </c>
      <c r="B850" s="2" t="inlineStr">
        <is>
          <t>SKU-0065</t>
        </is>
      </c>
      <c r="C850" s="2" t="n">
        <v>3</v>
      </c>
      <c r="D850" s="2">
        <f>VLOOKUP(B850,Products!$A$2:$D$201,3,FALSE())</f>
        <v/>
      </c>
      <c r="E850" s="2">
        <f>C850*D850</f>
        <v/>
      </c>
      <c r="F850" s="2">
        <f>C850*INDEX(Products!$D$2:$D$201,MATCH(B850,Products!$A$2:$A$201,0))</f>
        <v/>
      </c>
      <c r="G850" s="2">
        <f>E850-F850</f>
        <v/>
      </c>
    </row>
    <row r="851" ht="15" customHeight="1" s="1">
      <c r="A851" s="2" t="n">
        <v>50849</v>
      </c>
      <c r="B851" s="2" t="inlineStr">
        <is>
          <t>SKU-0122</t>
        </is>
      </c>
      <c r="C851" s="2" t="n">
        <v>13</v>
      </c>
      <c r="D851" s="2">
        <f>VLOOKUP(B851,Products!$A$2:$D$201,3,FALSE())</f>
        <v/>
      </c>
      <c r="E851" s="2">
        <f>C851*D851</f>
        <v/>
      </c>
      <c r="F851" s="2">
        <f>C851*INDEX(Products!$D$2:$D$201,MATCH(B851,Products!$A$2:$A$201,0))</f>
        <v/>
      </c>
      <c r="G851" s="2">
        <f>E851-F851</f>
        <v/>
      </c>
    </row>
    <row r="852" ht="15" customHeight="1" s="1">
      <c r="A852" s="2" t="n">
        <v>50850</v>
      </c>
      <c r="B852" s="2" t="inlineStr">
        <is>
          <t>SKU-0124</t>
        </is>
      </c>
      <c r="C852" s="2" t="n">
        <v>5</v>
      </c>
      <c r="D852" s="2">
        <f>VLOOKUP(B852,Products!$A$2:$D$201,3,FALSE())</f>
        <v/>
      </c>
      <c r="E852" s="2">
        <f>C852*D852</f>
        <v/>
      </c>
      <c r="F852" s="2">
        <f>C852*INDEX(Products!$D$2:$D$201,MATCH(B852,Products!$A$2:$A$201,0))</f>
        <v/>
      </c>
      <c r="G852" s="2">
        <f>E852-F852</f>
        <v/>
      </c>
    </row>
    <row r="853" ht="15" customHeight="1" s="1">
      <c r="A853" s="2" t="n">
        <v>50851</v>
      </c>
      <c r="B853" s="2" t="inlineStr">
        <is>
          <t>SKU-0103</t>
        </is>
      </c>
      <c r="C853" s="2" t="n">
        <v>16</v>
      </c>
      <c r="D853" s="2">
        <f>VLOOKUP(B853,Products!$A$2:$D$201,3,FALSE())</f>
        <v/>
      </c>
      <c r="E853" s="2">
        <f>C853*D853</f>
        <v/>
      </c>
      <c r="F853" s="2">
        <f>C853*INDEX(Products!$D$2:$D$201,MATCH(B853,Products!$A$2:$A$201,0))</f>
        <v/>
      </c>
      <c r="G853" s="2">
        <f>E853-F853</f>
        <v/>
      </c>
    </row>
    <row r="854" ht="15" customHeight="1" s="1">
      <c r="A854" s="2" t="n">
        <v>50852</v>
      </c>
      <c r="B854" s="2" t="inlineStr">
        <is>
          <t>SKU-0137</t>
        </is>
      </c>
      <c r="C854" s="2" t="n">
        <v>2</v>
      </c>
      <c r="D854" s="2">
        <f>VLOOKUP(B854,Products!$A$2:$D$201,3,FALSE())</f>
        <v/>
      </c>
      <c r="E854" s="2">
        <f>C854*D854</f>
        <v/>
      </c>
      <c r="F854" s="2">
        <f>C854*INDEX(Products!$D$2:$D$201,MATCH(B854,Products!$A$2:$A$201,0))</f>
        <v/>
      </c>
      <c r="G854" s="2">
        <f>E854-F854</f>
        <v/>
      </c>
    </row>
    <row r="855" ht="15" customHeight="1" s="1">
      <c r="A855" s="2" t="n">
        <v>50853</v>
      </c>
      <c r="B855" s="2" t="inlineStr">
        <is>
          <t>SKU-0197</t>
        </is>
      </c>
      <c r="C855" s="2" t="n">
        <v>13</v>
      </c>
      <c r="D855" s="2">
        <f>VLOOKUP(B855,Products!$A$2:$D$201,3,FALSE())</f>
        <v/>
      </c>
      <c r="E855" s="2">
        <f>C855*D855</f>
        <v/>
      </c>
      <c r="F855" s="2">
        <f>C855*INDEX(Products!$D$2:$D$201,MATCH(B855,Products!$A$2:$A$201,0))</f>
        <v/>
      </c>
      <c r="G855" s="2">
        <f>E855-F855</f>
        <v/>
      </c>
    </row>
    <row r="856" ht="15" customHeight="1" s="1">
      <c r="A856" s="2" t="n">
        <v>50854</v>
      </c>
      <c r="B856" s="2" t="inlineStr">
        <is>
          <t>SKU-0156</t>
        </is>
      </c>
      <c r="C856" s="2" t="n">
        <v>20</v>
      </c>
      <c r="D856" s="2">
        <f>VLOOKUP(B856,Products!$A$2:$D$201,3,FALSE())</f>
        <v/>
      </c>
      <c r="E856" s="2">
        <f>C856*D856</f>
        <v/>
      </c>
      <c r="F856" s="2">
        <f>C856*INDEX(Products!$D$2:$D$201,MATCH(B856,Products!$A$2:$A$201,0))</f>
        <v/>
      </c>
      <c r="G856" s="2">
        <f>E856-F856</f>
        <v/>
      </c>
    </row>
    <row r="857" ht="15" customHeight="1" s="1">
      <c r="A857" s="2" t="n">
        <v>50855</v>
      </c>
      <c r="B857" s="2" t="inlineStr">
        <is>
          <t>SKU-0011</t>
        </is>
      </c>
      <c r="C857" s="2" t="n">
        <v>7</v>
      </c>
      <c r="D857" s="2">
        <f>VLOOKUP(B857,Products!$A$2:$D$201,3,FALSE())</f>
        <v/>
      </c>
      <c r="E857" s="2">
        <f>C857*D857</f>
        <v/>
      </c>
      <c r="F857" s="2">
        <f>C857*INDEX(Products!$D$2:$D$201,MATCH(B857,Products!$A$2:$A$201,0))</f>
        <v/>
      </c>
      <c r="G857" s="2">
        <f>E857-F857</f>
        <v/>
      </c>
    </row>
    <row r="858" ht="15" customHeight="1" s="1">
      <c r="A858" s="2" t="n">
        <v>50856</v>
      </c>
      <c r="B858" s="2" t="inlineStr">
        <is>
          <t>SKU-0129</t>
        </is>
      </c>
      <c r="C858" s="2" t="n">
        <v>9</v>
      </c>
      <c r="D858" s="2">
        <f>VLOOKUP(B858,Products!$A$2:$D$201,3,FALSE())</f>
        <v/>
      </c>
      <c r="E858" s="2">
        <f>C858*D858</f>
        <v/>
      </c>
      <c r="F858" s="2">
        <f>C858*INDEX(Products!$D$2:$D$201,MATCH(B858,Products!$A$2:$A$201,0))</f>
        <v/>
      </c>
      <c r="G858" s="2">
        <f>E858-F858</f>
        <v/>
      </c>
    </row>
    <row r="859" ht="15" customHeight="1" s="1">
      <c r="A859" s="2" t="n">
        <v>50857</v>
      </c>
      <c r="B859" s="2" t="inlineStr">
        <is>
          <t>SKU-0084</t>
        </is>
      </c>
      <c r="C859" s="2" t="n">
        <v>17</v>
      </c>
      <c r="D859" s="2">
        <f>VLOOKUP(B859,Products!$A$2:$D$201,3,FALSE())</f>
        <v/>
      </c>
      <c r="E859" s="2">
        <f>C859*D859</f>
        <v/>
      </c>
      <c r="F859" s="2">
        <f>C859*INDEX(Products!$D$2:$D$201,MATCH(B859,Products!$A$2:$A$201,0))</f>
        <v/>
      </c>
      <c r="G859" s="2">
        <f>E859-F859</f>
        <v/>
      </c>
    </row>
    <row r="860" ht="15" customHeight="1" s="1">
      <c r="A860" s="2" t="n">
        <v>50858</v>
      </c>
      <c r="B860" s="2" t="inlineStr">
        <is>
          <t>SKU-0175</t>
        </is>
      </c>
      <c r="C860" s="2" t="n">
        <v>6</v>
      </c>
      <c r="D860" s="2">
        <f>VLOOKUP(B860,Products!$A$2:$D$201,3,FALSE())</f>
        <v/>
      </c>
      <c r="E860" s="2">
        <f>C860*D860</f>
        <v/>
      </c>
      <c r="F860" s="2">
        <f>C860*INDEX(Products!$D$2:$D$201,MATCH(B860,Products!$A$2:$A$201,0))</f>
        <v/>
      </c>
      <c r="G860" s="2">
        <f>E860-F860</f>
        <v/>
      </c>
    </row>
    <row r="861" ht="15" customHeight="1" s="1">
      <c r="A861" s="2" t="n">
        <v>50859</v>
      </c>
      <c r="B861" s="2" t="inlineStr">
        <is>
          <t>SKU-0094</t>
        </is>
      </c>
      <c r="C861" s="2" t="n">
        <v>14</v>
      </c>
      <c r="D861" s="2">
        <f>VLOOKUP(B861,Products!$A$2:$D$201,3,FALSE())</f>
        <v/>
      </c>
      <c r="E861" s="2">
        <f>C861*D861</f>
        <v/>
      </c>
      <c r="F861" s="2">
        <f>C861*INDEX(Products!$D$2:$D$201,MATCH(B861,Products!$A$2:$A$201,0))</f>
        <v/>
      </c>
      <c r="G861" s="2">
        <f>E861-F861</f>
        <v/>
      </c>
    </row>
    <row r="862" ht="15" customHeight="1" s="1">
      <c r="A862" s="2" t="n">
        <v>50860</v>
      </c>
      <c r="B862" s="2" t="inlineStr">
        <is>
          <t>SKU-0157</t>
        </is>
      </c>
      <c r="C862" s="2" t="n">
        <v>20</v>
      </c>
      <c r="D862" s="2">
        <f>VLOOKUP(B862,Products!$A$2:$D$201,3,FALSE())</f>
        <v/>
      </c>
      <c r="E862" s="2">
        <f>C862*D862</f>
        <v/>
      </c>
      <c r="F862" s="2">
        <f>C862*INDEX(Products!$D$2:$D$201,MATCH(B862,Products!$A$2:$A$201,0))</f>
        <v/>
      </c>
      <c r="G862" s="2">
        <f>E862-F862</f>
        <v/>
      </c>
    </row>
    <row r="863" ht="15" customHeight="1" s="1">
      <c r="A863" s="2" t="n">
        <v>50861</v>
      </c>
      <c r="B863" s="2" t="inlineStr">
        <is>
          <t>SKU-0173</t>
        </is>
      </c>
      <c r="C863" s="2" t="n">
        <v>6</v>
      </c>
      <c r="D863" s="2">
        <f>VLOOKUP(B863,Products!$A$2:$D$201,3,FALSE())</f>
        <v/>
      </c>
      <c r="E863" s="2">
        <f>C863*D863</f>
        <v/>
      </c>
      <c r="F863" s="2">
        <f>C863*INDEX(Products!$D$2:$D$201,MATCH(B863,Products!$A$2:$A$201,0))</f>
        <v/>
      </c>
      <c r="G863" s="2">
        <f>E863-F863</f>
        <v/>
      </c>
    </row>
    <row r="864" ht="15" customHeight="1" s="1">
      <c r="A864" s="2" t="n">
        <v>50862</v>
      </c>
      <c r="B864" s="2" t="inlineStr">
        <is>
          <t>SKU-0098</t>
        </is>
      </c>
      <c r="C864" s="2" t="n">
        <v>8</v>
      </c>
      <c r="D864" s="2">
        <f>VLOOKUP(B864,Products!$A$2:$D$201,3,FALSE())</f>
        <v/>
      </c>
      <c r="E864" s="2">
        <f>C864*D864</f>
        <v/>
      </c>
      <c r="F864" s="2">
        <f>C864*INDEX(Products!$D$2:$D$201,MATCH(B864,Products!$A$2:$A$201,0))</f>
        <v/>
      </c>
      <c r="G864" s="2">
        <f>E864-F864</f>
        <v/>
      </c>
    </row>
    <row r="865" ht="15" customHeight="1" s="1">
      <c r="A865" s="2" t="n">
        <v>50863</v>
      </c>
      <c r="B865" s="2" t="inlineStr">
        <is>
          <t>SKU-0144</t>
        </is>
      </c>
      <c r="C865" s="2" t="n">
        <v>20</v>
      </c>
      <c r="D865" s="2">
        <f>VLOOKUP(B865,Products!$A$2:$D$201,3,FALSE())</f>
        <v/>
      </c>
      <c r="E865" s="2">
        <f>C865*D865</f>
        <v/>
      </c>
      <c r="F865" s="2">
        <f>C865*INDEX(Products!$D$2:$D$201,MATCH(B865,Products!$A$2:$A$201,0))</f>
        <v/>
      </c>
      <c r="G865" s="2">
        <f>E865-F865</f>
        <v/>
      </c>
    </row>
    <row r="866" ht="15" customHeight="1" s="1">
      <c r="A866" s="2" t="n">
        <v>50864</v>
      </c>
      <c r="B866" s="2" t="inlineStr">
        <is>
          <t>SKU-0158</t>
        </is>
      </c>
      <c r="C866" s="2" t="n">
        <v>2</v>
      </c>
      <c r="D866" s="2">
        <f>VLOOKUP(B866,Products!$A$2:$D$201,3,FALSE())</f>
        <v/>
      </c>
      <c r="E866" s="2">
        <f>C866*D866</f>
        <v/>
      </c>
      <c r="F866" s="2">
        <f>C866*INDEX(Products!$D$2:$D$201,MATCH(B866,Products!$A$2:$A$201,0))</f>
        <v/>
      </c>
      <c r="G866" s="2">
        <f>E866-F866</f>
        <v/>
      </c>
    </row>
    <row r="867" ht="15" customHeight="1" s="1">
      <c r="A867" s="2" t="n">
        <v>50865</v>
      </c>
      <c r="B867" s="2" t="inlineStr">
        <is>
          <t>SKU-0072</t>
        </is>
      </c>
      <c r="C867" s="2" t="n">
        <v>8</v>
      </c>
      <c r="D867" s="2">
        <f>VLOOKUP(B867,Products!$A$2:$D$201,3,FALSE())</f>
        <v/>
      </c>
      <c r="E867" s="2">
        <f>C867*D867</f>
        <v/>
      </c>
      <c r="F867" s="2">
        <f>C867*INDEX(Products!$D$2:$D$201,MATCH(B867,Products!$A$2:$A$201,0))</f>
        <v/>
      </c>
      <c r="G867" s="2">
        <f>E867-F867</f>
        <v/>
      </c>
    </row>
    <row r="868" ht="15" customHeight="1" s="1">
      <c r="A868" s="2" t="n">
        <v>50866</v>
      </c>
      <c r="B868" s="2" t="inlineStr">
        <is>
          <t>SKU-0106</t>
        </is>
      </c>
      <c r="C868" s="2" t="n">
        <v>16</v>
      </c>
      <c r="D868" s="2">
        <f>VLOOKUP(B868,Products!$A$2:$D$201,3,FALSE())</f>
        <v/>
      </c>
      <c r="E868" s="2">
        <f>C868*D868</f>
        <v/>
      </c>
      <c r="F868" s="2">
        <f>C868*INDEX(Products!$D$2:$D$201,MATCH(B868,Products!$A$2:$A$201,0))</f>
        <v/>
      </c>
      <c r="G868" s="2">
        <f>E868-F868</f>
        <v/>
      </c>
    </row>
    <row r="869" ht="15" customHeight="1" s="1">
      <c r="A869" s="2" t="n">
        <v>50867</v>
      </c>
      <c r="B869" s="2" t="inlineStr">
        <is>
          <t>SKU-0122</t>
        </is>
      </c>
      <c r="C869" s="2" t="n">
        <v>17</v>
      </c>
      <c r="D869" s="2">
        <f>VLOOKUP(B869,Products!$A$2:$D$201,3,FALSE())</f>
        <v/>
      </c>
      <c r="E869" s="2">
        <f>C869*D869</f>
        <v/>
      </c>
      <c r="F869" s="2">
        <f>C869*INDEX(Products!$D$2:$D$201,MATCH(B869,Products!$A$2:$A$201,0))</f>
        <v/>
      </c>
      <c r="G869" s="2">
        <f>E869-F869</f>
        <v/>
      </c>
    </row>
    <row r="870" ht="15" customHeight="1" s="1">
      <c r="A870" s="2" t="n">
        <v>50868</v>
      </c>
      <c r="B870" s="2" t="inlineStr">
        <is>
          <t>SKU-0184</t>
        </is>
      </c>
      <c r="C870" s="2" t="n">
        <v>6</v>
      </c>
      <c r="D870" s="2">
        <f>VLOOKUP(B870,Products!$A$2:$D$201,3,FALSE())</f>
        <v/>
      </c>
      <c r="E870" s="2">
        <f>C870*D870</f>
        <v/>
      </c>
      <c r="F870" s="2">
        <f>C870*INDEX(Products!$D$2:$D$201,MATCH(B870,Products!$A$2:$A$201,0))</f>
        <v/>
      </c>
      <c r="G870" s="2">
        <f>E870-F870</f>
        <v/>
      </c>
    </row>
    <row r="871" ht="15" customHeight="1" s="1">
      <c r="A871" s="2" t="n">
        <v>50869</v>
      </c>
      <c r="B871" s="2" t="inlineStr">
        <is>
          <t>SKU-0195</t>
        </is>
      </c>
      <c r="C871" s="2" t="n">
        <v>15</v>
      </c>
      <c r="D871" s="2">
        <f>VLOOKUP(B871,Products!$A$2:$D$201,3,FALSE())</f>
        <v/>
      </c>
      <c r="E871" s="2">
        <f>C871*D871</f>
        <v/>
      </c>
      <c r="F871" s="2">
        <f>C871*INDEX(Products!$D$2:$D$201,MATCH(B871,Products!$A$2:$A$201,0))</f>
        <v/>
      </c>
      <c r="G871" s="2">
        <f>E871-F871</f>
        <v/>
      </c>
    </row>
    <row r="872" ht="15" customHeight="1" s="1">
      <c r="A872" s="2" t="n">
        <v>50870</v>
      </c>
      <c r="B872" s="2" t="inlineStr">
        <is>
          <t>SKU-0123</t>
        </is>
      </c>
      <c r="C872" s="2" t="n">
        <v>16</v>
      </c>
      <c r="D872" s="2">
        <f>VLOOKUP(B872,Products!$A$2:$D$201,3,FALSE())</f>
        <v/>
      </c>
      <c r="E872" s="2">
        <f>C872*D872</f>
        <v/>
      </c>
      <c r="F872" s="2">
        <f>C872*INDEX(Products!$D$2:$D$201,MATCH(B872,Products!$A$2:$A$201,0))</f>
        <v/>
      </c>
      <c r="G872" s="2">
        <f>E872-F872</f>
        <v/>
      </c>
    </row>
    <row r="873" ht="15" customHeight="1" s="1">
      <c r="A873" s="2" t="n">
        <v>50871</v>
      </c>
      <c r="B873" s="2" t="inlineStr">
        <is>
          <t>SKU-0113</t>
        </is>
      </c>
      <c r="C873" s="2" t="n">
        <v>19</v>
      </c>
      <c r="D873" s="2">
        <f>VLOOKUP(B873,Products!$A$2:$D$201,3,FALSE())</f>
        <v/>
      </c>
      <c r="E873" s="2">
        <f>C873*D873</f>
        <v/>
      </c>
      <c r="F873" s="2">
        <f>C873*INDEX(Products!$D$2:$D$201,MATCH(B873,Products!$A$2:$A$201,0))</f>
        <v/>
      </c>
      <c r="G873" s="2">
        <f>E873-F873</f>
        <v/>
      </c>
    </row>
    <row r="874" ht="15" customHeight="1" s="1">
      <c r="A874" s="2" t="n">
        <v>50872</v>
      </c>
      <c r="B874" s="2" t="inlineStr">
        <is>
          <t>SKU-0061</t>
        </is>
      </c>
      <c r="C874" s="2" t="n">
        <v>8</v>
      </c>
      <c r="D874" s="2">
        <f>VLOOKUP(B874,Products!$A$2:$D$201,3,FALSE())</f>
        <v/>
      </c>
      <c r="E874" s="2">
        <f>C874*D874</f>
        <v/>
      </c>
      <c r="F874" s="2">
        <f>C874*INDEX(Products!$D$2:$D$201,MATCH(B874,Products!$A$2:$A$201,0))</f>
        <v/>
      </c>
      <c r="G874" s="2">
        <f>E874-F874</f>
        <v/>
      </c>
    </row>
    <row r="875" ht="15" customHeight="1" s="1">
      <c r="A875" s="2" t="n">
        <v>50873</v>
      </c>
      <c r="B875" s="2" t="inlineStr">
        <is>
          <t>SKU-0082</t>
        </is>
      </c>
      <c r="C875" s="2" t="n">
        <v>8</v>
      </c>
      <c r="D875" s="2">
        <f>VLOOKUP(B875,Products!$A$2:$D$201,3,FALSE())</f>
        <v/>
      </c>
      <c r="E875" s="2">
        <f>C875*D875</f>
        <v/>
      </c>
      <c r="F875" s="2">
        <f>C875*INDEX(Products!$D$2:$D$201,MATCH(B875,Products!$A$2:$A$201,0))</f>
        <v/>
      </c>
      <c r="G875" s="2">
        <f>E875-F875</f>
        <v/>
      </c>
    </row>
    <row r="876" ht="15" customHeight="1" s="1">
      <c r="A876" s="2" t="n">
        <v>50874</v>
      </c>
      <c r="B876" s="2" t="inlineStr">
        <is>
          <t>SKU-0037</t>
        </is>
      </c>
      <c r="C876" s="2" t="n">
        <v>3</v>
      </c>
      <c r="D876" s="2">
        <f>VLOOKUP(B876,Products!$A$2:$D$201,3,FALSE())</f>
        <v/>
      </c>
      <c r="E876" s="2">
        <f>C876*D876</f>
        <v/>
      </c>
      <c r="F876" s="2">
        <f>C876*INDEX(Products!$D$2:$D$201,MATCH(B876,Products!$A$2:$A$201,0))</f>
        <v/>
      </c>
      <c r="G876" s="2">
        <f>E876-F876</f>
        <v/>
      </c>
    </row>
    <row r="877" ht="15" customHeight="1" s="1">
      <c r="A877" s="2" t="n">
        <v>50875</v>
      </c>
      <c r="B877" s="2" t="inlineStr">
        <is>
          <t>SKU-0031</t>
        </is>
      </c>
      <c r="C877" s="2" t="n">
        <v>15</v>
      </c>
      <c r="D877" s="2">
        <f>VLOOKUP(B877,Products!$A$2:$D$201,3,FALSE())</f>
        <v/>
      </c>
      <c r="E877" s="2">
        <f>C877*D877</f>
        <v/>
      </c>
      <c r="F877" s="2">
        <f>C877*INDEX(Products!$D$2:$D$201,MATCH(B877,Products!$A$2:$A$201,0))</f>
        <v/>
      </c>
      <c r="G877" s="2">
        <f>E877-F877</f>
        <v/>
      </c>
    </row>
    <row r="878" ht="15" customHeight="1" s="1">
      <c r="A878" s="2" t="n">
        <v>50876</v>
      </c>
      <c r="B878" s="2" t="inlineStr">
        <is>
          <t>SKU-0166</t>
        </is>
      </c>
      <c r="C878" s="2" t="n">
        <v>15</v>
      </c>
      <c r="D878" s="2">
        <f>VLOOKUP(B878,Products!$A$2:$D$201,3,FALSE())</f>
        <v/>
      </c>
      <c r="E878" s="2">
        <f>C878*D878</f>
        <v/>
      </c>
      <c r="F878" s="2">
        <f>C878*INDEX(Products!$D$2:$D$201,MATCH(B878,Products!$A$2:$A$201,0))</f>
        <v/>
      </c>
      <c r="G878" s="2">
        <f>E878-F878</f>
        <v/>
      </c>
    </row>
    <row r="879" ht="15" customHeight="1" s="1">
      <c r="A879" s="2" t="n">
        <v>50877</v>
      </c>
      <c r="B879" s="2" t="inlineStr">
        <is>
          <t>SKU-0138</t>
        </is>
      </c>
      <c r="C879" s="2" t="n">
        <v>1</v>
      </c>
      <c r="D879" s="2">
        <f>VLOOKUP(B879,Products!$A$2:$D$201,3,FALSE())</f>
        <v/>
      </c>
      <c r="E879" s="2">
        <f>C879*D879</f>
        <v/>
      </c>
      <c r="F879" s="2">
        <f>C879*INDEX(Products!$D$2:$D$201,MATCH(B879,Products!$A$2:$A$201,0))</f>
        <v/>
      </c>
      <c r="G879" s="2">
        <f>E879-F879</f>
        <v/>
      </c>
    </row>
    <row r="880" ht="15" customHeight="1" s="1">
      <c r="A880" s="2" t="n">
        <v>50878</v>
      </c>
      <c r="B880" s="2" t="inlineStr">
        <is>
          <t>SKU-0172</t>
        </is>
      </c>
      <c r="C880" s="2" t="n">
        <v>5</v>
      </c>
      <c r="D880" s="2">
        <f>VLOOKUP(B880,Products!$A$2:$D$201,3,FALSE())</f>
        <v/>
      </c>
      <c r="E880" s="2">
        <f>C880*D880</f>
        <v/>
      </c>
      <c r="F880" s="2">
        <f>C880*INDEX(Products!$D$2:$D$201,MATCH(B880,Products!$A$2:$A$201,0))</f>
        <v/>
      </c>
      <c r="G880" s="2">
        <f>E880-F880</f>
        <v/>
      </c>
    </row>
    <row r="881" ht="15" customHeight="1" s="1">
      <c r="A881" s="2" t="n">
        <v>50879</v>
      </c>
      <c r="B881" s="2" t="inlineStr">
        <is>
          <t>SKU-0003</t>
        </is>
      </c>
      <c r="C881" s="2" t="n">
        <v>16</v>
      </c>
      <c r="D881" s="2">
        <f>VLOOKUP(B881,Products!$A$2:$D$201,3,FALSE())</f>
        <v/>
      </c>
      <c r="E881" s="2">
        <f>C881*D881</f>
        <v/>
      </c>
      <c r="F881" s="2">
        <f>C881*INDEX(Products!$D$2:$D$201,MATCH(B881,Products!$A$2:$A$201,0))</f>
        <v/>
      </c>
      <c r="G881" s="2">
        <f>E881-F881</f>
        <v/>
      </c>
    </row>
    <row r="882" ht="15" customHeight="1" s="1">
      <c r="A882" s="2" t="n">
        <v>50880</v>
      </c>
      <c r="B882" s="2" t="inlineStr">
        <is>
          <t>SKU-0178</t>
        </is>
      </c>
      <c r="C882" s="2" t="n">
        <v>20</v>
      </c>
      <c r="D882" s="2">
        <f>VLOOKUP(B882,Products!$A$2:$D$201,3,FALSE())</f>
        <v/>
      </c>
      <c r="E882" s="2">
        <f>C882*D882</f>
        <v/>
      </c>
      <c r="F882" s="2">
        <f>C882*INDEX(Products!$D$2:$D$201,MATCH(B882,Products!$A$2:$A$201,0))</f>
        <v/>
      </c>
      <c r="G882" s="2">
        <f>E882-F882</f>
        <v/>
      </c>
    </row>
    <row r="883" ht="15" customHeight="1" s="1">
      <c r="A883" s="2" t="n">
        <v>50881</v>
      </c>
      <c r="B883" s="2" t="inlineStr">
        <is>
          <t>SKU-0173</t>
        </is>
      </c>
      <c r="C883" s="2" t="n">
        <v>5</v>
      </c>
      <c r="D883" s="2">
        <f>VLOOKUP(B883,Products!$A$2:$D$201,3,FALSE())</f>
        <v/>
      </c>
      <c r="E883" s="2">
        <f>C883*D883</f>
        <v/>
      </c>
      <c r="F883" s="2">
        <f>C883*INDEX(Products!$D$2:$D$201,MATCH(B883,Products!$A$2:$A$201,0))</f>
        <v/>
      </c>
      <c r="G883" s="2">
        <f>E883-F883</f>
        <v/>
      </c>
    </row>
    <row r="884" ht="15" customHeight="1" s="1">
      <c r="A884" s="2" t="n">
        <v>50882</v>
      </c>
      <c r="B884" s="2" t="inlineStr">
        <is>
          <t>SKU-0028</t>
        </is>
      </c>
      <c r="C884" s="2" t="n">
        <v>2</v>
      </c>
      <c r="D884" s="2">
        <f>VLOOKUP(B884,Products!$A$2:$D$201,3,FALSE())</f>
        <v/>
      </c>
      <c r="E884" s="2">
        <f>C884*D884</f>
        <v/>
      </c>
      <c r="F884" s="2">
        <f>C884*INDEX(Products!$D$2:$D$201,MATCH(B884,Products!$A$2:$A$201,0))</f>
        <v/>
      </c>
      <c r="G884" s="2">
        <f>E884-F884</f>
        <v/>
      </c>
    </row>
    <row r="885" ht="15" customHeight="1" s="1">
      <c r="A885" s="2" t="n">
        <v>50883</v>
      </c>
      <c r="B885" s="2" t="inlineStr">
        <is>
          <t>SKU-0194</t>
        </is>
      </c>
      <c r="C885" s="2" t="n">
        <v>3</v>
      </c>
      <c r="D885" s="2">
        <f>VLOOKUP(B885,Products!$A$2:$D$201,3,FALSE())</f>
        <v/>
      </c>
      <c r="E885" s="2">
        <f>C885*D885</f>
        <v/>
      </c>
      <c r="F885" s="2">
        <f>C885*INDEX(Products!$D$2:$D$201,MATCH(B885,Products!$A$2:$A$201,0))</f>
        <v/>
      </c>
      <c r="G885" s="2">
        <f>E885-F885</f>
        <v/>
      </c>
    </row>
    <row r="886" ht="15" customHeight="1" s="1">
      <c r="A886" s="2" t="n">
        <v>50884</v>
      </c>
      <c r="B886" s="2" t="inlineStr">
        <is>
          <t>SKU-0109</t>
        </is>
      </c>
      <c r="C886" s="2" t="n">
        <v>15</v>
      </c>
      <c r="D886" s="2">
        <f>VLOOKUP(B886,Products!$A$2:$D$201,3,FALSE())</f>
        <v/>
      </c>
      <c r="E886" s="2">
        <f>C886*D886</f>
        <v/>
      </c>
      <c r="F886" s="2">
        <f>C886*INDEX(Products!$D$2:$D$201,MATCH(B886,Products!$A$2:$A$201,0))</f>
        <v/>
      </c>
      <c r="G886" s="2">
        <f>E886-F886</f>
        <v/>
      </c>
    </row>
    <row r="887" ht="15" customHeight="1" s="1">
      <c r="A887" s="2" t="n">
        <v>50885</v>
      </c>
      <c r="B887" s="2" t="inlineStr">
        <is>
          <t>SKU-0047</t>
        </is>
      </c>
      <c r="C887" s="2" t="n">
        <v>4</v>
      </c>
      <c r="D887" s="2">
        <f>VLOOKUP(B887,Products!$A$2:$D$201,3,FALSE())</f>
        <v/>
      </c>
      <c r="E887" s="2">
        <f>C887*D887</f>
        <v/>
      </c>
      <c r="F887" s="2">
        <f>C887*INDEX(Products!$D$2:$D$201,MATCH(B887,Products!$A$2:$A$201,0))</f>
        <v/>
      </c>
      <c r="G887" s="2">
        <f>E887-F887</f>
        <v/>
      </c>
    </row>
    <row r="888" ht="15" customHeight="1" s="1">
      <c r="A888" s="2" t="n">
        <v>50886</v>
      </c>
      <c r="B888" s="2" t="inlineStr">
        <is>
          <t>SKU-0193</t>
        </is>
      </c>
      <c r="C888" s="2" t="n">
        <v>1</v>
      </c>
      <c r="D888" s="2">
        <f>VLOOKUP(B888,Products!$A$2:$D$201,3,FALSE())</f>
        <v/>
      </c>
      <c r="E888" s="2">
        <f>C888*D888</f>
        <v/>
      </c>
      <c r="F888" s="2">
        <f>C888*INDEX(Products!$D$2:$D$201,MATCH(B888,Products!$A$2:$A$201,0))</f>
        <v/>
      </c>
      <c r="G888" s="2">
        <f>E888-F888</f>
        <v/>
      </c>
    </row>
    <row r="889" ht="15" customHeight="1" s="1">
      <c r="A889" s="2" t="n">
        <v>50887</v>
      </c>
      <c r="B889" s="2" t="inlineStr">
        <is>
          <t>SKU-0085</t>
        </is>
      </c>
      <c r="C889" s="2" t="n">
        <v>14</v>
      </c>
      <c r="D889" s="2">
        <f>VLOOKUP(B889,Products!$A$2:$D$201,3,FALSE())</f>
        <v/>
      </c>
      <c r="E889" s="2">
        <f>C889*D889</f>
        <v/>
      </c>
      <c r="F889" s="2">
        <f>C889*INDEX(Products!$D$2:$D$201,MATCH(B889,Products!$A$2:$A$201,0))</f>
        <v/>
      </c>
      <c r="G889" s="2">
        <f>E889-F889</f>
        <v/>
      </c>
    </row>
    <row r="890" ht="15" customHeight="1" s="1">
      <c r="A890" s="2" t="n">
        <v>50888</v>
      </c>
      <c r="B890" s="2" t="inlineStr">
        <is>
          <t>SKU-0136</t>
        </is>
      </c>
      <c r="C890" s="2" t="n">
        <v>17</v>
      </c>
      <c r="D890" s="2">
        <f>VLOOKUP(B890,Products!$A$2:$D$201,3,FALSE())</f>
        <v/>
      </c>
      <c r="E890" s="2">
        <f>C890*D890</f>
        <v/>
      </c>
      <c r="F890" s="2">
        <f>C890*INDEX(Products!$D$2:$D$201,MATCH(B890,Products!$A$2:$A$201,0))</f>
        <v/>
      </c>
      <c r="G890" s="2">
        <f>E890-F890</f>
        <v/>
      </c>
    </row>
    <row r="891" ht="15" customHeight="1" s="1">
      <c r="A891" s="2" t="n">
        <v>50889</v>
      </c>
      <c r="B891" s="2" t="inlineStr">
        <is>
          <t>SKU-0163</t>
        </is>
      </c>
      <c r="C891" s="2" t="n">
        <v>11</v>
      </c>
      <c r="D891" s="2">
        <f>VLOOKUP(B891,Products!$A$2:$D$201,3,FALSE())</f>
        <v/>
      </c>
      <c r="E891" s="2">
        <f>C891*D891</f>
        <v/>
      </c>
      <c r="F891" s="2">
        <f>C891*INDEX(Products!$D$2:$D$201,MATCH(B891,Products!$A$2:$A$201,0))</f>
        <v/>
      </c>
      <c r="G891" s="2">
        <f>E891-F891</f>
        <v/>
      </c>
    </row>
    <row r="892" ht="15" customHeight="1" s="1">
      <c r="A892" s="2" t="n">
        <v>50890</v>
      </c>
      <c r="B892" s="2" t="inlineStr">
        <is>
          <t>SKU-0182</t>
        </is>
      </c>
      <c r="C892" s="2" t="n">
        <v>8</v>
      </c>
      <c r="D892" s="2">
        <f>VLOOKUP(B892,Products!$A$2:$D$201,3,FALSE())</f>
        <v/>
      </c>
      <c r="E892" s="2">
        <f>C892*D892</f>
        <v/>
      </c>
      <c r="F892" s="2">
        <f>C892*INDEX(Products!$D$2:$D$201,MATCH(B892,Products!$A$2:$A$201,0))</f>
        <v/>
      </c>
      <c r="G892" s="2">
        <f>E892-F892</f>
        <v/>
      </c>
    </row>
    <row r="893" ht="15" customHeight="1" s="1">
      <c r="A893" s="2" t="n">
        <v>50891</v>
      </c>
      <c r="B893" s="2" t="inlineStr">
        <is>
          <t>SKU-0041</t>
        </is>
      </c>
      <c r="C893" s="2" t="n">
        <v>16</v>
      </c>
      <c r="D893" s="2">
        <f>VLOOKUP(B893,Products!$A$2:$D$201,3,FALSE())</f>
        <v/>
      </c>
      <c r="E893" s="2">
        <f>C893*D893</f>
        <v/>
      </c>
      <c r="F893" s="2">
        <f>C893*INDEX(Products!$D$2:$D$201,MATCH(B893,Products!$A$2:$A$201,0))</f>
        <v/>
      </c>
      <c r="G893" s="2">
        <f>E893-F893</f>
        <v/>
      </c>
    </row>
    <row r="894" ht="15" customHeight="1" s="1">
      <c r="A894" s="2" t="n">
        <v>50892</v>
      </c>
      <c r="B894" s="2" t="inlineStr">
        <is>
          <t>SKU-0131</t>
        </is>
      </c>
      <c r="C894" s="2" t="n">
        <v>16</v>
      </c>
      <c r="D894" s="2">
        <f>VLOOKUP(B894,Products!$A$2:$D$201,3,FALSE())</f>
        <v/>
      </c>
      <c r="E894" s="2">
        <f>C894*D894</f>
        <v/>
      </c>
      <c r="F894" s="2">
        <f>C894*INDEX(Products!$D$2:$D$201,MATCH(B894,Products!$A$2:$A$201,0))</f>
        <v/>
      </c>
      <c r="G894" s="2">
        <f>E894-F894</f>
        <v/>
      </c>
    </row>
    <row r="895" ht="15" customHeight="1" s="1">
      <c r="A895" s="2" t="n">
        <v>50893</v>
      </c>
      <c r="B895" s="2" t="inlineStr">
        <is>
          <t>SKU-0168</t>
        </is>
      </c>
      <c r="C895" s="2" t="n">
        <v>18</v>
      </c>
      <c r="D895" s="2">
        <f>VLOOKUP(B895,Products!$A$2:$D$201,3,FALSE())</f>
        <v/>
      </c>
      <c r="E895" s="2">
        <f>C895*D895</f>
        <v/>
      </c>
      <c r="F895" s="2">
        <f>C895*INDEX(Products!$D$2:$D$201,MATCH(B895,Products!$A$2:$A$201,0))</f>
        <v/>
      </c>
      <c r="G895" s="2">
        <f>E895-F895</f>
        <v/>
      </c>
    </row>
    <row r="896" ht="15" customHeight="1" s="1">
      <c r="A896" s="2" t="n">
        <v>50894</v>
      </c>
      <c r="B896" s="2" t="inlineStr">
        <is>
          <t>SKU-0082</t>
        </is>
      </c>
      <c r="C896" s="2" t="n">
        <v>2</v>
      </c>
      <c r="D896" s="2">
        <f>VLOOKUP(B896,Products!$A$2:$D$201,3,FALSE())</f>
        <v/>
      </c>
      <c r="E896" s="2">
        <f>C896*D896</f>
        <v/>
      </c>
      <c r="F896" s="2">
        <f>C896*INDEX(Products!$D$2:$D$201,MATCH(B896,Products!$A$2:$A$201,0))</f>
        <v/>
      </c>
      <c r="G896" s="2">
        <f>E896-F896</f>
        <v/>
      </c>
    </row>
    <row r="897" ht="15" customHeight="1" s="1">
      <c r="A897" s="2" t="n">
        <v>50895</v>
      </c>
      <c r="B897" s="2" t="inlineStr">
        <is>
          <t>SKU-0197</t>
        </is>
      </c>
      <c r="C897" s="2" t="n">
        <v>19</v>
      </c>
      <c r="D897" s="2">
        <f>VLOOKUP(B897,Products!$A$2:$D$201,3,FALSE())</f>
        <v/>
      </c>
      <c r="E897" s="2">
        <f>C897*D897</f>
        <v/>
      </c>
      <c r="F897" s="2">
        <f>C897*INDEX(Products!$D$2:$D$201,MATCH(B897,Products!$A$2:$A$201,0))</f>
        <v/>
      </c>
      <c r="G897" s="2">
        <f>E897-F897</f>
        <v/>
      </c>
    </row>
    <row r="898" ht="15" customHeight="1" s="1">
      <c r="A898" s="2" t="n">
        <v>50896</v>
      </c>
      <c r="B898" s="2" t="inlineStr">
        <is>
          <t>SKU-0081</t>
        </is>
      </c>
      <c r="C898" s="2" t="n">
        <v>1</v>
      </c>
      <c r="D898" s="2">
        <f>VLOOKUP(B898,Products!$A$2:$D$201,3,FALSE())</f>
        <v/>
      </c>
      <c r="E898" s="2">
        <f>C898*D898</f>
        <v/>
      </c>
      <c r="F898" s="2">
        <f>C898*INDEX(Products!$D$2:$D$201,MATCH(B898,Products!$A$2:$A$201,0))</f>
        <v/>
      </c>
      <c r="G898" s="2">
        <f>E898-F898</f>
        <v/>
      </c>
    </row>
    <row r="899" ht="15" customHeight="1" s="1">
      <c r="A899" s="2" t="n">
        <v>50897</v>
      </c>
      <c r="B899" s="2" t="inlineStr">
        <is>
          <t>SKU-0127</t>
        </is>
      </c>
      <c r="C899" s="2" t="n">
        <v>2</v>
      </c>
      <c r="D899" s="2">
        <f>VLOOKUP(B899,Products!$A$2:$D$201,3,FALSE())</f>
        <v/>
      </c>
      <c r="E899" s="2">
        <f>C899*D899</f>
        <v/>
      </c>
      <c r="F899" s="2">
        <f>C899*INDEX(Products!$D$2:$D$201,MATCH(B899,Products!$A$2:$A$201,0))</f>
        <v/>
      </c>
      <c r="G899" s="2">
        <f>E899-F899</f>
        <v/>
      </c>
    </row>
    <row r="900" ht="15" customHeight="1" s="1">
      <c r="A900" s="2" t="n">
        <v>50898</v>
      </c>
      <c r="B900" s="2" t="inlineStr">
        <is>
          <t>SKU-0052</t>
        </is>
      </c>
      <c r="C900" s="2" t="n">
        <v>7</v>
      </c>
      <c r="D900" s="2">
        <f>VLOOKUP(B900,Products!$A$2:$D$201,3,FALSE())</f>
        <v/>
      </c>
      <c r="E900" s="2">
        <f>C900*D900</f>
        <v/>
      </c>
      <c r="F900" s="2">
        <f>C900*INDEX(Products!$D$2:$D$201,MATCH(B900,Products!$A$2:$A$201,0))</f>
        <v/>
      </c>
      <c r="G900" s="2">
        <f>E900-F900</f>
        <v/>
      </c>
    </row>
    <row r="901" ht="15" customHeight="1" s="1">
      <c r="A901" s="2" t="n">
        <v>50899</v>
      </c>
      <c r="B901" s="2" t="inlineStr">
        <is>
          <t>SKU-0140</t>
        </is>
      </c>
      <c r="C901" s="2" t="n">
        <v>9</v>
      </c>
      <c r="D901" s="2">
        <f>VLOOKUP(B901,Products!$A$2:$D$201,3,FALSE())</f>
        <v/>
      </c>
      <c r="E901" s="2">
        <f>C901*D901</f>
        <v/>
      </c>
      <c r="F901" s="2">
        <f>C901*INDEX(Products!$D$2:$D$201,MATCH(B901,Products!$A$2:$A$201,0))</f>
        <v/>
      </c>
      <c r="G901" s="2">
        <f>E901-F901</f>
        <v/>
      </c>
    </row>
    <row r="902" ht="15" customHeight="1" s="1">
      <c r="A902" s="2" t="n">
        <v>50900</v>
      </c>
      <c r="B902" s="2" t="inlineStr">
        <is>
          <t>SKU-0071</t>
        </is>
      </c>
      <c r="C902" s="2" t="n">
        <v>10</v>
      </c>
      <c r="D902" s="2">
        <f>VLOOKUP(B902,Products!$A$2:$D$201,3,FALSE())</f>
        <v/>
      </c>
      <c r="E902" s="2">
        <f>C902*D902</f>
        <v/>
      </c>
      <c r="F902" s="2">
        <f>C902*INDEX(Products!$D$2:$D$201,MATCH(B902,Products!$A$2:$A$201,0))</f>
        <v/>
      </c>
      <c r="G902" s="2">
        <f>E902-F902</f>
        <v/>
      </c>
    </row>
    <row r="903" ht="15" customHeight="1" s="1">
      <c r="A903" s="2" t="n">
        <v>50901</v>
      </c>
      <c r="B903" s="2" t="inlineStr">
        <is>
          <t>SKU-0058</t>
        </is>
      </c>
      <c r="C903" s="2" t="n">
        <v>8</v>
      </c>
      <c r="D903" s="2">
        <f>VLOOKUP(B903,Products!$A$2:$D$201,3,FALSE())</f>
        <v/>
      </c>
      <c r="E903" s="2">
        <f>C903*D903</f>
        <v/>
      </c>
      <c r="F903" s="2">
        <f>C903*INDEX(Products!$D$2:$D$201,MATCH(B903,Products!$A$2:$A$201,0))</f>
        <v/>
      </c>
      <c r="G903" s="2">
        <f>E903-F903</f>
        <v/>
      </c>
    </row>
    <row r="904" ht="15" customHeight="1" s="1">
      <c r="A904" s="2" t="n">
        <v>50902</v>
      </c>
      <c r="B904" s="2" t="inlineStr">
        <is>
          <t>SKU-0113</t>
        </is>
      </c>
      <c r="C904" s="2" t="n">
        <v>3</v>
      </c>
      <c r="D904" s="2">
        <f>VLOOKUP(B904,Products!$A$2:$D$201,3,FALSE())</f>
        <v/>
      </c>
      <c r="E904" s="2">
        <f>C904*D904</f>
        <v/>
      </c>
      <c r="F904" s="2">
        <f>C904*INDEX(Products!$D$2:$D$201,MATCH(B904,Products!$A$2:$A$201,0))</f>
        <v/>
      </c>
      <c r="G904" s="2">
        <f>E904-F904</f>
        <v/>
      </c>
    </row>
    <row r="905" ht="15" customHeight="1" s="1">
      <c r="A905" s="2" t="n">
        <v>50903</v>
      </c>
      <c r="B905" s="2" t="inlineStr">
        <is>
          <t>SKU-0145</t>
        </is>
      </c>
      <c r="C905" s="2" t="n">
        <v>16</v>
      </c>
      <c r="D905" s="2">
        <f>VLOOKUP(B905,Products!$A$2:$D$201,3,FALSE())</f>
        <v/>
      </c>
      <c r="E905" s="2">
        <f>C905*D905</f>
        <v/>
      </c>
      <c r="F905" s="2">
        <f>C905*INDEX(Products!$D$2:$D$201,MATCH(B905,Products!$A$2:$A$201,0))</f>
        <v/>
      </c>
      <c r="G905" s="2">
        <f>E905-F905</f>
        <v/>
      </c>
    </row>
    <row r="906" ht="15" customHeight="1" s="1">
      <c r="A906" s="2" t="n">
        <v>50904</v>
      </c>
      <c r="B906" s="2" t="inlineStr">
        <is>
          <t>SKU-0122</t>
        </is>
      </c>
      <c r="C906" s="2" t="n">
        <v>8</v>
      </c>
      <c r="D906" s="2">
        <f>VLOOKUP(B906,Products!$A$2:$D$201,3,FALSE())</f>
        <v/>
      </c>
      <c r="E906" s="2">
        <f>C906*D906</f>
        <v/>
      </c>
      <c r="F906" s="2">
        <f>C906*INDEX(Products!$D$2:$D$201,MATCH(B906,Products!$A$2:$A$201,0))</f>
        <v/>
      </c>
      <c r="G906" s="2">
        <f>E906-F906</f>
        <v/>
      </c>
    </row>
    <row r="907" ht="15" customHeight="1" s="1">
      <c r="A907" s="2" t="n">
        <v>50905</v>
      </c>
      <c r="B907" s="2" t="inlineStr">
        <is>
          <t>SKU-0084</t>
        </is>
      </c>
      <c r="C907" s="2" t="n">
        <v>14</v>
      </c>
      <c r="D907" s="2">
        <f>VLOOKUP(B907,Products!$A$2:$D$201,3,FALSE())</f>
        <v/>
      </c>
      <c r="E907" s="2">
        <f>C907*D907</f>
        <v/>
      </c>
      <c r="F907" s="2">
        <f>C907*INDEX(Products!$D$2:$D$201,MATCH(B907,Products!$A$2:$A$201,0))</f>
        <v/>
      </c>
      <c r="G907" s="2">
        <f>E907-F907</f>
        <v/>
      </c>
    </row>
    <row r="908" ht="15" customHeight="1" s="1">
      <c r="A908" s="2" t="n">
        <v>50906</v>
      </c>
      <c r="B908" s="2" t="inlineStr">
        <is>
          <t>SKU-0066</t>
        </is>
      </c>
      <c r="C908" s="2" t="n">
        <v>7</v>
      </c>
      <c r="D908" s="2">
        <f>VLOOKUP(B908,Products!$A$2:$D$201,3,FALSE())</f>
        <v/>
      </c>
      <c r="E908" s="2">
        <f>C908*D908</f>
        <v/>
      </c>
      <c r="F908" s="2">
        <f>C908*INDEX(Products!$D$2:$D$201,MATCH(B908,Products!$A$2:$A$201,0))</f>
        <v/>
      </c>
      <c r="G908" s="2">
        <f>E908-F908</f>
        <v/>
      </c>
    </row>
    <row r="909" ht="15" customHeight="1" s="1">
      <c r="A909" s="2" t="n">
        <v>50907</v>
      </c>
      <c r="B909" s="2" t="inlineStr">
        <is>
          <t>SKU-0093</t>
        </is>
      </c>
      <c r="C909" s="2" t="n">
        <v>14</v>
      </c>
      <c r="D909" s="2">
        <f>VLOOKUP(B909,Products!$A$2:$D$201,3,FALSE())</f>
        <v/>
      </c>
      <c r="E909" s="2">
        <f>C909*D909</f>
        <v/>
      </c>
      <c r="F909" s="2">
        <f>C909*INDEX(Products!$D$2:$D$201,MATCH(B909,Products!$A$2:$A$201,0))</f>
        <v/>
      </c>
      <c r="G909" s="2">
        <f>E909-F909</f>
        <v/>
      </c>
    </row>
    <row r="910" ht="15" customHeight="1" s="1">
      <c r="A910" s="2" t="n">
        <v>50908</v>
      </c>
      <c r="B910" s="2" t="inlineStr">
        <is>
          <t>SKU-0000</t>
        </is>
      </c>
      <c r="C910" s="2" t="n">
        <v>11</v>
      </c>
      <c r="D910" s="2">
        <f>VLOOKUP(B910,Products!$A$2:$D$201,3,FALSE())</f>
        <v/>
      </c>
      <c r="E910" s="2">
        <f>C910*D910</f>
        <v/>
      </c>
      <c r="F910" s="2">
        <f>C910*INDEX(Products!$D$2:$D$201,MATCH(B910,Products!$A$2:$A$201,0))</f>
        <v/>
      </c>
      <c r="G910" s="2">
        <f>E910-F910</f>
        <v/>
      </c>
    </row>
    <row r="911" ht="15" customHeight="1" s="1">
      <c r="A911" s="2" t="n">
        <v>50909</v>
      </c>
      <c r="B911" s="2" t="inlineStr">
        <is>
          <t>SKU-0030</t>
        </is>
      </c>
      <c r="C911" s="2" t="n">
        <v>5</v>
      </c>
      <c r="D911" s="2">
        <f>VLOOKUP(B911,Products!$A$2:$D$201,3,FALSE())</f>
        <v/>
      </c>
      <c r="E911" s="2">
        <f>C911*D911</f>
        <v/>
      </c>
      <c r="F911" s="2">
        <f>C911*INDEX(Products!$D$2:$D$201,MATCH(B911,Products!$A$2:$A$201,0))</f>
        <v/>
      </c>
      <c r="G911" s="2">
        <f>E911-F911</f>
        <v/>
      </c>
    </row>
    <row r="912" ht="15" customHeight="1" s="1">
      <c r="A912" s="2" t="n">
        <v>50910</v>
      </c>
      <c r="B912" s="2" t="inlineStr">
        <is>
          <t>SKU-0060</t>
        </is>
      </c>
      <c r="C912" s="2" t="n">
        <v>11</v>
      </c>
      <c r="D912" s="2">
        <f>VLOOKUP(B912,Products!$A$2:$D$201,3,FALSE())</f>
        <v/>
      </c>
      <c r="E912" s="2">
        <f>C912*D912</f>
        <v/>
      </c>
      <c r="F912" s="2">
        <f>C912*INDEX(Products!$D$2:$D$201,MATCH(B912,Products!$A$2:$A$201,0))</f>
        <v/>
      </c>
      <c r="G912" s="2">
        <f>E912-F912</f>
        <v/>
      </c>
    </row>
    <row r="913" ht="15" customHeight="1" s="1">
      <c r="A913" s="2" t="n">
        <v>50911</v>
      </c>
      <c r="B913" s="2" t="inlineStr">
        <is>
          <t>SKU-0073</t>
        </is>
      </c>
      <c r="C913" s="2" t="n">
        <v>8</v>
      </c>
      <c r="D913" s="2">
        <f>VLOOKUP(B913,Products!$A$2:$D$201,3,FALSE())</f>
        <v/>
      </c>
      <c r="E913" s="2">
        <f>C913*D913</f>
        <v/>
      </c>
      <c r="F913" s="2">
        <f>C913*INDEX(Products!$D$2:$D$201,MATCH(B913,Products!$A$2:$A$201,0))</f>
        <v/>
      </c>
      <c r="G913" s="2">
        <f>E913-F913</f>
        <v/>
      </c>
    </row>
    <row r="914" ht="15" customHeight="1" s="1">
      <c r="A914" s="2" t="n">
        <v>50912</v>
      </c>
      <c r="B914" s="2" t="inlineStr">
        <is>
          <t>SKU-0090</t>
        </is>
      </c>
      <c r="C914" s="2" t="n">
        <v>8</v>
      </c>
      <c r="D914" s="2">
        <f>VLOOKUP(B914,Products!$A$2:$D$201,3,FALSE())</f>
        <v/>
      </c>
      <c r="E914" s="2">
        <f>C914*D914</f>
        <v/>
      </c>
      <c r="F914" s="2">
        <f>C914*INDEX(Products!$D$2:$D$201,MATCH(B914,Products!$A$2:$A$201,0))</f>
        <v/>
      </c>
      <c r="G914" s="2">
        <f>E914-F914</f>
        <v/>
      </c>
    </row>
    <row r="915" ht="15" customHeight="1" s="1">
      <c r="A915" s="2" t="n">
        <v>50913</v>
      </c>
      <c r="B915" s="2" t="inlineStr">
        <is>
          <t>SKU-0075</t>
        </is>
      </c>
      <c r="C915" s="2" t="n">
        <v>4</v>
      </c>
      <c r="D915" s="2">
        <f>VLOOKUP(B915,Products!$A$2:$D$201,3,FALSE())</f>
        <v/>
      </c>
      <c r="E915" s="2">
        <f>C915*D915</f>
        <v/>
      </c>
      <c r="F915" s="2">
        <f>C915*INDEX(Products!$D$2:$D$201,MATCH(B915,Products!$A$2:$A$201,0))</f>
        <v/>
      </c>
      <c r="G915" s="2">
        <f>E915-F915</f>
        <v/>
      </c>
    </row>
    <row r="916" ht="15" customHeight="1" s="1">
      <c r="A916" s="2" t="n">
        <v>50914</v>
      </c>
      <c r="B916" s="2" t="inlineStr">
        <is>
          <t>SKU-0161</t>
        </is>
      </c>
      <c r="C916" s="2" t="n">
        <v>18</v>
      </c>
      <c r="D916" s="2">
        <f>VLOOKUP(B916,Products!$A$2:$D$201,3,FALSE())</f>
        <v/>
      </c>
      <c r="E916" s="2">
        <f>C916*D916</f>
        <v/>
      </c>
      <c r="F916" s="2">
        <f>C916*INDEX(Products!$D$2:$D$201,MATCH(B916,Products!$A$2:$A$201,0))</f>
        <v/>
      </c>
      <c r="G916" s="2">
        <f>E916-F916</f>
        <v/>
      </c>
    </row>
    <row r="917" ht="15" customHeight="1" s="1">
      <c r="A917" s="2" t="n">
        <v>50915</v>
      </c>
      <c r="B917" s="2" t="inlineStr">
        <is>
          <t>SKU-0122</t>
        </is>
      </c>
      <c r="C917" s="2" t="n">
        <v>9</v>
      </c>
      <c r="D917" s="2">
        <f>VLOOKUP(B917,Products!$A$2:$D$201,3,FALSE())</f>
        <v/>
      </c>
      <c r="E917" s="2">
        <f>C917*D917</f>
        <v/>
      </c>
      <c r="F917" s="2">
        <f>C917*INDEX(Products!$D$2:$D$201,MATCH(B917,Products!$A$2:$A$201,0))</f>
        <v/>
      </c>
      <c r="G917" s="2">
        <f>E917-F917</f>
        <v/>
      </c>
    </row>
    <row r="918" ht="15" customHeight="1" s="1">
      <c r="A918" s="2" t="n">
        <v>50916</v>
      </c>
      <c r="B918" s="2" t="inlineStr">
        <is>
          <t>SKU-0030</t>
        </is>
      </c>
      <c r="C918" s="2" t="n">
        <v>18</v>
      </c>
      <c r="D918" s="2">
        <f>VLOOKUP(B918,Products!$A$2:$D$201,3,FALSE())</f>
        <v/>
      </c>
      <c r="E918" s="2">
        <f>C918*D918</f>
        <v/>
      </c>
      <c r="F918" s="2">
        <f>C918*INDEX(Products!$D$2:$D$201,MATCH(B918,Products!$A$2:$A$201,0))</f>
        <v/>
      </c>
      <c r="G918" s="2">
        <f>E918-F918</f>
        <v/>
      </c>
    </row>
    <row r="919" ht="15" customHeight="1" s="1">
      <c r="A919" s="2" t="n">
        <v>50917</v>
      </c>
      <c r="B919" s="2" t="inlineStr">
        <is>
          <t>SKU-0134</t>
        </is>
      </c>
      <c r="C919" s="2" t="n">
        <v>9</v>
      </c>
      <c r="D919" s="2">
        <f>VLOOKUP(B919,Products!$A$2:$D$201,3,FALSE())</f>
        <v/>
      </c>
      <c r="E919" s="2">
        <f>C919*D919</f>
        <v/>
      </c>
      <c r="F919" s="2">
        <f>C919*INDEX(Products!$D$2:$D$201,MATCH(B919,Products!$A$2:$A$201,0))</f>
        <v/>
      </c>
      <c r="G919" s="2">
        <f>E919-F919</f>
        <v/>
      </c>
    </row>
    <row r="920" ht="15" customHeight="1" s="1">
      <c r="A920" s="2" t="n">
        <v>50918</v>
      </c>
      <c r="B920" s="2" t="inlineStr">
        <is>
          <t>SKU-0011</t>
        </is>
      </c>
      <c r="C920" s="2" t="n">
        <v>5</v>
      </c>
      <c r="D920" s="2">
        <f>VLOOKUP(B920,Products!$A$2:$D$201,3,FALSE())</f>
        <v/>
      </c>
      <c r="E920" s="2">
        <f>C920*D920</f>
        <v/>
      </c>
      <c r="F920" s="2">
        <f>C920*INDEX(Products!$D$2:$D$201,MATCH(B920,Products!$A$2:$A$201,0))</f>
        <v/>
      </c>
      <c r="G920" s="2">
        <f>E920-F920</f>
        <v/>
      </c>
    </row>
    <row r="921" ht="15" customHeight="1" s="1">
      <c r="A921" s="2" t="n">
        <v>50919</v>
      </c>
      <c r="B921" s="2" t="inlineStr">
        <is>
          <t>SKU-0170</t>
        </is>
      </c>
      <c r="C921" s="2" t="n">
        <v>4</v>
      </c>
      <c r="D921" s="2">
        <f>VLOOKUP(B921,Products!$A$2:$D$201,3,FALSE())</f>
        <v/>
      </c>
      <c r="E921" s="2">
        <f>C921*D921</f>
        <v/>
      </c>
      <c r="F921" s="2">
        <f>C921*INDEX(Products!$D$2:$D$201,MATCH(B921,Products!$A$2:$A$201,0))</f>
        <v/>
      </c>
      <c r="G921" s="2">
        <f>E921-F921</f>
        <v/>
      </c>
    </row>
    <row r="922" ht="15" customHeight="1" s="1">
      <c r="A922" s="2" t="n">
        <v>50920</v>
      </c>
      <c r="B922" s="2" t="inlineStr">
        <is>
          <t>SKU-0025</t>
        </is>
      </c>
      <c r="C922" s="2" t="n">
        <v>15</v>
      </c>
      <c r="D922" s="2">
        <f>VLOOKUP(B922,Products!$A$2:$D$201,3,FALSE())</f>
        <v/>
      </c>
      <c r="E922" s="2">
        <f>C922*D922</f>
        <v/>
      </c>
      <c r="F922" s="2">
        <f>C922*INDEX(Products!$D$2:$D$201,MATCH(B922,Products!$A$2:$A$201,0))</f>
        <v/>
      </c>
      <c r="G922" s="2">
        <f>E922-F922</f>
        <v/>
      </c>
    </row>
    <row r="923" ht="15" customHeight="1" s="1">
      <c r="A923" s="2" t="n">
        <v>50921</v>
      </c>
      <c r="B923" s="2" t="inlineStr">
        <is>
          <t>SKU-0076</t>
        </is>
      </c>
      <c r="C923" s="2" t="n">
        <v>5</v>
      </c>
      <c r="D923" s="2">
        <f>VLOOKUP(B923,Products!$A$2:$D$201,3,FALSE())</f>
        <v/>
      </c>
      <c r="E923" s="2">
        <f>C923*D923</f>
        <v/>
      </c>
      <c r="F923" s="2">
        <f>C923*INDEX(Products!$D$2:$D$201,MATCH(B923,Products!$A$2:$A$201,0))</f>
        <v/>
      </c>
      <c r="G923" s="2">
        <f>E923-F923</f>
        <v/>
      </c>
    </row>
    <row r="924" ht="15" customHeight="1" s="1">
      <c r="A924" s="2" t="n">
        <v>50922</v>
      </c>
      <c r="B924" s="2" t="inlineStr">
        <is>
          <t>SKU-0138</t>
        </is>
      </c>
      <c r="C924" s="2" t="n">
        <v>8</v>
      </c>
      <c r="D924" s="2">
        <f>VLOOKUP(B924,Products!$A$2:$D$201,3,FALSE())</f>
        <v/>
      </c>
      <c r="E924" s="2">
        <f>C924*D924</f>
        <v/>
      </c>
      <c r="F924" s="2">
        <f>C924*INDEX(Products!$D$2:$D$201,MATCH(B924,Products!$A$2:$A$201,0))</f>
        <v/>
      </c>
      <c r="G924" s="2">
        <f>E924-F924</f>
        <v/>
      </c>
    </row>
    <row r="925" ht="15" customHeight="1" s="1">
      <c r="A925" s="2" t="n">
        <v>50923</v>
      </c>
      <c r="B925" s="2" t="inlineStr">
        <is>
          <t>SKU-0081</t>
        </is>
      </c>
      <c r="C925" s="2" t="n">
        <v>11</v>
      </c>
      <c r="D925" s="2">
        <f>VLOOKUP(B925,Products!$A$2:$D$201,3,FALSE())</f>
        <v/>
      </c>
      <c r="E925" s="2">
        <f>C925*D925</f>
        <v/>
      </c>
      <c r="F925" s="2">
        <f>C925*INDEX(Products!$D$2:$D$201,MATCH(B925,Products!$A$2:$A$201,0))</f>
        <v/>
      </c>
      <c r="G925" s="2">
        <f>E925-F925</f>
        <v/>
      </c>
    </row>
    <row r="926" ht="15" customHeight="1" s="1">
      <c r="A926" s="2" t="n">
        <v>50924</v>
      </c>
      <c r="B926" s="2" t="inlineStr">
        <is>
          <t>SKU-0047</t>
        </is>
      </c>
      <c r="C926" s="2" t="n">
        <v>2</v>
      </c>
      <c r="D926" s="2">
        <f>VLOOKUP(B926,Products!$A$2:$D$201,3,FALSE())</f>
        <v/>
      </c>
      <c r="E926" s="2">
        <f>C926*D926</f>
        <v/>
      </c>
      <c r="F926" s="2">
        <f>C926*INDEX(Products!$D$2:$D$201,MATCH(B926,Products!$A$2:$A$201,0))</f>
        <v/>
      </c>
      <c r="G926" s="2">
        <f>E926-F926</f>
        <v/>
      </c>
    </row>
    <row r="927" ht="15" customHeight="1" s="1">
      <c r="A927" s="2" t="n">
        <v>50925</v>
      </c>
      <c r="B927" s="2" t="inlineStr">
        <is>
          <t>SKU-0110</t>
        </is>
      </c>
      <c r="C927" s="2" t="n">
        <v>14</v>
      </c>
      <c r="D927" s="2">
        <f>VLOOKUP(B927,Products!$A$2:$D$201,3,FALSE())</f>
        <v/>
      </c>
      <c r="E927" s="2">
        <f>C927*D927</f>
        <v/>
      </c>
      <c r="F927" s="2">
        <f>C927*INDEX(Products!$D$2:$D$201,MATCH(B927,Products!$A$2:$A$201,0))</f>
        <v/>
      </c>
      <c r="G927" s="2">
        <f>E927-F927</f>
        <v/>
      </c>
    </row>
    <row r="928" ht="15" customHeight="1" s="1">
      <c r="A928" s="2" t="n">
        <v>50926</v>
      </c>
      <c r="B928" s="2" t="inlineStr">
        <is>
          <t>SKU-0098</t>
        </is>
      </c>
      <c r="C928" s="2" t="n">
        <v>1</v>
      </c>
      <c r="D928" s="2">
        <f>VLOOKUP(B928,Products!$A$2:$D$201,3,FALSE())</f>
        <v/>
      </c>
      <c r="E928" s="2">
        <f>C928*D928</f>
        <v/>
      </c>
      <c r="F928" s="2">
        <f>C928*INDEX(Products!$D$2:$D$201,MATCH(B928,Products!$A$2:$A$201,0))</f>
        <v/>
      </c>
      <c r="G928" s="2">
        <f>E928-F928</f>
        <v/>
      </c>
    </row>
    <row r="929" ht="15" customHeight="1" s="1">
      <c r="A929" s="2" t="n">
        <v>50927</v>
      </c>
      <c r="B929" s="2" t="inlineStr">
        <is>
          <t>SKU-0029</t>
        </is>
      </c>
      <c r="C929" s="2" t="n">
        <v>9</v>
      </c>
      <c r="D929" s="2">
        <f>VLOOKUP(B929,Products!$A$2:$D$201,3,FALSE())</f>
        <v/>
      </c>
      <c r="E929" s="2">
        <f>C929*D929</f>
        <v/>
      </c>
      <c r="F929" s="2">
        <f>C929*INDEX(Products!$D$2:$D$201,MATCH(B929,Products!$A$2:$A$201,0))</f>
        <v/>
      </c>
      <c r="G929" s="2">
        <f>E929-F929</f>
        <v/>
      </c>
    </row>
    <row r="930" ht="15" customHeight="1" s="1">
      <c r="A930" s="2" t="n">
        <v>50928</v>
      </c>
      <c r="B930" s="2" t="inlineStr">
        <is>
          <t>SKU-0134</t>
        </is>
      </c>
      <c r="C930" s="2" t="n">
        <v>13</v>
      </c>
      <c r="D930" s="2">
        <f>VLOOKUP(B930,Products!$A$2:$D$201,3,FALSE())</f>
        <v/>
      </c>
      <c r="E930" s="2">
        <f>C930*D930</f>
        <v/>
      </c>
      <c r="F930" s="2">
        <f>C930*INDEX(Products!$D$2:$D$201,MATCH(B930,Products!$A$2:$A$201,0))</f>
        <v/>
      </c>
      <c r="G930" s="2">
        <f>E930-F930</f>
        <v/>
      </c>
    </row>
    <row r="931" ht="15" customHeight="1" s="1">
      <c r="A931" s="2" t="n">
        <v>50929</v>
      </c>
      <c r="B931" s="2" t="inlineStr">
        <is>
          <t>SKU-0188</t>
        </is>
      </c>
      <c r="C931" s="2" t="n">
        <v>3</v>
      </c>
      <c r="D931" s="2">
        <f>VLOOKUP(B931,Products!$A$2:$D$201,3,FALSE())</f>
        <v/>
      </c>
      <c r="E931" s="2">
        <f>C931*D931</f>
        <v/>
      </c>
      <c r="F931" s="2">
        <f>C931*INDEX(Products!$D$2:$D$201,MATCH(B931,Products!$A$2:$A$201,0))</f>
        <v/>
      </c>
      <c r="G931" s="2">
        <f>E931-F931</f>
        <v/>
      </c>
    </row>
    <row r="932" ht="15" customHeight="1" s="1">
      <c r="A932" s="2" t="n">
        <v>50930</v>
      </c>
      <c r="B932" s="2" t="inlineStr">
        <is>
          <t>SKU-0024</t>
        </is>
      </c>
      <c r="C932" s="2" t="n">
        <v>1</v>
      </c>
      <c r="D932" s="2">
        <f>VLOOKUP(B932,Products!$A$2:$D$201,3,FALSE())</f>
        <v/>
      </c>
      <c r="E932" s="2">
        <f>C932*D932</f>
        <v/>
      </c>
      <c r="F932" s="2">
        <f>C932*INDEX(Products!$D$2:$D$201,MATCH(B932,Products!$A$2:$A$201,0))</f>
        <v/>
      </c>
      <c r="G932" s="2">
        <f>E932-F932</f>
        <v/>
      </c>
    </row>
    <row r="933" ht="15" customHeight="1" s="1">
      <c r="A933" s="2" t="n">
        <v>50931</v>
      </c>
      <c r="B933" s="2" t="inlineStr">
        <is>
          <t>SKU-0080</t>
        </is>
      </c>
      <c r="C933" s="2" t="n">
        <v>10</v>
      </c>
      <c r="D933" s="2">
        <f>VLOOKUP(B933,Products!$A$2:$D$201,3,FALSE())</f>
        <v/>
      </c>
      <c r="E933" s="2">
        <f>C933*D933</f>
        <v/>
      </c>
      <c r="F933" s="2">
        <f>C933*INDEX(Products!$D$2:$D$201,MATCH(B933,Products!$A$2:$A$201,0))</f>
        <v/>
      </c>
      <c r="G933" s="2">
        <f>E933-F933</f>
        <v/>
      </c>
    </row>
    <row r="934" ht="15" customHeight="1" s="1">
      <c r="A934" s="2" t="n">
        <v>50932</v>
      </c>
      <c r="B934" s="2" t="inlineStr">
        <is>
          <t>SKU-0143</t>
        </is>
      </c>
      <c r="C934" s="2" t="n">
        <v>15</v>
      </c>
      <c r="D934" s="2">
        <f>VLOOKUP(B934,Products!$A$2:$D$201,3,FALSE())</f>
        <v/>
      </c>
      <c r="E934" s="2">
        <f>C934*D934</f>
        <v/>
      </c>
      <c r="F934" s="2">
        <f>C934*INDEX(Products!$D$2:$D$201,MATCH(B934,Products!$A$2:$A$201,0))</f>
        <v/>
      </c>
      <c r="G934" s="2">
        <f>E934-F934</f>
        <v/>
      </c>
    </row>
    <row r="935" ht="15" customHeight="1" s="1">
      <c r="A935" s="2" t="n">
        <v>50933</v>
      </c>
      <c r="B935" s="2" t="inlineStr">
        <is>
          <t>SKU-0035</t>
        </is>
      </c>
      <c r="C935" s="2" t="n">
        <v>5</v>
      </c>
      <c r="D935" s="2">
        <f>VLOOKUP(B935,Products!$A$2:$D$201,3,FALSE())</f>
        <v/>
      </c>
      <c r="E935" s="2">
        <f>C935*D935</f>
        <v/>
      </c>
      <c r="F935" s="2">
        <f>C935*INDEX(Products!$D$2:$D$201,MATCH(B935,Products!$A$2:$A$201,0))</f>
        <v/>
      </c>
      <c r="G935" s="2">
        <f>E935-F935</f>
        <v/>
      </c>
    </row>
    <row r="936" ht="15" customHeight="1" s="1">
      <c r="A936" s="2" t="n">
        <v>50934</v>
      </c>
      <c r="B936" s="2" t="inlineStr">
        <is>
          <t>SKU-0093</t>
        </is>
      </c>
      <c r="C936" s="2" t="n">
        <v>18</v>
      </c>
      <c r="D936" s="2">
        <f>VLOOKUP(B936,Products!$A$2:$D$201,3,FALSE())</f>
        <v/>
      </c>
      <c r="E936" s="2">
        <f>C936*D936</f>
        <v/>
      </c>
      <c r="F936" s="2">
        <f>C936*INDEX(Products!$D$2:$D$201,MATCH(B936,Products!$A$2:$A$201,0))</f>
        <v/>
      </c>
      <c r="G936" s="2">
        <f>E936-F936</f>
        <v/>
      </c>
    </row>
    <row r="937" ht="15" customHeight="1" s="1">
      <c r="A937" s="2" t="n">
        <v>50935</v>
      </c>
      <c r="B937" s="2" t="inlineStr">
        <is>
          <t>SKU-0077</t>
        </is>
      </c>
      <c r="C937" s="2" t="n">
        <v>9</v>
      </c>
      <c r="D937" s="2">
        <f>VLOOKUP(B937,Products!$A$2:$D$201,3,FALSE())</f>
        <v/>
      </c>
      <c r="E937" s="2">
        <f>C937*D937</f>
        <v/>
      </c>
      <c r="F937" s="2">
        <f>C937*INDEX(Products!$D$2:$D$201,MATCH(B937,Products!$A$2:$A$201,0))</f>
        <v/>
      </c>
      <c r="G937" s="2">
        <f>E937-F937</f>
        <v/>
      </c>
    </row>
    <row r="938" ht="15" customHeight="1" s="1">
      <c r="A938" s="2" t="n">
        <v>50936</v>
      </c>
      <c r="B938" s="2" t="inlineStr">
        <is>
          <t>SKU-0021</t>
        </is>
      </c>
      <c r="C938" s="2" t="n">
        <v>14</v>
      </c>
      <c r="D938" s="2">
        <f>VLOOKUP(B938,Products!$A$2:$D$201,3,FALSE())</f>
        <v/>
      </c>
      <c r="E938" s="2">
        <f>C938*D938</f>
        <v/>
      </c>
      <c r="F938" s="2">
        <f>C938*INDEX(Products!$D$2:$D$201,MATCH(B938,Products!$A$2:$A$201,0))</f>
        <v/>
      </c>
      <c r="G938" s="2">
        <f>E938-F938</f>
        <v/>
      </c>
    </row>
    <row r="939" ht="15" customHeight="1" s="1">
      <c r="A939" s="2" t="n">
        <v>50937</v>
      </c>
      <c r="B939" s="2" t="inlineStr">
        <is>
          <t>SKU-0109</t>
        </is>
      </c>
      <c r="C939" s="2" t="n">
        <v>17</v>
      </c>
      <c r="D939" s="2">
        <f>VLOOKUP(B939,Products!$A$2:$D$201,3,FALSE())</f>
        <v/>
      </c>
      <c r="E939" s="2">
        <f>C939*D939</f>
        <v/>
      </c>
      <c r="F939" s="2">
        <f>C939*INDEX(Products!$D$2:$D$201,MATCH(B939,Products!$A$2:$A$201,0))</f>
        <v/>
      </c>
      <c r="G939" s="2">
        <f>E939-F939</f>
        <v/>
      </c>
    </row>
    <row r="940" ht="15" customHeight="1" s="1">
      <c r="A940" s="2" t="n">
        <v>50938</v>
      </c>
      <c r="B940" s="2" t="inlineStr">
        <is>
          <t>SKU-0001</t>
        </is>
      </c>
      <c r="C940" s="2" t="n">
        <v>15</v>
      </c>
      <c r="D940" s="2">
        <f>VLOOKUP(B940,Products!$A$2:$D$201,3,FALSE())</f>
        <v/>
      </c>
      <c r="E940" s="2">
        <f>C940*D940</f>
        <v/>
      </c>
      <c r="F940" s="2">
        <f>C940*INDEX(Products!$D$2:$D$201,MATCH(B940,Products!$A$2:$A$201,0))</f>
        <v/>
      </c>
      <c r="G940" s="2">
        <f>E940-F940</f>
        <v/>
      </c>
    </row>
    <row r="941" ht="15" customHeight="1" s="1">
      <c r="A941" s="2" t="n">
        <v>50939</v>
      </c>
      <c r="B941" s="2" t="inlineStr">
        <is>
          <t>SKU-0122</t>
        </is>
      </c>
      <c r="C941" s="2" t="n">
        <v>10</v>
      </c>
      <c r="D941" s="2">
        <f>VLOOKUP(B941,Products!$A$2:$D$201,3,FALSE())</f>
        <v/>
      </c>
      <c r="E941" s="2">
        <f>C941*D941</f>
        <v/>
      </c>
      <c r="F941" s="2">
        <f>C941*INDEX(Products!$D$2:$D$201,MATCH(B941,Products!$A$2:$A$201,0))</f>
        <v/>
      </c>
      <c r="G941" s="2">
        <f>E941-F941</f>
        <v/>
      </c>
    </row>
    <row r="942" ht="15" customHeight="1" s="1">
      <c r="A942" s="2" t="n">
        <v>50940</v>
      </c>
      <c r="B942" s="2" t="inlineStr">
        <is>
          <t>SKU-0189</t>
        </is>
      </c>
      <c r="C942" s="2" t="n">
        <v>16</v>
      </c>
      <c r="D942" s="2">
        <f>VLOOKUP(B942,Products!$A$2:$D$201,3,FALSE())</f>
        <v/>
      </c>
      <c r="E942" s="2">
        <f>C942*D942</f>
        <v/>
      </c>
      <c r="F942" s="2">
        <f>C942*INDEX(Products!$D$2:$D$201,MATCH(B942,Products!$A$2:$A$201,0))</f>
        <v/>
      </c>
      <c r="G942" s="2">
        <f>E942-F942</f>
        <v/>
      </c>
    </row>
    <row r="943" ht="15" customHeight="1" s="1">
      <c r="A943" s="2" t="n">
        <v>50941</v>
      </c>
      <c r="B943" s="2" t="inlineStr">
        <is>
          <t>SKU-0025</t>
        </is>
      </c>
      <c r="C943" s="2" t="n">
        <v>10</v>
      </c>
      <c r="D943" s="2">
        <f>VLOOKUP(B943,Products!$A$2:$D$201,3,FALSE())</f>
        <v/>
      </c>
      <c r="E943" s="2">
        <f>C943*D943</f>
        <v/>
      </c>
      <c r="F943" s="2">
        <f>C943*INDEX(Products!$D$2:$D$201,MATCH(B943,Products!$A$2:$A$201,0))</f>
        <v/>
      </c>
      <c r="G943" s="2">
        <f>E943-F943</f>
        <v/>
      </c>
    </row>
    <row r="944" ht="15" customHeight="1" s="1">
      <c r="A944" s="2" t="n">
        <v>50942</v>
      </c>
      <c r="B944" s="2" t="inlineStr">
        <is>
          <t>SKU-0133</t>
        </is>
      </c>
      <c r="C944" s="2" t="n">
        <v>3</v>
      </c>
      <c r="D944" s="2">
        <f>VLOOKUP(B944,Products!$A$2:$D$201,3,FALSE())</f>
        <v/>
      </c>
      <c r="E944" s="2">
        <f>C944*D944</f>
        <v/>
      </c>
      <c r="F944" s="2">
        <f>C944*INDEX(Products!$D$2:$D$201,MATCH(B944,Products!$A$2:$A$201,0))</f>
        <v/>
      </c>
      <c r="G944" s="2">
        <f>E944-F944</f>
        <v/>
      </c>
    </row>
    <row r="945" ht="15" customHeight="1" s="1">
      <c r="A945" s="2" t="n">
        <v>50943</v>
      </c>
      <c r="B945" s="2" t="inlineStr">
        <is>
          <t>SKU-0062</t>
        </is>
      </c>
      <c r="C945" s="2" t="n">
        <v>14</v>
      </c>
      <c r="D945" s="2">
        <f>VLOOKUP(B945,Products!$A$2:$D$201,3,FALSE())</f>
        <v/>
      </c>
      <c r="E945" s="2">
        <f>C945*D945</f>
        <v/>
      </c>
      <c r="F945" s="2">
        <f>C945*INDEX(Products!$D$2:$D$201,MATCH(B945,Products!$A$2:$A$201,0))</f>
        <v/>
      </c>
      <c r="G945" s="2">
        <f>E945-F945</f>
        <v/>
      </c>
    </row>
    <row r="946" ht="15" customHeight="1" s="1">
      <c r="A946" s="2" t="n">
        <v>50944</v>
      </c>
      <c r="B946" s="2" t="inlineStr">
        <is>
          <t>SKU-0028</t>
        </is>
      </c>
      <c r="C946" s="2" t="n">
        <v>4</v>
      </c>
      <c r="D946" s="2">
        <f>VLOOKUP(B946,Products!$A$2:$D$201,3,FALSE())</f>
        <v/>
      </c>
      <c r="E946" s="2">
        <f>C946*D946</f>
        <v/>
      </c>
      <c r="F946" s="2">
        <f>C946*INDEX(Products!$D$2:$D$201,MATCH(B946,Products!$A$2:$A$201,0))</f>
        <v/>
      </c>
      <c r="G946" s="2">
        <f>E946-F946</f>
        <v/>
      </c>
    </row>
    <row r="947" ht="15" customHeight="1" s="1">
      <c r="A947" s="2" t="n">
        <v>50945</v>
      </c>
      <c r="B947" s="2" t="inlineStr">
        <is>
          <t>SKU-0149</t>
        </is>
      </c>
      <c r="C947" s="2" t="n">
        <v>8</v>
      </c>
      <c r="D947" s="2">
        <f>VLOOKUP(B947,Products!$A$2:$D$201,3,FALSE())</f>
        <v/>
      </c>
      <c r="E947" s="2">
        <f>C947*D947</f>
        <v/>
      </c>
      <c r="F947" s="2">
        <f>C947*INDEX(Products!$D$2:$D$201,MATCH(B947,Products!$A$2:$A$201,0))</f>
        <v/>
      </c>
      <c r="G947" s="2">
        <f>E947-F947</f>
        <v/>
      </c>
    </row>
    <row r="948" ht="15" customHeight="1" s="1">
      <c r="A948" s="2" t="n">
        <v>50946</v>
      </c>
      <c r="B948" s="2" t="inlineStr">
        <is>
          <t>SKU-0164</t>
        </is>
      </c>
      <c r="C948" s="2" t="n">
        <v>17</v>
      </c>
      <c r="D948" s="2">
        <f>VLOOKUP(B948,Products!$A$2:$D$201,3,FALSE())</f>
        <v/>
      </c>
      <c r="E948" s="2">
        <f>C948*D948</f>
        <v/>
      </c>
      <c r="F948" s="2">
        <f>C948*INDEX(Products!$D$2:$D$201,MATCH(B948,Products!$A$2:$A$201,0))</f>
        <v/>
      </c>
      <c r="G948" s="2">
        <f>E948-F948</f>
        <v/>
      </c>
    </row>
    <row r="949" ht="15" customHeight="1" s="1">
      <c r="A949" s="2" t="n">
        <v>50947</v>
      </c>
      <c r="B949" s="2" t="inlineStr">
        <is>
          <t>SKU-0159</t>
        </is>
      </c>
      <c r="C949" s="2" t="n">
        <v>13</v>
      </c>
      <c r="D949" s="2">
        <f>VLOOKUP(B949,Products!$A$2:$D$201,3,FALSE())</f>
        <v/>
      </c>
      <c r="E949" s="2">
        <f>C949*D949</f>
        <v/>
      </c>
      <c r="F949" s="2">
        <f>C949*INDEX(Products!$D$2:$D$201,MATCH(B949,Products!$A$2:$A$201,0))</f>
        <v/>
      </c>
      <c r="G949" s="2">
        <f>E949-F949</f>
        <v/>
      </c>
    </row>
    <row r="950" ht="15" customHeight="1" s="1">
      <c r="A950" s="2" t="n">
        <v>50948</v>
      </c>
      <c r="B950" s="2" t="inlineStr">
        <is>
          <t>SKU-0134</t>
        </is>
      </c>
      <c r="C950" s="2" t="n">
        <v>7</v>
      </c>
      <c r="D950" s="2">
        <f>VLOOKUP(B950,Products!$A$2:$D$201,3,FALSE())</f>
        <v/>
      </c>
      <c r="E950" s="2">
        <f>C950*D950</f>
        <v/>
      </c>
      <c r="F950" s="2">
        <f>C950*INDEX(Products!$D$2:$D$201,MATCH(B950,Products!$A$2:$A$201,0))</f>
        <v/>
      </c>
      <c r="G950" s="2">
        <f>E950-F950</f>
        <v/>
      </c>
    </row>
    <row r="951" ht="15" customHeight="1" s="1">
      <c r="A951" s="2" t="n">
        <v>50949</v>
      </c>
      <c r="B951" s="2" t="inlineStr">
        <is>
          <t>SKU-0172</t>
        </is>
      </c>
      <c r="C951" s="2" t="n">
        <v>16</v>
      </c>
      <c r="D951" s="2">
        <f>VLOOKUP(B951,Products!$A$2:$D$201,3,FALSE())</f>
        <v/>
      </c>
      <c r="E951" s="2">
        <f>C951*D951</f>
        <v/>
      </c>
      <c r="F951" s="2">
        <f>C951*INDEX(Products!$D$2:$D$201,MATCH(B951,Products!$A$2:$A$201,0))</f>
        <v/>
      </c>
      <c r="G951" s="2">
        <f>E951-F951</f>
        <v/>
      </c>
    </row>
    <row r="952" ht="15" customHeight="1" s="1">
      <c r="A952" s="2" t="n">
        <v>50950</v>
      </c>
      <c r="B952" s="2" t="inlineStr">
        <is>
          <t>SKU-0133</t>
        </is>
      </c>
      <c r="C952" s="2" t="n">
        <v>17</v>
      </c>
      <c r="D952" s="2">
        <f>VLOOKUP(B952,Products!$A$2:$D$201,3,FALSE())</f>
        <v/>
      </c>
      <c r="E952" s="2">
        <f>C952*D952</f>
        <v/>
      </c>
      <c r="F952" s="2">
        <f>C952*INDEX(Products!$D$2:$D$201,MATCH(B952,Products!$A$2:$A$201,0))</f>
        <v/>
      </c>
      <c r="G952" s="2">
        <f>E952-F952</f>
        <v/>
      </c>
    </row>
    <row r="953" ht="15" customHeight="1" s="1">
      <c r="A953" s="2" t="n">
        <v>50951</v>
      </c>
      <c r="B953" s="2" t="inlineStr">
        <is>
          <t>SKU-0093</t>
        </is>
      </c>
      <c r="C953" s="2" t="n">
        <v>7</v>
      </c>
      <c r="D953" s="2">
        <f>VLOOKUP(B953,Products!$A$2:$D$201,3,FALSE())</f>
        <v/>
      </c>
      <c r="E953" s="2">
        <f>C953*D953</f>
        <v/>
      </c>
      <c r="F953" s="2">
        <f>C953*INDEX(Products!$D$2:$D$201,MATCH(B953,Products!$A$2:$A$201,0))</f>
        <v/>
      </c>
      <c r="G953" s="2">
        <f>E953-F953</f>
        <v/>
      </c>
    </row>
    <row r="954" ht="15" customHeight="1" s="1">
      <c r="A954" s="2" t="n">
        <v>50952</v>
      </c>
      <c r="B954" s="2" t="inlineStr">
        <is>
          <t>SKU-0037</t>
        </is>
      </c>
      <c r="C954" s="2" t="n">
        <v>1</v>
      </c>
      <c r="D954" s="2">
        <f>VLOOKUP(B954,Products!$A$2:$D$201,3,FALSE())</f>
        <v/>
      </c>
      <c r="E954" s="2">
        <f>C954*D954</f>
        <v/>
      </c>
      <c r="F954" s="2">
        <f>C954*INDEX(Products!$D$2:$D$201,MATCH(B954,Products!$A$2:$A$201,0))</f>
        <v/>
      </c>
      <c r="G954" s="2">
        <f>E954-F954</f>
        <v/>
      </c>
    </row>
    <row r="955" ht="15" customHeight="1" s="1">
      <c r="A955" s="2" t="n">
        <v>50953</v>
      </c>
      <c r="B955" s="2" t="inlineStr">
        <is>
          <t>SKU-0006</t>
        </is>
      </c>
      <c r="C955" s="2" t="n">
        <v>4</v>
      </c>
      <c r="D955" s="2">
        <f>VLOOKUP(B955,Products!$A$2:$D$201,3,FALSE())</f>
        <v/>
      </c>
      <c r="E955" s="2">
        <f>C955*D955</f>
        <v/>
      </c>
      <c r="F955" s="2">
        <f>C955*INDEX(Products!$D$2:$D$201,MATCH(B955,Products!$A$2:$A$201,0))</f>
        <v/>
      </c>
      <c r="G955" s="2">
        <f>E955-F955</f>
        <v/>
      </c>
    </row>
    <row r="956" ht="15" customHeight="1" s="1">
      <c r="A956" s="2" t="n">
        <v>50954</v>
      </c>
      <c r="B956" s="2" t="inlineStr">
        <is>
          <t>SKU-0158</t>
        </is>
      </c>
      <c r="C956" s="2" t="n">
        <v>13</v>
      </c>
      <c r="D956" s="2">
        <f>VLOOKUP(B956,Products!$A$2:$D$201,3,FALSE())</f>
        <v/>
      </c>
      <c r="E956" s="2">
        <f>C956*D956</f>
        <v/>
      </c>
      <c r="F956" s="2">
        <f>C956*INDEX(Products!$D$2:$D$201,MATCH(B956,Products!$A$2:$A$201,0))</f>
        <v/>
      </c>
      <c r="G956" s="2">
        <f>E956-F956</f>
        <v/>
      </c>
    </row>
    <row r="957" ht="15" customHeight="1" s="1">
      <c r="A957" s="2" t="n">
        <v>50955</v>
      </c>
      <c r="B957" s="2" t="inlineStr">
        <is>
          <t>SKU-0105</t>
        </is>
      </c>
      <c r="C957" s="2" t="n">
        <v>1</v>
      </c>
      <c r="D957" s="2">
        <f>VLOOKUP(B957,Products!$A$2:$D$201,3,FALSE())</f>
        <v/>
      </c>
      <c r="E957" s="2">
        <f>C957*D957</f>
        <v/>
      </c>
      <c r="F957" s="2">
        <f>C957*INDEX(Products!$D$2:$D$201,MATCH(B957,Products!$A$2:$A$201,0))</f>
        <v/>
      </c>
      <c r="G957" s="2">
        <f>E957-F957</f>
        <v/>
      </c>
    </row>
    <row r="958" ht="15" customHeight="1" s="1">
      <c r="A958" s="2" t="n">
        <v>50956</v>
      </c>
      <c r="B958" s="2" t="inlineStr">
        <is>
          <t>SKU-0172</t>
        </is>
      </c>
      <c r="C958" s="2" t="n">
        <v>15</v>
      </c>
      <c r="D958" s="2">
        <f>VLOOKUP(B958,Products!$A$2:$D$201,3,FALSE())</f>
        <v/>
      </c>
      <c r="E958" s="2">
        <f>C958*D958</f>
        <v/>
      </c>
      <c r="F958" s="2">
        <f>C958*INDEX(Products!$D$2:$D$201,MATCH(B958,Products!$A$2:$A$201,0))</f>
        <v/>
      </c>
      <c r="G958" s="2">
        <f>E958-F958</f>
        <v/>
      </c>
    </row>
    <row r="959" ht="15" customHeight="1" s="1">
      <c r="A959" s="2" t="n">
        <v>50957</v>
      </c>
      <c r="B959" s="2" t="inlineStr">
        <is>
          <t>SKU-0086</t>
        </is>
      </c>
      <c r="C959" s="2" t="n">
        <v>18</v>
      </c>
      <c r="D959" s="2">
        <f>VLOOKUP(B959,Products!$A$2:$D$201,3,FALSE())</f>
        <v/>
      </c>
      <c r="E959" s="2">
        <f>C959*D959</f>
        <v/>
      </c>
      <c r="F959" s="2">
        <f>C959*INDEX(Products!$D$2:$D$201,MATCH(B959,Products!$A$2:$A$201,0))</f>
        <v/>
      </c>
      <c r="G959" s="2">
        <f>E959-F959</f>
        <v/>
      </c>
    </row>
    <row r="960" ht="15" customHeight="1" s="1">
      <c r="A960" s="2" t="n">
        <v>50958</v>
      </c>
      <c r="B960" s="2" t="inlineStr">
        <is>
          <t>SKU-0059</t>
        </is>
      </c>
      <c r="C960" s="2" t="n">
        <v>11</v>
      </c>
      <c r="D960" s="2">
        <f>VLOOKUP(B960,Products!$A$2:$D$201,3,FALSE())</f>
        <v/>
      </c>
      <c r="E960" s="2">
        <f>C960*D960</f>
        <v/>
      </c>
      <c r="F960" s="2">
        <f>C960*INDEX(Products!$D$2:$D$201,MATCH(B960,Products!$A$2:$A$201,0))</f>
        <v/>
      </c>
      <c r="G960" s="2">
        <f>E960-F960</f>
        <v/>
      </c>
    </row>
    <row r="961" ht="15" customHeight="1" s="1">
      <c r="A961" s="2" t="n">
        <v>50959</v>
      </c>
      <c r="B961" s="2" t="inlineStr">
        <is>
          <t>SKU-0126</t>
        </is>
      </c>
      <c r="C961" s="2" t="n">
        <v>9</v>
      </c>
      <c r="D961" s="2">
        <f>VLOOKUP(B961,Products!$A$2:$D$201,3,FALSE())</f>
        <v/>
      </c>
      <c r="E961" s="2">
        <f>C961*D961</f>
        <v/>
      </c>
      <c r="F961" s="2">
        <f>C961*INDEX(Products!$D$2:$D$201,MATCH(B961,Products!$A$2:$A$201,0))</f>
        <v/>
      </c>
      <c r="G961" s="2">
        <f>E961-F961</f>
        <v/>
      </c>
    </row>
    <row r="962" ht="15" customHeight="1" s="1">
      <c r="A962" s="2" t="n">
        <v>50960</v>
      </c>
      <c r="B962" s="2" t="inlineStr">
        <is>
          <t>SKU-0053</t>
        </is>
      </c>
      <c r="C962" s="2" t="n">
        <v>8</v>
      </c>
      <c r="D962" s="2">
        <f>VLOOKUP(B962,Products!$A$2:$D$201,3,FALSE())</f>
        <v/>
      </c>
      <c r="E962" s="2">
        <f>C962*D962</f>
        <v/>
      </c>
      <c r="F962" s="2">
        <f>C962*INDEX(Products!$D$2:$D$201,MATCH(B962,Products!$A$2:$A$201,0))</f>
        <v/>
      </c>
      <c r="G962" s="2">
        <f>E962-F962</f>
        <v/>
      </c>
    </row>
    <row r="963" ht="15" customHeight="1" s="1">
      <c r="A963" s="2" t="n">
        <v>50961</v>
      </c>
      <c r="B963" s="2" t="inlineStr">
        <is>
          <t>SKU-0124</t>
        </is>
      </c>
      <c r="C963" s="2" t="n">
        <v>16</v>
      </c>
      <c r="D963" s="2">
        <f>VLOOKUP(B963,Products!$A$2:$D$201,3,FALSE())</f>
        <v/>
      </c>
      <c r="E963" s="2">
        <f>C963*D963</f>
        <v/>
      </c>
      <c r="F963" s="2">
        <f>C963*INDEX(Products!$D$2:$D$201,MATCH(B963,Products!$A$2:$A$201,0))</f>
        <v/>
      </c>
      <c r="G963" s="2">
        <f>E963-F963</f>
        <v/>
      </c>
    </row>
    <row r="964" ht="15" customHeight="1" s="1">
      <c r="A964" s="2" t="n">
        <v>50962</v>
      </c>
      <c r="B964" s="2" t="inlineStr">
        <is>
          <t>SKU-0064</t>
        </is>
      </c>
      <c r="C964" s="2" t="n">
        <v>3</v>
      </c>
      <c r="D964" s="2">
        <f>VLOOKUP(B964,Products!$A$2:$D$201,3,FALSE())</f>
        <v/>
      </c>
      <c r="E964" s="2">
        <f>C964*D964</f>
        <v/>
      </c>
      <c r="F964" s="2">
        <f>C964*INDEX(Products!$D$2:$D$201,MATCH(B964,Products!$A$2:$A$201,0))</f>
        <v/>
      </c>
      <c r="G964" s="2">
        <f>E964-F964</f>
        <v/>
      </c>
    </row>
    <row r="965" ht="15" customHeight="1" s="1">
      <c r="A965" s="2" t="n">
        <v>50963</v>
      </c>
      <c r="B965" s="2" t="inlineStr">
        <is>
          <t>SKU-0068</t>
        </is>
      </c>
      <c r="C965" s="2" t="n">
        <v>3</v>
      </c>
      <c r="D965" s="2">
        <f>VLOOKUP(B965,Products!$A$2:$D$201,3,FALSE())</f>
        <v/>
      </c>
      <c r="E965" s="2">
        <f>C965*D965</f>
        <v/>
      </c>
      <c r="F965" s="2">
        <f>C965*INDEX(Products!$D$2:$D$201,MATCH(B965,Products!$A$2:$A$201,0))</f>
        <v/>
      </c>
      <c r="G965" s="2">
        <f>E965-F965</f>
        <v/>
      </c>
    </row>
    <row r="966" ht="15" customHeight="1" s="1">
      <c r="A966" s="2" t="n">
        <v>50964</v>
      </c>
      <c r="B966" s="2" t="inlineStr">
        <is>
          <t>SKU-0157</t>
        </is>
      </c>
      <c r="C966" s="2" t="n">
        <v>19</v>
      </c>
      <c r="D966" s="2">
        <f>VLOOKUP(B966,Products!$A$2:$D$201,3,FALSE())</f>
        <v/>
      </c>
      <c r="E966" s="2">
        <f>C966*D966</f>
        <v/>
      </c>
      <c r="F966" s="2">
        <f>C966*INDEX(Products!$D$2:$D$201,MATCH(B966,Products!$A$2:$A$201,0))</f>
        <v/>
      </c>
      <c r="G966" s="2">
        <f>E966-F966</f>
        <v/>
      </c>
    </row>
    <row r="967" ht="15" customHeight="1" s="1">
      <c r="A967" s="2" t="n">
        <v>50965</v>
      </c>
      <c r="B967" s="2" t="inlineStr">
        <is>
          <t>SKU-0140</t>
        </is>
      </c>
      <c r="C967" s="2" t="n">
        <v>10</v>
      </c>
      <c r="D967" s="2">
        <f>VLOOKUP(B967,Products!$A$2:$D$201,3,FALSE())</f>
        <v/>
      </c>
      <c r="E967" s="2">
        <f>C967*D967</f>
        <v/>
      </c>
      <c r="F967" s="2">
        <f>C967*INDEX(Products!$D$2:$D$201,MATCH(B967,Products!$A$2:$A$201,0))</f>
        <v/>
      </c>
      <c r="G967" s="2">
        <f>E967-F967</f>
        <v/>
      </c>
    </row>
    <row r="968" ht="15" customHeight="1" s="1">
      <c r="A968" s="2" t="n">
        <v>50966</v>
      </c>
      <c r="B968" s="2" t="inlineStr">
        <is>
          <t>SKU-0182</t>
        </is>
      </c>
      <c r="C968" s="2" t="n">
        <v>14</v>
      </c>
      <c r="D968" s="2">
        <f>VLOOKUP(B968,Products!$A$2:$D$201,3,FALSE())</f>
        <v/>
      </c>
      <c r="E968" s="2">
        <f>C968*D968</f>
        <v/>
      </c>
      <c r="F968" s="2">
        <f>C968*INDEX(Products!$D$2:$D$201,MATCH(B968,Products!$A$2:$A$201,0))</f>
        <v/>
      </c>
      <c r="G968" s="2">
        <f>E968-F968</f>
        <v/>
      </c>
    </row>
    <row r="969" ht="15" customHeight="1" s="1">
      <c r="A969" s="2" t="n">
        <v>50967</v>
      </c>
      <c r="B969" s="2" t="inlineStr">
        <is>
          <t>SKU-0011</t>
        </is>
      </c>
      <c r="C969" s="2" t="n">
        <v>15</v>
      </c>
      <c r="D969" s="2">
        <f>VLOOKUP(B969,Products!$A$2:$D$201,3,FALSE())</f>
        <v/>
      </c>
      <c r="E969" s="2">
        <f>C969*D969</f>
        <v/>
      </c>
      <c r="F969" s="2">
        <f>C969*INDEX(Products!$D$2:$D$201,MATCH(B969,Products!$A$2:$A$201,0))</f>
        <v/>
      </c>
      <c r="G969" s="2">
        <f>E969-F969</f>
        <v/>
      </c>
    </row>
    <row r="970" ht="15" customHeight="1" s="1">
      <c r="A970" s="2" t="n">
        <v>50968</v>
      </c>
      <c r="B970" s="2" t="inlineStr">
        <is>
          <t>SKU-0013</t>
        </is>
      </c>
      <c r="C970" s="2" t="n">
        <v>6</v>
      </c>
      <c r="D970" s="2">
        <f>VLOOKUP(B970,Products!$A$2:$D$201,3,FALSE())</f>
        <v/>
      </c>
      <c r="E970" s="2">
        <f>C970*D970</f>
        <v/>
      </c>
      <c r="F970" s="2">
        <f>C970*INDEX(Products!$D$2:$D$201,MATCH(B970,Products!$A$2:$A$201,0))</f>
        <v/>
      </c>
      <c r="G970" s="2">
        <f>E970-F970</f>
        <v/>
      </c>
    </row>
    <row r="971" ht="15" customHeight="1" s="1">
      <c r="A971" s="2" t="n">
        <v>50969</v>
      </c>
      <c r="B971" s="2" t="inlineStr">
        <is>
          <t>SKU-0012</t>
        </is>
      </c>
      <c r="C971" s="2" t="n">
        <v>8</v>
      </c>
      <c r="D971" s="2">
        <f>VLOOKUP(B971,Products!$A$2:$D$201,3,FALSE())</f>
        <v/>
      </c>
      <c r="E971" s="2">
        <f>C971*D971</f>
        <v/>
      </c>
      <c r="F971" s="2">
        <f>C971*INDEX(Products!$D$2:$D$201,MATCH(B971,Products!$A$2:$A$201,0))</f>
        <v/>
      </c>
      <c r="G971" s="2">
        <f>E971-F971</f>
        <v/>
      </c>
    </row>
    <row r="972" ht="15" customHeight="1" s="1">
      <c r="A972" s="2" t="n">
        <v>50970</v>
      </c>
      <c r="B972" s="2" t="inlineStr">
        <is>
          <t>SKU-0108</t>
        </is>
      </c>
      <c r="C972" s="2" t="n">
        <v>17</v>
      </c>
      <c r="D972" s="2">
        <f>VLOOKUP(B972,Products!$A$2:$D$201,3,FALSE())</f>
        <v/>
      </c>
      <c r="E972" s="2">
        <f>C972*D972</f>
        <v/>
      </c>
      <c r="F972" s="2">
        <f>C972*INDEX(Products!$D$2:$D$201,MATCH(B972,Products!$A$2:$A$201,0))</f>
        <v/>
      </c>
      <c r="G972" s="2">
        <f>E972-F972</f>
        <v/>
      </c>
    </row>
    <row r="973" ht="15" customHeight="1" s="1">
      <c r="A973" s="2" t="n">
        <v>50971</v>
      </c>
      <c r="B973" s="2" t="inlineStr">
        <is>
          <t>SKU-0151</t>
        </is>
      </c>
      <c r="C973" s="2" t="n">
        <v>5</v>
      </c>
      <c r="D973" s="2">
        <f>VLOOKUP(B973,Products!$A$2:$D$201,3,FALSE())</f>
        <v/>
      </c>
      <c r="E973" s="2">
        <f>C973*D973</f>
        <v/>
      </c>
      <c r="F973" s="2">
        <f>C973*INDEX(Products!$D$2:$D$201,MATCH(B973,Products!$A$2:$A$201,0))</f>
        <v/>
      </c>
      <c r="G973" s="2">
        <f>E973-F973</f>
        <v/>
      </c>
    </row>
    <row r="974" ht="15" customHeight="1" s="1">
      <c r="A974" s="2" t="n">
        <v>50972</v>
      </c>
      <c r="B974" s="2" t="inlineStr">
        <is>
          <t>SKU-0053</t>
        </is>
      </c>
      <c r="C974" s="2" t="n">
        <v>12</v>
      </c>
      <c r="D974" s="2">
        <f>VLOOKUP(B974,Products!$A$2:$D$201,3,FALSE())</f>
        <v/>
      </c>
      <c r="E974" s="2">
        <f>C974*D974</f>
        <v/>
      </c>
      <c r="F974" s="2">
        <f>C974*INDEX(Products!$D$2:$D$201,MATCH(B974,Products!$A$2:$A$201,0))</f>
        <v/>
      </c>
      <c r="G974" s="2">
        <f>E974-F974</f>
        <v/>
      </c>
    </row>
    <row r="975" ht="15" customHeight="1" s="1">
      <c r="A975" s="2" t="n">
        <v>50973</v>
      </c>
      <c r="B975" s="2" t="inlineStr">
        <is>
          <t>SKU-0060</t>
        </is>
      </c>
      <c r="C975" s="2" t="n">
        <v>3</v>
      </c>
      <c r="D975" s="2">
        <f>VLOOKUP(B975,Products!$A$2:$D$201,3,FALSE())</f>
        <v/>
      </c>
      <c r="E975" s="2">
        <f>C975*D975</f>
        <v/>
      </c>
      <c r="F975" s="2">
        <f>C975*INDEX(Products!$D$2:$D$201,MATCH(B975,Products!$A$2:$A$201,0))</f>
        <v/>
      </c>
      <c r="G975" s="2">
        <f>E975-F975</f>
        <v/>
      </c>
    </row>
    <row r="976" ht="15" customHeight="1" s="1">
      <c r="A976" s="2" t="n">
        <v>50974</v>
      </c>
      <c r="B976" s="2" t="inlineStr">
        <is>
          <t>SKU-0198</t>
        </is>
      </c>
      <c r="C976" s="2" t="n">
        <v>17</v>
      </c>
      <c r="D976" s="2">
        <f>VLOOKUP(B976,Products!$A$2:$D$201,3,FALSE())</f>
        <v/>
      </c>
      <c r="E976" s="2">
        <f>C976*D976</f>
        <v/>
      </c>
      <c r="F976" s="2">
        <f>C976*INDEX(Products!$D$2:$D$201,MATCH(B976,Products!$A$2:$A$201,0))</f>
        <v/>
      </c>
      <c r="G976" s="2">
        <f>E976-F976</f>
        <v/>
      </c>
    </row>
    <row r="977" ht="15" customHeight="1" s="1">
      <c r="A977" s="2" t="n">
        <v>50975</v>
      </c>
      <c r="B977" s="2" t="inlineStr">
        <is>
          <t>SKU-0109</t>
        </is>
      </c>
      <c r="C977" s="2" t="n">
        <v>6</v>
      </c>
      <c r="D977" s="2">
        <f>VLOOKUP(B977,Products!$A$2:$D$201,3,FALSE())</f>
        <v/>
      </c>
      <c r="E977" s="2">
        <f>C977*D977</f>
        <v/>
      </c>
      <c r="F977" s="2">
        <f>C977*INDEX(Products!$D$2:$D$201,MATCH(B977,Products!$A$2:$A$201,0))</f>
        <v/>
      </c>
      <c r="G977" s="2">
        <f>E977-F977</f>
        <v/>
      </c>
    </row>
    <row r="978" ht="15" customHeight="1" s="1">
      <c r="A978" s="2" t="n">
        <v>50976</v>
      </c>
      <c r="B978" s="2" t="inlineStr">
        <is>
          <t>SKU-0057</t>
        </is>
      </c>
      <c r="C978" s="2" t="n">
        <v>15</v>
      </c>
      <c r="D978" s="2">
        <f>VLOOKUP(B978,Products!$A$2:$D$201,3,FALSE())</f>
        <v/>
      </c>
      <c r="E978" s="2">
        <f>C978*D978</f>
        <v/>
      </c>
      <c r="F978" s="2">
        <f>C978*INDEX(Products!$D$2:$D$201,MATCH(B978,Products!$A$2:$A$201,0))</f>
        <v/>
      </c>
      <c r="G978" s="2">
        <f>E978-F978</f>
        <v/>
      </c>
    </row>
    <row r="979" ht="15" customHeight="1" s="1">
      <c r="A979" s="2" t="n">
        <v>50977</v>
      </c>
      <c r="B979" s="2" t="inlineStr">
        <is>
          <t>SKU-0165</t>
        </is>
      </c>
      <c r="C979" s="2" t="n">
        <v>16</v>
      </c>
      <c r="D979" s="2">
        <f>VLOOKUP(B979,Products!$A$2:$D$201,3,FALSE())</f>
        <v/>
      </c>
      <c r="E979" s="2">
        <f>C979*D979</f>
        <v/>
      </c>
      <c r="F979" s="2">
        <f>C979*INDEX(Products!$D$2:$D$201,MATCH(B979,Products!$A$2:$A$201,0))</f>
        <v/>
      </c>
      <c r="G979" s="2">
        <f>E979-F979</f>
        <v/>
      </c>
    </row>
    <row r="980" ht="15" customHeight="1" s="1">
      <c r="A980" s="2" t="n">
        <v>50978</v>
      </c>
      <c r="B980" s="2" t="inlineStr">
        <is>
          <t>SKU-0146</t>
        </is>
      </c>
      <c r="C980" s="2" t="n">
        <v>5</v>
      </c>
      <c r="D980" s="2">
        <f>VLOOKUP(B980,Products!$A$2:$D$201,3,FALSE())</f>
        <v/>
      </c>
      <c r="E980" s="2">
        <f>C980*D980</f>
        <v/>
      </c>
      <c r="F980" s="2">
        <f>C980*INDEX(Products!$D$2:$D$201,MATCH(B980,Products!$A$2:$A$201,0))</f>
        <v/>
      </c>
      <c r="G980" s="2">
        <f>E980-F980</f>
        <v/>
      </c>
    </row>
    <row r="981" ht="15" customHeight="1" s="1">
      <c r="A981" s="2" t="n">
        <v>50979</v>
      </c>
      <c r="B981" s="2" t="inlineStr">
        <is>
          <t>SKU-0113</t>
        </is>
      </c>
      <c r="C981" s="2" t="n">
        <v>6</v>
      </c>
      <c r="D981" s="2">
        <f>VLOOKUP(B981,Products!$A$2:$D$201,3,FALSE())</f>
        <v/>
      </c>
      <c r="E981" s="2">
        <f>C981*D981</f>
        <v/>
      </c>
      <c r="F981" s="2">
        <f>C981*INDEX(Products!$D$2:$D$201,MATCH(B981,Products!$A$2:$A$201,0))</f>
        <v/>
      </c>
      <c r="G981" s="2">
        <f>E981-F981</f>
        <v/>
      </c>
    </row>
    <row r="982" ht="15" customHeight="1" s="1">
      <c r="A982" s="2" t="n">
        <v>50980</v>
      </c>
      <c r="B982" s="2" t="inlineStr">
        <is>
          <t>SKU-0092</t>
        </is>
      </c>
      <c r="C982" s="2" t="n">
        <v>16</v>
      </c>
      <c r="D982" s="2">
        <f>VLOOKUP(B982,Products!$A$2:$D$201,3,FALSE())</f>
        <v/>
      </c>
      <c r="E982" s="2">
        <f>C982*D982</f>
        <v/>
      </c>
      <c r="F982" s="2">
        <f>C982*INDEX(Products!$D$2:$D$201,MATCH(B982,Products!$A$2:$A$201,0))</f>
        <v/>
      </c>
      <c r="G982" s="2">
        <f>E982-F982</f>
        <v/>
      </c>
    </row>
    <row r="983" ht="15" customHeight="1" s="1">
      <c r="A983" s="2" t="n">
        <v>50981</v>
      </c>
      <c r="B983" s="2" t="inlineStr">
        <is>
          <t>SKU-0029</t>
        </is>
      </c>
      <c r="C983" s="2" t="n">
        <v>15</v>
      </c>
      <c r="D983" s="2">
        <f>VLOOKUP(B983,Products!$A$2:$D$201,3,FALSE())</f>
        <v/>
      </c>
      <c r="E983" s="2">
        <f>C983*D983</f>
        <v/>
      </c>
      <c r="F983" s="2">
        <f>C983*INDEX(Products!$D$2:$D$201,MATCH(B983,Products!$A$2:$A$201,0))</f>
        <v/>
      </c>
      <c r="G983" s="2">
        <f>E983-F983</f>
        <v/>
      </c>
    </row>
    <row r="984" ht="15" customHeight="1" s="1">
      <c r="A984" s="2" t="n">
        <v>50982</v>
      </c>
      <c r="B984" s="2" t="inlineStr">
        <is>
          <t>SKU-0076</t>
        </is>
      </c>
      <c r="C984" s="2" t="n">
        <v>3</v>
      </c>
      <c r="D984" s="2">
        <f>VLOOKUP(B984,Products!$A$2:$D$201,3,FALSE())</f>
        <v/>
      </c>
      <c r="E984" s="2">
        <f>C984*D984</f>
        <v/>
      </c>
      <c r="F984" s="2">
        <f>C984*INDEX(Products!$D$2:$D$201,MATCH(B984,Products!$A$2:$A$201,0))</f>
        <v/>
      </c>
      <c r="G984" s="2">
        <f>E984-F984</f>
        <v/>
      </c>
    </row>
    <row r="985" ht="15" customHeight="1" s="1">
      <c r="A985" s="2" t="n">
        <v>50983</v>
      </c>
      <c r="B985" s="2" t="inlineStr">
        <is>
          <t>SKU-0118</t>
        </is>
      </c>
      <c r="C985" s="2" t="n">
        <v>11</v>
      </c>
      <c r="D985" s="2">
        <f>VLOOKUP(B985,Products!$A$2:$D$201,3,FALSE())</f>
        <v/>
      </c>
      <c r="E985" s="2">
        <f>C985*D985</f>
        <v/>
      </c>
      <c r="F985" s="2">
        <f>C985*INDEX(Products!$D$2:$D$201,MATCH(B985,Products!$A$2:$A$201,0))</f>
        <v/>
      </c>
      <c r="G985" s="2">
        <f>E985-F985</f>
        <v/>
      </c>
    </row>
    <row r="986" ht="15" customHeight="1" s="1">
      <c r="A986" s="2" t="n">
        <v>50984</v>
      </c>
      <c r="B986" s="2" t="inlineStr">
        <is>
          <t>SKU-0171</t>
        </is>
      </c>
      <c r="C986" s="2" t="n">
        <v>12</v>
      </c>
      <c r="D986" s="2">
        <f>VLOOKUP(B986,Products!$A$2:$D$201,3,FALSE())</f>
        <v/>
      </c>
      <c r="E986" s="2">
        <f>C986*D986</f>
        <v/>
      </c>
      <c r="F986" s="2">
        <f>C986*INDEX(Products!$D$2:$D$201,MATCH(B986,Products!$A$2:$A$201,0))</f>
        <v/>
      </c>
      <c r="G986" s="2">
        <f>E986-F986</f>
        <v/>
      </c>
    </row>
    <row r="987" ht="15" customHeight="1" s="1">
      <c r="A987" s="2" t="n">
        <v>50985</v>
      </c>
      <c r="B987" s="2" t="inlineStr">
        <is>
          <t>SKU-0155</t>
        </is>
      </c>
      <c r="C987" s="2" t="n">
        <v>8</v>
      </c>
      <c r="D987" s="2">
        <f>VLOOKUP(B987,Products!$A$2:$D$201,3,FALSE())</f>
        <v/>
      </c>
      <c r="E987" s="2">
        <f>C987*D987</f>
        <v/>
      </c>
      <c r="F987" s="2">
        <f>C987*INDEX(Products!$D$2:$D$201,MATCH(B987,Products!$A$2:$A$201,0))</f>
        <v/>
      </c>
      <c r="G987" s="2">
        <f>E987-F987</f>
        <v/>
      </c>
    </row>
    <row r="988" ht="15" customHeight="1" s="1">
      <c r="A988" s="2" t="n">
        <v>50986</v>
      </c>
      <c r="B988" s="2" t="inlineStr">
        <is>
          <t>SKU-0018</t>
        </is>
      </c>
      <c r="C988" s="2" t="n">
        <v>17</v>
      </c>
      <c r="D988" s="2">
        <f>VLOOKUP(B988,Products!$A$2:$D$201,3,FALSE())</f>
        <v/>
      </c>
      <c r="E988" s="2">
        <f>C988*D988</f>
        <v/>
      </c>
      <c r="F988" s="2">
        <f>C988*INDEX(Products!$D$2:$D$201,MATCH(B988,Products!$A$2:$A$201,0))</f>
        <v/>
      </c>
      <c r="G988" s="2">
        <f>E988-F988</f>
        <v/>
      </c>
    </row>
    <row r="989" ht="15" customHeight="1" s="1">
      <c r="A989" s="2" t="n">
        <v>50987</v>
      </c>
      <c r="B989" s="2" t="inlineStr">
        <is>
          <t>SKU-0071</t>
        </is>
      </c>
      <c r="C989" s="2" t="n">
        <v>12</v>
      </c>
      <c r="D989" s="2">
        <f>VLOOKUP(B989,Products!$A$2:$D$201,3,FALSE())</f>
        <v/>
      </c>
      <c r="E989" s="2">
        <f>C989*D989</f>
        <v/>
      </c>
      <c r="F989" s="2">
        <f>C989*INDEX(Products!$D$2:$D$201,MATCH(B989,Products!$A$2:$A$201,0))</f>
        <v/>
      </c>
      <c r="G989" s="2">
        <f>E989-F989</f>
        <v/>
      </c>
    </row>
    <row r="990" ht="15" customHeight="1" s="1">
      <c r="A990" s="2" t="n">
        <v>50988</v>
      </c>
      <c r="B990" s="2" t="inlineStr">
        <is>
          <t>SKU-0078</t>
        </is>
      </c>
      <c r="C990" s="2" t="n">
        <v>17</v>
      </c>
      <c r="D990" s="2">
        <f>VLOOKUP(B990,Products!$A$2:$D$201,3,FALSE())</f>
        <v/>
      </c>
      <c r="E990" s="2">
        <f>C990*D990</f>
        <v/>
      </c>
      <c r="F990" s="2">
        <f>C990*INDEX(Products!$D$2:$D$201,MATCH(B990,Products!$A$2:$A$201,0))</f>
        <v/>
      </c>
      <c r="G990" s="2">
        <f>E990-F990</f>
        <v/>
      </c>
    </row>
    <row r="991" ht="15" customHeight="1" s="1">
      <c r="A991" s="2" t="n">
        <v>50989</v>
      </c>
      <c r="B991" s="2" t="inlineStr">
        <is>
          <t>SKU-0009</t>
        </is>
      </c>
      <c r="C991" s="2" t="n">
        <v>12</v>
      </c>
      <c r="D991" s="2">
        <f>VLOOKUP(B991,Products!$A$2:$D$201,3,FALSE())</f>
        <v/>
      </c>
      <c r="E991" s="2">
        <f>C991*D991</f>
        <v/>
      </c>
      <c r="F991" s="2">
        <f>C991*INDEX(Products!$D$2:$D$201,MATCH(B991,Products!$A$2:$A$201,0))</f>
        <v/>
      </c>
      <c r="G991" s="2">
        <f>E991-F991</f>
        <v/>
      </c>
    </row>
    <row r="992" ht="15" customHeight="1" s="1">
      <c r="A992" s="2" t="n">
        <v>50990</v>
      </c>
      <c r="B992" s="2" t="inlineStr">
        <is>
          <t>SKU-0095</t>
        </is>
      </c>
      <c r="C992" s="2" t="n">
        <v>12</v>
      </c>
      <c r="D992" s="2">
        <f>VLOOKUP(B992,Products!$A$2:$D$201,3,FALSE())</f>
        <v/>
      </c>
      <c r="E992" s="2">
        <f>C992*D992</f>
        <v/>
      </c>
      <c r="F992" s="2">
        <f>C992*INDEX(Products!$D$2:$D$201,MATCH(B992,Products!$A$2:$A$201,0))</f>
        <v/>
      </c>
      <c r="G992" s="2">
        <f>E992-F992</f>
        <v/>
      </c>
    </row>
    <row r="993" ht="15" customHeight="1" s="1">
      <c r="A993" s="2" t="n">
        <v>50991</v>
      </c>
      <c r="B993" s="2" t="inlineStr">
        <is>
          <t>SKU-0043</t>
        </is>
      </c>
      <c r="C993" s="2" t="n">
        <v>8</v>
      </c>
      <c r="D993" s="2">
        <f>VLOOKUP(B993,Products!$A$2:$D$201,3,FALSE())</f>
        <v/>
      </c>
      <c r="E993" s="2">
        <f>C993*D993</f>
        <v/>
      </c>
      <c r="F993" s="2">
        <f>C993*INDEX(Products!$D$2:$D$201,MATCH(B993,Products!$A$2:$A$201,0))</f>
        <v/>
      </c>
      <c r="G993" s="2">
        <f>E993-F993</f>
        <v/>
      </c>
    </row>
    <row r="994" ht="15" customHeight="1" s="1">
      <c r="A994" s="2" t="n">
        <v>50992</v>
      </c>
      <c r="B994" s="2" t="inlineStr">
        <is>
          <t>SKU-0097</t>
        </is>
      </c>
      <c r="C994" s="2" t="n">
        <v>17</v>
      </c>
      <c r="D994" s="2">
        <f>VLOOKUP(B994,Products!$A$2:$D$201,3,FALSE())</f>
        <v/>
      </c>
      <c r="E994" s="2">
        <f>C994*D994</f>
        <v/>
      </c>
      <c r="F994" s="2">
        <f>C994*INDEX(Products!$D$2:$D$201,MATCH(B994,Products!$A$2:$A$201,0))</f>
        <v/>
      </c>
      <c r="G994" s="2">
        <f>E994-F994</f>
        <v/>
      </c>
    </row>
    <row r="995" ht="15" customHeight="1" s="1">
      <c r="A995" s="2" t="n">
        <v>50993</v>
      </c>
      <c r="B995" s="2" t="inlineStr">
        <is>
          <t>SKU-0105</t>
        </is>
      </c>
      <c r="C995" s="2" t="n">
        <v>12</v>
      </c>
      <c r="D995" s="2">
        <f>VLOOKUP(B995,Products!$A$2:$D$201,3,FALSE())</f>
        <v/>
      </c>
      <c r="E995" s="2">
        <f>C995*D995</f>
        <v/>
      </c>
      <c r="F995" s="2">
        <f>C995*INDEX(Products!$D$2:$D$201,MATCH(B995,Products!$A$2:$A$201,0))</f>
        <v/>
      </c>
      <c r="G995" s="2">
        <f>E995-F995</f>
        <v/>
      </c>
    </row>
    <row r="996" ht="15" customHeight="1" s="1">
      <c r="A996" s="2" t="n">
        <v>50994</v>
      </c>
      <c r="B996" s="2" t="inlineStr">
        <is>
          <t>SKU-0154</t>
        </is>
      </c>
      <c r="C996" s="2" t="n">
        <v>9</v>
      </c>
      <c r="D996" s="2">
        <f>VLOOKUP(B996,Products!$A$2:$D$201,3,FALSE())</f>
        <v/>
      </c>
      <c r="E996" s="2">
        <f>C996*D996</f>
        <v/>
      </c>
      <c r="F996" s="2">
        <f>C996*INDEX(Products!$D$2:$D$201,MATCH(B996,Products!$A$2:$A$201,0))</f>
        <v/>
      </c>
      <c r="G996" s="2">
        <f>E996-F996</f>
        <v/>
      </c>
    </row>
    <row r="997" ht="15" customHeight="1" s="1">
      <c r="A997" s="2" t="n">
        <v>50995</v>
      </c>
      <c r="B997" s="2" t="inlineStr">
        <is>
          <t>SKU-0107</t>
        </is>
      </c>
      <c r="C997" s="2" t="n">
        <v>14</v>
      </c>
      <c r="D997" s="2">
        <f>VLOOKUP(B997,Products!$A$2:$D$201,3,FALSE())</f>
        <v/>
      </c>
      <c r="E997" s="2">
        <f>C997*D997</f>
        <v/>
      </c>
      <c r="F997" s="2">
        <f>C997*INDEX(Products!$D$2:$D$201,MATCH(B997,Products!$A$2:$A$201,0))</f>
        <v/>
      </c>
      <c r="G997" s="2">
        <f>E997-F997</f>
        <v/>
      </c>
    </row>
    <row r="998" ht="15" customHeight="1" s="1">
      <c r="A998" s="2" t="n">
        <v>50996</v>
      </c>
      <c r="B998" s="2" t="inlineStr">
        <is>
          <t>SKU-0056</t>
        </is>
      </c>
      <c r="C998" s="2" t="n">
        <v>20</v>
      </c>
      <c r="D998" s="2">
        <f>VLOOKUP(B998,Products!$A$2:$D$201,3,FALSE())</f>
        <v/>
      </c>
      <c r="E998" s="2">
        <f>C998*D998</f>
        <v/>
      </c>
      <c r="F998" s="2">
        <f>C998*INDEX(Products!$D$2:$D$201,MATCH(B998,Products!$A$2:$A$201,0))</f>
        <v/>
      </c>
      <c r="G998" s="2">
        <f>E998-F998</f>
        <v/>
      </c>
    </row>
    <row r="999" ht="15" customHeight="1" s="1">
      <c r="A999" s="2" t="n">
        <v>50997</v>
      </c>
      <c r="B999" s="2" t="inlineStr">
        <is>
          <t>SKU-0046</t>
        </is>
      </c>
      <c r="C999" s="2" t="n">
        <v>1</v>
      </c>
      <c r="D999" s="2">
        <f>VLOOKUP(B999,Products!$A$2:$D$201,3,FALSE())</f>
        <v/>
      </c>
      <c r="E999" s="2">
        <f>C999*D999</f>
        <v/>
      </c>
      <c r="F999" s="2">
        <f>C999*INDEX(Products!$D$2:$D$201,MATCH(B999,Products!$A$2:$A$201,0))</f>
        <v/>
      </c>
      <c r="G999" s="2">
        <f>E999-F999</f>
        <v/>
      </c>
    </row>
    <row r="1000" ht="15" customHeight="1" s="1">
      <c r="A1000" s="2" t="n">
        <v>50998</v>
      </c>
      <c r="B1000" s="2" t="inlineStr">
        <is>
          <t>SKU-0087</t>
        </is>
      </c>
      <c r="C1000" s="2" t="n">
        <v>2</v>
      </c>
      <c r="D1000" s="2">
        <f>VLOOKUP(B1000,Products!$A$2:$D$201,3,FALSE())</f>
        <v/>
      </c>
      <c r="E1000" s="2">
        <f>C1000*D1000</f>
        <v/>
      </c>
      <c r="F1000" s="2">
        <f>C1000*INDEX(Products!$D$2:$D$201,MATCH(B1000,Products!$A$2:$A$201,0))</f>
        <v/>
      </c>
      <c r="G1000" s="2">
        <f>E1000-F1000</f>
        <v/>
      </c>
    </row>
    <row r="1001" ht="15" customHeight="1" s="1">
      <c r="A1001" s="2" t="n">
        <v>50999</v>
      </c>
      <c r="B1001" s="2" t="inlineStr">
        <is>
          <t>SKU-0024</t>
        </is>
      </c>
      <c r="C1001" s="2" t="n">
        <v>7</v>
      </c>
      <c r="D1001" s="2">
        <f>VLOOKUP(B1001,Products!$A$2:$D$201,3,FALSE())</f>
        <v/>
      </c>
      <c r="E1001" s="2">
        <f>C1001*D1001</f>
        <v/>
      </c>
      <c r="F1001" s="2">
        <f>C1001*INDEX(Products!$D$2:$D$201,MATCH(B1001,Products!$A$2:$A$201,0))</f>
        <v/>
      </c>
      <c r="G1001" s="2">
        <f>E1001-F1001</f>
        <v/>
      </c>
    </row>
    <row r="1002" ht="15" customHeight="1" s="1">
      <c r="A1002" s="2" t="n">
        <v>51000</v>
      </c>
      <c r="B1002" s="2" t="inlineStr">
        <is>
          <t>SKU-0189</t>
        </is>
      </c>
      <c r="C1002" s="2" t="n">
        <v>14</v>
      </c>
      <c r="D1002" s="2">
        <f>VLOOKUP(B1002,Products!$A$2:$D$201,3,FALSE())</f>
        <v/>
      </c>
      <c r="E1002" s="2">
        <f>C1002*D1002</f>
        <v/>
      </c>
      <c r="F1002" s="2">
        <f>C1002*INDEX(Products!$D$2:$D$201,MATCH(B1002,Products!$A$2:$A$201,0))</f>
        <v/>
      </c>
      <c r="G1002" s="2">
        <f>E1002-F1002</f>
        <v/>
      </c>
    </row>
    <row r="1003" ht="15" customHeight="1" s="1">
      <c r="A1003" s="2" t="n">
        <v>51001</v>
      </c>
      <c r="B1003" s="2" t="inlineStr">
        <is>
          <t>SKU-0192</t>
        </is>
      </c>
      <c r="C1003" s="2" t="n">
        <v>17</v>
      </c>
      <c r="D1003" s="2">
        <f>VLOOKUP(B1003,Products!$A$2:$D$201,3,FALSE())</f>
        <v/>
      </c>
      <c r="E1003" s="2">
        <f>C1003*D1003</f>
        <v/>
      </c>
      <c r="F1003" s="2">
        <f>C1003*INDEX(Products!$D$2:$D$201,MATCH(B1003,Products!$A$2:$A$201,0))</f>
        <v/>
      </c>
      <c r="G1003" s="2">
        <f>E1003-F1003</f>
        <v/>
      </c>
    </row>
    <row r="1004" ht="15" customHeight="1" s="1">
      <c r="A1004" s="2" t="n">
        <v>51002</v>
      </c>
      <c r="B1004" s="2" t="inlineStr">
        <is>
          <t>SKU-0157</t>
        </is>
      </c>
      <c r="C1004" s="2" t="n">
        <v>16</v>
      </c>
      <c r="D1004" s="2">
        <f>VLOOKUP(B1004,Products!$A$2:$D$201,3,FALSE())</f>
        <v/>
      </c>
      <c r="E1004" s="2">
        <f>C1004*D1004</f>
        <v/>
      </c>
      <c r="F1004" s="2">
        <f>C1004*INDEX(Products!$D$2:$D$201,MATCH(B1004,Products!$A$2:$A$201,0))</f>
        <v/>
      </c>
      <c r="G1004" s="2">
        <f>E1004-F1004</f>
        <v/>
      </c>
    </row>
    <row r="1005" ht="15" customHeight="1" s="1">
      <c r="A1005" s="2" t="n">
        <v>51003</v>
      </c>
      <c r="B1005" s="2" t="inlineStr">
        <is>
          <t>SKU-0171</t>
        </is>
      </c>
      <c r="C1005" s="2" t="n">
        <v>4</v>
      </c>
      <c r="D1005" s="2">
        <f>VLOOKUP(B1005,Products!$A$2:$D$201,3,FALSE())</f>
        <v/>
      </c>
      <c r="E1005" s="2">
        <f>C1005*D1005</f>
        <v/>
      </c>
      <c r="F1005" s="2">
        <f>C1005*INDEX(Products!$D$2:$D$201,MATCH(B1005,Products!$A$2:$A$201,0))</f>
        <v/>
      </c>
      <c r="G1005" s="2">
        <f>E1005-F1005</f>
        <v/>
      </c>
    </row>
    <row r="1006" ht="15" customHeight="1" s="1">
      <c r="A1006" s="2" t="n">
        <v>51004</v>
      </c>
      <c r="B1006" s="2" t="inlineStr">
        <is>
          <t>SKU-0109</t>
        </is>
      </c>
      <c r="C1006" s="2" t="n">
        <v>7</v>
      </c>
      <c r="D1006" s="2">
        <f>VLOOKUP(B1006,Products!$A$2:$D$201,3,FALSE())</f>
        <v/>
      </c>
      <c r="E1006" s="2">
        <f>C1006*D1006</f>
        <v/>
      </c>
      <c r="F1006" s="2">
        <f>C1006*INDEX(Products!$D$2:$D$201,MATCH(B1006,Products!$A$2:$A$201,0))</f>
        <v/>
      </c>
      <c r="G1006" s="2">
        <f>E1006-F1006</f>
        <v/>
      </c>
    </row>
    <row r="1007" ht="15" customHeight="1" s="1">
      <c r="A1007" s="2" t="n">
        <v>51005</v>
      </c>
      <c r="B1007" s="2" t="inlineStr">
        <is>
          <t>SKU-0094</t>
        </is>
      </c>
      <c r="C1007" s="2" t="n">
        <v>8</v>
      </c>
      <c r="D1007" s="2">
        <f>VLOOKUP(B1007,Products!$A$2:$D$201,3,FALSE())</f>
        <v/>
      </c>
      <c r="E1007" s="2">
        <f>C1007*D1007</f>
        <v/>
      </c>
      <c r="F1007" s="2">
        <f>C1007*INDEX(Products!$D$2:$D$201,MATCH(B1007,Products!$A$2:$A$201,0))</f>
        <v/>
      </c>
      <c r="G1007" s="2">
        <f>E1007-F1007</f>
        <v/>
      </c>
    </row>
    <row r="1008" ht="15" customHeight="1" s="1">
      <c r="A1008" s="2" t="n">
        <v>51006</v>
      </c>
      <c r="B1008" s="2" t="inlineStr">
        <is>
          <t>SKU-0101</t>
        </is>
      </c>
      <c r="C1008" s="2" t="n">
        <v>4</v>
      </c>
      <c r="D1008" s="2">
        <f>VLOOKUP(B1008,Products!$A$2:$D$201,3,FALSE())</f>
        <v/>
      </c>
      <c r="E1008" s="2">
        <f>C1008*D1008</f>
        <v/>
      </c>
      <c r="F1008" s="2">
        <f>C1008*INDEX(Products!$D$2:$D$201,MATCH(B1008,Products!$A$2:$A$201,0))</f>
        <v/>
      </c>
      <c r="G1008" s="2">
        <f>E1008-F1008</f>
        <v/>
      </c>
    </row>
    <row r="1009" ht="15" customHeight="1" s="1">
      <c r="A1009" s="2" t="n">
        <v>51007</v>
      </c>
      <c r="B1009" s="2" t="inlineStr">
        <is>
          <t>SKU-0144</t>
        </is>
      </c>
      <c r="C1009" s="2" t="n">
        <v>2</v>
      </c>
      <c r="D1009" s="2">
        <f>VLOOKUP(B1009,Products!$A$2:$D$201,3,FALSE())</f>
        <v/>
      </c>
      <c r="E1009" s="2">
        <f>C1009*D1009</f>
        <v/>
      </c>
      <c r="F1009" s="2">
        <f>C1009*INDEX(Products!$D$2:$D$201,MATCH(B1009,Products!$A$2:$A$201,0))</f>
        <v/>
      </c>
      <c r="G1009" s="2">
        <f>E1009-F1009</f>
        <v/>
      </c>
    </row>
    <row r="1010" ht="15" customHeight="1" s="1">
      <c r="A1010" s="2" t="n">
        <v>51008</v>
      </c>
      <c r="B1010" s="2" t="inlineStr">
        <is>
          <t>SKU-0096</t>
        </is>
      </c>
      <c r="C1010" s="2" t="n">
        <v>11</v>
      </c>
      <c r="D1010" s="2">
        <f>VLOOKUP(B1010,Products!$A$2:$D$201,3,FALSE())</f>
        <v/>
      </c>
      <c r="E1010" s="2">
        <f>C1010*D1010</f>
        <v/>
      </c>
      <c r="F1010" s="2">
        <f>C1010*INDEX(Products!$D$2:$D$201,MATCH(B1010,Products!$A$2:$A$201,0))</f>
        <v/>
      </c>
      <c r="G1010" s="2">
        <f>E1010-F1010</f>
        <v/>
      </c>
    </row>
    <row r="1011" ht="15" customHeight="1" s="1">
      <c r="A1011" s="2" t="n">
        <v>51009</v>
      </c>
      <c r="B1011" s="2" t="inlineStr">
        <is>
          <t>SKU-0058</t>
        </is>
      </c>
      <c r="C1011" s="2" t="n">
        <v>12</v>
      </c>
      <c r="D1011" s="2">
        <f>VLOOKUP(B1011,Products!$A$2:$D$201,3,FALSE())</f>
        <v/>
      </c>
      <c r="E1011" s="2">
        <f>C1011*D1011</f>
        <v/>
      </c>
      <c r="F1011" s="2">
        <f>C1011*INDEX(Products!$D$2:$D$201,MATCH(B1011,Products!$A$2:$A$201,0))</f>
        <v/>
      </c>
      <c r="G1011" s="2">
        <f>E1011-F1011</f>
        <v/>
      </c>
    </row>
    <row r="1012" ht="15" customHeight="1" s="1">
      <c r="A1012" s="2" t="n">
        <v>51010</v>
      </c>
      <c r="B1012" s="2" t="inlineStr">
        <is>
          <t>SKU-0040</t>
        </is>
      </c>
      <c r="C1012" s="2" t="n">
        <v>14</v>
      </c>
      <c r="D1012" s="2">
        <f>VLOOKUP(B1012,Products!$A$2:$D$201,3,FALSE())</f>
        <v/>
      </c>
      <c r="E1012" s="2">
        <f>C1012*D1012</f>
        <v/>
      </c>
      <c r="F1012" s="2">
        <f>C1012*INDEX(Products!$D$2:$D$201,MATCH(B1012,Products!$A$2:$A$201,0))</f>
        <v/>
      </c>
      <c r="G1012" s="2">
        <f>E1012-F1012</f>
        <v/>
      </c>
    </row>
    <row r="1013" ht="15" customHeight="1" s="1">
      <c r="A1013" s="2" t="n">
        <v>51011</v>
      </c>
      <c r="B1013" s="2" t="inlineStr">
        <is>
          <t>SKU-0085</t>
        </is>
      </c>
      <c r="C1013" s="2" t="n">
        <v>9</v>
      </c>
      <c r="D1013" s="2">
        <f>VLOOKUP(B1013,Products!$A$2:$D$201,3,FALSE())</f>
        <v/>
      </c>
      <c r="E1013" s="2">
        <f>C1013*D1013</f>
        <v/>
      </c>
      <c r="F1013" s="2">
        <f>C1013*INDEX(Products!$D$2:$D$201,MATCH(B1013,Products!$A$2:$A$201,0))</f>
        <v/>
      </c>
      <c r="G1013" s="2">
        <f>E1013-F1013</f>
        <v/>
      </c>
    </row>
    <row r="1014" ht="15" customHeight="1" s="1">
      <c r="A1014" s="2" t="n">
        <v>51012</v>
      </c>
      <c r="B1014" s="2" t="inlineStr">
        <is>
          <t>SKU-0079</t>
        </is>
      </c>
      <c r="C1014" s="2" t="n">
        <v>16</v>
      </c>
      <c r="D1014" s="2">
        <f>VLOOKUP(B1014,Products!$A$2:$D$201,3,FALSE())</f>
        <v/>
      </c>
      <c r="E1014" s="2">
        <f>C1014*D1014</f>
        <v/>
      </c>
      <c r="F1014" s="2">
        <f>C1014*INDEX(Products!$D$2:$D$201,MATCH(B1014,Products!$A$2:$A$201,0))</f>
        <v/>
      </c>
      <c r="G1014" s="2">
        <f>E1014-F1014</f>
        <v/>
      </c>
    </row>
    <row r="1015" ht="15" customHeight="1" s="1">
      <c r="A1015" s="2" t="n">
        <v>51013</v>
      </c>
      <c r="B1015" s="2" t="inlineStr">
        <is>
          <t>SKU-0083</t>
        </is>
      </c>
      <c r="C1015" s="2" t="n">
        <v>6</v>
      </c>
      <c r="D1015" s="2">
        <f>VLOOKUP(B1015,Products!$A$2:$D$201,3,FALSE())</f>
        <v/>
      </c>
      <c r="E1015" s="2">
        <f>C1015*D1015</f>
        <v/>
      </c>
      <c r="F1015" s="2">
        <f>C1015*INDEX(Products!$D$2:$D$201,MATCH(B1015,Products!$A$2:$A$201,0))</f>
        <v/>
      </c>
      <c r="G1015" s="2">
        <f>E1015-F1015</f>
        <v/>
      </c>
    </row>
    <row r="1016" ht="15" customHeight="1" s="1">
      <c r="A1016" s="2" t="n">
        <v>51014</v>
      </c>
      <c r="B1016" s="2" t="inlineStr">
        <is>
          <t>SKU-0059</t>
        </is>
      </c>
      <c r="C1016" s="2" t="n">
        <v>2</v>
      </c>
      <c r="D1016" s="2">
        <f>VLOOKUP(B1016,Products!$A$2:$D$201,3,FALSE())</f>
        <v/>
      </c>
      <c r="E1016" s="2">
        <f>C1016*D1016</f>
        <v/>
      </c>
      <c r="F1016" s="2">
        <f>C1016*INDEX(Products!$D$2:$D$201,MATCH(B1016,Products!$A$2:$A$201,0))</f>
        <v/>
      </c>
      <c r="G1016" s="2">
        <f>E1016-F1016</f>
        <v/>
      </c>
    </row>
    <row r="1017" ht="15" customHeight="1" s="1">
      <c r="A1017" s="2" t="n">
        <v>51015</v>
      </c>
      <c r="B1017" s="2" t="inlineStr">
        <is>
          <t>SKU-0193</t>
        </is>
      </c>
      <c r="C1017" s="2" t="n">
        <v>15</v>
      </c>
      <c r="D1017" s="2">
        <f>VLOOKUP(B1017,Products!$A$2:$D$201,3,FALSE())</f>
        <v/>
      </c>
      <c r="E1017" s="2">
        <f>C1017*D1017</f>
        <v/>
      </c>
      <c r="F1017" s="2">
        <f>C1017*INDEX(Products!$D$2:$D$201,MATCH(B1017,Products!$A$2:$A$201,0))</f>
        <v/>
      </c>
      <c r="G1017" s="2">
        <f>E1017-F1017</f>
        <v/>
      </c>
    </row>
    <row r="1018" ht="15" customHeight="1" s="1">
      <c r="A1018" s="2" t="n">
        <v>51016</v>
      </c>
      <c r="B1018" s="2" t="inlineStr">
        <is>
          <t>SKU-0083</t>
        </is>
      </c>
      <c r="C1018" s="2" t="n">
        <v>8</v>
      </c>
      <c r="D1018" s="2">
        <f>VLOOKUP(B1018,Products!$A$2:$D$201,3,FALSE())</f>
        <v/>
      </c>
      <c r="E1018" s="2">
        <f>C1018*D1018</f>
        <v/>
      </c>
      <c r="F1018" s="2">
        <f>C1018*INDEX(Products!$D$2:$D$201,MATCH(B1018,Products!$A$2:$A$201,0))</f>
        <v/>
      </c>
      <c r="G1018" s="2">
        <f>E1018-F1018</f>
        <v/>
      </c>
    </row>
    <row r="1019" ht="15" customHeight="1" s="1">
      <c r="A1019" s="2" t="n">
        <v>51017</v>
      </c>
      <c r="B1019" s="2" t="inlineStr">
        <is>
          <t>SKU-0022</t>
        </is>
      </c>
      <c r="C1019" s="2" t="n">
        <v>16</v>
      </c>
      <c r="D1019" s="2">
        <f>VLOOKUP(B1019,Products!$A$2:$D$201,3,FALSE())</f>
        <v/>
      </c>
      <c r="E1019" s="2">
        <f>C1019*D1019</f>
        <v/>
      </c>
      <c r="F1019" s="2">
        <f>C1019*INDEX(Products!$D$2:$D$201,MATCH(B1019,Products!$A$2:$A$201,0))</f>
        <v/>
      </c>
      <c r="G1019" s="2">
        <f>E1019-F1019</f>
        <v/>
      </c>
    </row>
    <row r="1020" ht="15" customHeight="1" s="1">
      <c r="A1020" s="2" t="n">
        <v>51018</v>
      </c>
      <c r="B1020" s="2" t="inlineStr">
        <is>
          <t>SKU-0091</t>
        </is>
      </c>
      <c r="C1020" s="2" t="n">
        <v>10</v>
      </c>
      <c r="D1020" s="2">
        <f>VLOOKUP(B1020,Products!$A$2:$D$201,3,FALSE())</f>
        <v/>
      </c>
      <c r="E1020" s="2">
        <f>C1020*D1020</f>
        <v/>
      </c>
      <c r="F1020" s="2">
        <f>C1020*INDEX(Products!$D$2:$D$201,MATCH(B1020,Products!$A$2:$A$201,0))</f>
        <v/>
      </c>
      <c r="G1020" s="2">
        <f>E1020-F1020</f>
        <v/>
      </c>
    </row>
    <row r="1021" ht="15" customHeight="1" s="1">
      <c r="A1021" s="2" t="n">
        <v>51019</v>
      </c>
      <c r="B1021" s="2" t="inlineStr">
        <is>
          <t>SKU-0022</t>
        </is>
      </c>
      <c r="C1021" s="2" t="n">
        <v>10</v>
      </c>
      <c r="D1021" s="2">
        <f>VLOOKUP(B1021,Products!$A$2:$D$201,3,FALSE())</f>
        <v/>
      </c>
      <c r="E1021" s="2">
        <f>C1021*D1021</f>
        <v/>
      </c>
      <c r="F1021" s="2">
        <f>C1021*INDEX(Products!$D$2:$D$201,MATCH(B1021,Products!$A$2:$A$201,0))</f>
        <v/>
      </c>
      <c r="G1021" s="2">
        <f>E1021-F1021</f>
        <v/>
      </c>
    </row>
    <row r="1022" ht="15" customHeight="1" s="1">
      <c r="A1022" s="2" t="n">
        <v>51020</v>
      </c>
      <c r="B1022" s="2" t="inlineStr">
        <is>
          <t>SKU-0037</t>
        </is>
      </c>
      <c r="C1022" s="2" t="n">
        <v>20</v>
      </c>
      <c r="D1022" s="2">
        <f>VLOOKUP(B1022,Products!$A$2:$D$201,3,FALSE())</f>
        <v/>
      </c>
      <c r="E1022" s="2">
        <f>C1022*D1022</f>
        <v/>
      </c>
      <c r="F1022" s="2">
        <f>C1022*INDEX(Products!$D$2:$D$201,MATCH(B1022,Products!$A$2:$A$201,0))</f>
        <v/>
      </c>
      <c r="G1022" s="2">
        <f>E1022-F1022</f>
        <v/>
      </c>
    </row>
    <row r="1023" ht="15" customHeight="1" s="1">
      <c r="A1023" s="2" t="n">
        <v>51021</v>
      </c>
      <c r="B1023" s="2" t="inlineStr">
        <is>
          <t>SKU-0084</t>
        </is>
      </c>
      <c r="C1023" s="2" t="n">
        <v>17</v>
      </c>
      <c r="D1023" s="2">
        <f>VLOOKUP(B1023,Products!$A$2:$D$201,3,FALSE())</f>
        <v/>
      </c>
      <c r="E1023" s="2">
        <f>C1023*D1023</f>
        <v/>
      </c>
      <c r="F1023" s="2">
        <f>C1023*INDEX(Products!$D$2:$D$201,MATCH(B1023,Products!$A$2:$A$201,0))</f>
        <v/>
      </c>
      <c r="G1023" s="2">
        <f>E1023-F1023</f>
        <v/>
      </c>
    </row>
    <row r="1024" ht="15" customHeight="1" s="1">
      <c r="A1024" s="2" t="n">
        <v>51022</v>
      </c>
      <c r="B1024" s="2" t="inlineStr">
        <is>
          <t>SKU-0178</t>
        </is>
      </c>
      <c r="C1024" s="2" t="n">
        <v>16</v>
      </c>
      <c r="D1024" s="2">
        <f>VLOOKUP(B1024,Products!$A$2:$D$201,3,FALSE())</f>
        <v/>
      </c>
      <c r="E1024" s="2">
        <f>C1024*D1024</f>
        <v/>
      </c>
      <c r="F1024" s="2">
        <f>C1024*INDEX(Products!$D$2:$D$201,MATCH(B1024,Products!$A$2:$A$201,0))</f>
        <v/>
      </c>
      <c r="G1024" s="2">
        <f>E1024-F1024</f>
        <v/>
      </c>
    </row>
    <row r="1025" ht="15" customHeight="1" s="1">
      <c r="A1025" s="2" t="n">
        <v>51023</v>
      </c>
      <c r="B1025" s="2" t="inlineStr">
        <is>
          <t>SKU-0195</t>
        </is>
      </c>
      <c r="C1025" s="2" t="n">
        <v>6</v>
      </c>
      <c r="D1025" s="2">
        <f>VLOOKUP(B1025,Products!$A$2:$D$201,3,FALSE())</f>
        <v/>
      </c>
      <c r="E1025" s="2">
        <f>C1025*D1025</f>
        <v/>
      </c>
      <c r="F1025" s="2">
        <f>C1025*INDEX(Products!$D$2:$D$201,MATCH(B1025,Products!$A$2:$A$201,0))</f>
        <v/>
      </c>
      <c r="G1025" s="2">
        <f>E1025-F1025</f>
        <v/>
      </c>
    </row>
    <row r="1026" ht="15" customHeight="1" s="1">
      <c r="A1026" s="2" t="n">
        <v>51024</v>
      </c>
      <c r="B1026" s="2" t="inlineStr">
        <is>
          <t>SKU-0121</t>
        </is>
      </c>
      <c r="C1026" s="2" t="n">
        <v>7</v>
      </c>
      <c r="D1026" s="2">
        <f>VLOOKUP(B1026,Products!$A$2:$D$201,3,FALSE())</f>
        <v/>
      </c>
      <c r="E1026" s="2">
        <f>C1026*D1026</f>
        <v/>
      </c>
      <c r="F1026" s="2">
        <f>C1026*INDEX(Products!$D$2:$D$201,MATCH(B1026,Products!$A$2:$A$201,0))</f>
        <v/>
      </c>
      <c r="G1026" s="2">
        <f>E1026-F1026</f>
        <v/>
      </c>
    </row>
    <row r="1027" ht="15" customHeight="1" s="1">
      <c r="A1027" s="2" t="n">
        <v>51025</v>
      </c>
      <c r="B1027" s="2" t="inlineStr">
        <is>
          <t>SKU-0100</t>
        </is>
      </c>
      <c r="C1027" s="2" t="n">
        <v>15</v>
      </c>
      <c r="D1027" s="2">
        <f>VLOOKUP(B1027,Products!$A$2:$D$201,3,FALSE())</f>
        <v/>
      </c>
      <c r="E1027" s="2">
        <f>C1027*D1027</f>
        <v/>
      </c>
      <c r="F1027" s="2">
        <f>C1027*INDEX(Products!$D$2:$D$201,MATCH(B1027,Products!$A$2:$A$201,0))</f>
        <v/>
      </c>
      <c r="G1027" s="2">
        <f>E1027-F1027</f>
        <v/>
      </c>
    </row>
    <row r="1028" ht="15" customHeight="1" s="1">
      <c r="A1028" s="2" t="n">
        <v>51026</v>
      </c>
      <c r="B1028" s="2" t="inlineStr">
        <is>
          <t>SKU-0069</t>
        </is>
      </c>
      <c r="C1028" s="2" t="n">
        <v>20</v>
      </c>
      <c r="D1028" s="2">
        <f>VLOOKUP(B1028,Products!$A$2:$D$201,3,FALSE())</f>
        <v/>
      </c>
      <c r="E1028" s="2">
        <f>C1028*D1028</f>
        <v/>
      </c>
      <c r="F1028" s="2">
        <f>C1028*INDEX(Products!$D$2:$D$201,MATCH(B1028,Products!$A$2:$A$201,0))</f>
        <v/>
      </c>
      <c r="G1028" s="2">
        <f>E1028-F1028</f>
        <v/>
      </c>
    </row>
    <row r="1029" ht="15" customHeight="1" s="1">
      <c r="A1029" s="2" t="n">
        <v>51027</v>
      </c>
      <c r="B1029" s="2" t="inlineStr">
        <is>
          <t>SKU-0150</t>
        </is>
      </c>
      <c r="C1029" s="2" t="n">
        <v>1</v>
      </c>
      <c r="D1029" s="2">
        <f>VLOOKUP(B1029,Products!$A$2:$D$201,3,FALSE())</f>
        <v/>
      </c>
      <c r="E1029" s="2">
        <f>C1029*D1029</f>
        <v/>
      </c>
      <c r="F1029" s="2">
        <f>C1029*INDEX(Products!$D$2:$D$201,MATCH(B1029,Products!$A$2:$A$201,0))</f>
        <v/>
      </c>
      <c r="G1029" s="2">
        <f>E1029-F1029</f>
        <v/>
      </c>
    </row>
    <row r="1030" ht="15" customHeight="1" s="1">
      <c r="A1030" s="2" t="n">
        <v>51028</v>
      </c>
      <c r="B1030" s="2" t="inlineStr">
        <is>
          <t>SKU-0182</t>
        </is>
      </c>
      <c r="C1030" s="2" t="n">
        <v>20</v>
      </c>
      <c r="D1030" s="2">
        <f>VLOOKUP(B1030,Products!$A$2:$D$201,3,FALSE())</f>
        <v/>
      </c>
      <c r="E1030" s="2">
        <f>C1030*D1030</f>
        <v/>
      </c>
      <c r="F1030" s="2">
        <f>C1030*INDEX(Products!$D$2:$D$201,MATCH(B1030,Products!$A$2:$A$201,0))</f>
        <v/>
      </c>
      <c r="G1030" s="2">
        <f>E1030-F1030</f>
        <v/>
      </c>
    </row>
    <row r="1031" ht="15" customHeight="1" s="1">
      <c r="A1031" s="2" t="n">
        <v>51029</v>
      </c>
      <c r="B1031" s="2" t="inlineStr">
        <is>
          <t>SKU-0049</t>
        </is>
      </c>
      <c r="C1031" s="2" t="n">
        <v>4</v>
      </c>
      <c r="D1031" s="2">
        <f>VLOOKUP(B1031,Products!$A$2:$D$201,3,FALSE())</f>
        <v/>
      </c>
      <c r="E1031" s="2">
        <f>C1031*D1031</f>
        <v/>
      </c>
      <c r="F1031" s="2">
        <f>C1031*INDEX(Products!$D$2:$D$201,MATCH(B1031,Products!$A$2:$A$201,0))</f>
        <v/>
      </c>
      <c r="G1031" s="2">
        <f>E1031-F1031</f>
        <v/>
      </c>
    </row>
    <row r="1032" ht="15" customHeight="1" s="1">
      <c r="A1032" s="2" t="n">
        <v>51030</v>
      </c>
      <c r="B1032" s="2" t="inlineStr">
        <is>
          <t>SKU-0106</t>
        </is>
      </c>
      <c r="C1032" s="2" t="n">
        <v>6</v>
      </c>
      <c r="D1032" s="2">
        <f>VLOOKUP(B1032,Products!$A$2:$D$201,3,FALSE())</f>
        <v/>
      </c>
      <c r="E1032" s="2">
        <f>C1032*D1032</f>
        <v/>
      </c>
      <c r="F1032" s="2">
        <f>C1032*INDEX(Products!$D$2:$D$201,MATCH(B1032,Products!$A$2:$A$201,0))</f>
        <v/>
      </c>
      <c r="G1032" s="2">
        <f>E1032-F1032</f>
        <v/>
      </c>
    </row>
    <row r="1033" ht="15" customHeight="1" s="1">
      <c r="A1033" s="2" t="n">
        <v>51031</v>
      </c>
      <c r="B1033" s="2" t="inlineStr">
        <is>
          <t>SKU-0131</t>
        </is>
      </c>
      <c r="C1033" s="2" t="n">
        <v>1</v>
      </c>
      <c r="D1033" s="2">
        <f>VLOOKUP(B1033,Products!$A$2:$D$201,3,FALSE())</f>
        <v/>
      </c>
      <c r="E1033" s="2">
        <f>C1033*D1033</f>
        <v/>
      </c>
      <c r="F1033" s="2">
        <f>C1033*INDEX(Products!$D$2:$D$201,MATCH(B1033,Products!$A$2:$A$201,0))</f>
        <v/>
      </c>
      <c r="G1033" s="2">
        <f>E1033-F1033</f>
        <v/>
      </c>
    </row>
    <row r="1034" ht="15" customHeight="1" s="1">
      <c r="A1034" s="2" t="n">
        <v>51032</v>
      </c>
      <c r="B1034" s="2" t="inlineStr">
        <is>
          <t>SKU-0181</t>
        </is>
      </c>
      <c r="C1034" s="2" t="n">
        <v>19</v>
      </c>
      <c r="D1034" s="2">
        <f>VLOOKUP(B1034,Products!$A$2:$D$201,3,FALSE())</f>
        <v/>
      </c>
      <c r="E1034" s="2">
        <f>C1034*D1034</f>
        <v/>
      </c>
      <c r="F1034" s="2">
        <f>C1034*INDEX(Products!$D$2:$D$201,MATCH(B1034,Products!$A$2:$A$201,0))</f>
        <v/>
      </c>
      <c r="G1034" s="2">
        <f>E1034-F1034</f>
        <v/>
      </c>
    </row>
    <row r="1035" ht="15" customHeight="1" s="1">
      <c r="A1035" s="2" t="n">
        <v>51033</v>
      </c>
      <c r="B1035" s="2" t="inlineStr">
        <is>
          <t>SKU-0084</t>
        </is>
      </c>
      <c r="C1035" s="2" t="n">
        <v>9</v>
      </c>
      <c r="D1035" s="2">
        <f>VLOOKUP(B1035,Products!$A$2:$D$201,3,FALSE())</f>
        <v/>
      </c>
      <c r="E1035" s="2">
        <f>C1035*D1035</f>
        <v/>
      </c>
      <c r="F1035" s="2">
        <f>C1035*INDEX(Products!$D$2:$D$201,MATCH(B1035,Products!$A$2:$A$201,0))</f>
        <v/>
      </c>
      <c r="G1035" s="2">
        <f>E1035-F1035</f>
        <v/>
      </c>
    </row>
    <row r="1036" ht="15" customHeight="1" s="1">
      <c r="A1036" s="2" t="n">
        <v>51034</v>
      </c>
      <c r="B1036" s="2" t="inlineStr">
        <is>
          <t>SKU-0197</t>
        </is>
      </c>
      <c r="C1036" s="2" t="n">
        <v>1</v>
      </c>
      <c r="D1036" s="2">
        <f>VLOOKUP(B1036,Products!$A$2:$D$201,3,FALSE())</f>
        <v/>
      </c>
      <c r="E1036" s="2">
        <f>C1036*D1036</f>
        <v/>
      </c>
      <c r="F1036" s="2">
        <f>C1036*INDEX(Products!$D$2:$D$201,MATCH(B1036,Products!$A$2:$A$201,0))</f>
        <v/>
      </c>
      <c r="G1036" s="2">
        <f>E1036-F1036</f>
        <v/>
      </c>
    </row>
    <row r="1037" ht="15" customHeight="1" s="1">
      <c r="A1037" s="2" t="n">
        <v>51035</v>
      </c>
      <c r="B1037" s="2" t="inlineStr">
        <is>
          <t>SKU-0005</t>
        </is>
      </c>
      <c r="C1037" s="2" t="n">
        <v>18</v>
      </c>
      <c r="D1037" s="2">
        <f>VLOOKUP(B1037,Products!$A$2:$D$201,3,FALSE())</f>
        <v/>
      </c>
      <c r="E1037" s="2">
        <f>C1037*D1037</f>
        <v/>
      </c>
      <c r="F1037" s="2">
        <f>C1037*INDEX(Products!$D$2:$D$201,MATCH(B1037,Products!$A$2:$A$201,0))</f>
        <v/>
      </c>
      <c r="G1037" s="2">
        <f>E1037-F1037</f>
        <v/>
      </c>
    </row>
    <row r="1038" ht="15" customHeight="1" s="1">
      <c r="A1038" s="2" t="n">
        <v>51036</v>
      </c>
      <c r="B1038" s="2" t="inlineStr">
        <is>
          <t>SKU-0091</t>
        </is>
      </c>
      <c r="C1038" s="2" t="n">
        <v>14</v>
      </c>
      <c r="D1038" s="2">
        <f>VLOOKUP(B1038,Products!$A$2:$D$201,3,FALSE())</f>
        <v/>
      </c>
      <c r="E1038" s="2">
        <f>C1038*D1038</f>
        <v/>
      </c>
      <c r="F1038" s="2">
        <f>C1038*INDEX(Products!$D$2:$D$201,MATCH(B1038,Products!$A$2:$A$201,0))</f>
        <v/>
      </c>
      <c r="G1038" s="2">
        <f>E1038-F1038</f>
        <v/>
      </c>
    </row>
    <row r="1039" ht="15" customHeight="1" s="1">
      <c r="A1039" s="2" t="n">
        <v>51037</v>
      </c>
      <c r="B1039" s="2" t="inlineStr">
        <is>
          <t>SKU-0175</t>
        </is>
      </c>
      <c r="C1039" s="2" t="n">
        <v>4</v>
      </c>
      <c r="D1039" s="2">
        <f>VLOOKUP(B1039,Products!$A$2:$D$201,3,FALSE())</f>
        <v/>
      </c>
      <c r="E1039" s="2">
        <f>C1039*D1039</f>
        <v/>
      </c>
      <c r="F1039" s="2">
        <f>C1039*INDEX(Products!$D$2:$D$201,MATCH(B1039,Products!$A$2:$A$201,0))</f>
        <v/>
      </c>
      <c r="G1039" s="2">
        <f>E1039-F1039</f>
        <v/>
      </c>
    </row>
    <row r="1040" ht="15" customHeight="1" s="1">
      <c r="A1040" s="2" t="n">
        <v>51038</v>
      </c>
      <c r="B1040" s="2" t="inlineStr">
        <is>
          <t>SKU-0179</t>
        </is>
      </c>
      <c r="C1040" s="2" t="n">
        <v>17</v>
      </c>
      <c r="D1040" s="2">
        <f>VLOOKUP(B1040,Products!$A$2:$D$201,3,FALSE())</f>
        <v/>
      </c>
      <c r="E1040" s="2">
        <f>C1040*D1040</f>
        <v/>
      </c>
      <c r="F1040" s="2">
        <f>C1040*INDEX(Products!$D$2:$D$201,MATCH(B1040,Products!$A$2:$A$201,0))</f>
        <v/>
      </c>
      <c r="G1040" s="2">
        <f>E1040-F1040</f>
        <v/>
      </c>
    </row>
    <row r="1041" ht="15" customHeight="1" s="1">
      <c r="A1041" s="2" t="n">
        <v>51039</v>
      </c>
      <c r="B1041" s="2" t="inlineStr">
        <is>
          <t>SKU-0056</t>
        </is>
      </c>
      <c r="C1041" s="2" t="n">
        <v>6</v>
      </c>
      <c r="D1041" s="2">
        <f>VLOOKUP(B1041,Products!$A$2:$D$201,3,FALSE())</f>
        <v/>
      </c>
      <c r="E1041" s="2">
        <f>C1041*D1041</f>
        <v/>
      </c>
      <c r="F1041" s="2">
        <f>C1041*INDEX(Products!$D$2:$D$201,MATCH(B1041,Products!$A$2:$A$201,0))</f>
        <v/>
      </c>
      <c r="G1041" s="2">
        <f>E1041-F1041</f>
        <v/>
      </c>
    </row>
    <row r="1042" ht="15" customHeight="1" s="1">
      <c r="A1042" s="2" t="n">
        <v>51040</v>
      </c>
      <c r="B1042" s="2" t="inlineStr">
        <is>
          <t>SKU-0176</t>
        </is>
      </c>
      <c r="C1042" s="2" t="n">
        <v>19</v>
      </c>
      <c r="D1042" s="2">
        <f>VLOOKUP(B1042,Products!$A$2:$D$201,3,FALSE())</f>
        <v/>
      </c>
      <c r="E1042" s="2">
        <f>C1042*D1042</f>
        <v/>
      </c>
      <c r="F1042" s="2">
        <f>C1042*INDEX(Products!$D$2:$D$201,MATCH(B1042,Products!$A$2:$A$201,0))</f>
        <v/>
      </c>
      <c r="G1042" s="2">
        <f>E1042-F1042</f>
        <v/>
      </c>
    </row>
    <row r="1043" ht="15" customHeight="1" s="1">
      <c r="A1043" s="2" t="n">
        <v>51041</v>
      </c>
      <c r="B1043" s="2" t="inlineStr">
        <is>
          <t>SKU-0164</t>
        </is>
      </c>
      <c r="C1043" s="2" t="n">
        <v>11</v>
      </c>
      <c r="D1043" s="2">
        <f>VLOOKUP(B1043,Products!$A$2:$D$201,3,FALSE())</f>
        <v/>
      </c>
      <c r="E1043" s="2">
        <f>C1043*D1043</f>
        <v/>
      </c>
      <c r="F1043" s="2">
        <f>C1043*INDEX(Products!$D$2:$D$201,MATCH(B1043,Products!$A$2:$A$201,0))</f>
        <v/>
      </c>
      <c r="G1043" s="2">
        <f>E1043-F1043</f>
        <v/>
      </c>
    </row>
    <row r="1044" ht="15" customHeight="1" s="1">
      <c r="A1044" s="2" t="n">
        <v>51042</v>
      </c>
      <c r="B1044" s="2" t="inlineStr">
        <is>
          <t>SKU-0073</t>
        </is>
      </c>
      <c r="C1044" s="2" t="n">
        <v>7</v>
      </c>
      <c r="D1044" s="2">
        <f>VLOOKUP(B1044,Products!$A$2:$D$201,3,FALSE())</f>
        <v/>
      </c>
      <c r="E1044" s="2">
        <f>C1044*D1044</f>
        <v/>
      </c>
      <c r="F1044" s="2">
        <f>C1044*INDEX(Products!$D$2:$D$201,MATCH(B1044,Products!$A$2:$A$201,0))</f>
        <v/>
      </c>
      <c r="G1044" s="2">
        <f>E1044-F1044</f>
        <v/>
      </c>
    </row>
    <row r="1045" ht="15" customHeight="1" s="1">
      <c r="A1045" s="2" t="n">
        <v>51043</v>
      </c>
      <c r="B1045" s="2" t="inlineStr">
        <is>
          <t>SKU-0156</t>
        </is>
      </c>
      <c r="C1045" s="2" t="n">
        <v>13</v>
      </c>
      <c r="D1045" s="2">
        <f>VLOOKUP(B1045,Products!$A$2:$D$201,3,FALSE())</f>
        <v/>
      </c>
      <c r="E1045" s="2">
        <f>C1045*D1045</f>
        <v/>
      </c>
      <c r="F1045" s="2">
        <f>C1045*INDEX(Products!$D$2:$D$201,MATCH(B1045,Products!$A$2:$A$201,0))</f>
        <v/>
      </c>
      <c r="G1045" s="2">
        <f>E1045-F1045</f>
        <v/>
      </c>
    </row>
    <row r="1046" ht="15" customHeight="1" s="1">
      <c r="A1046" s="2" t="n">
        <v>51044</v>
      </c>
      <c r="B1046" s="2" t="inlineStr">
        <is>
          <t>SKU-0181</t>
        </is>
      </c>
      <c r="C1046" s="2" t="n">
        <v>6</v>
      </c>
      <c r="D1046" s="2">
        <f>VLOOKUP(B1046,Products!$A$2:$D$201,3,FALSE())</f>
        <v/>
      </c>
      <c r="E1046" s="2">
        <f>C1046*D1046</f>
        <v/>
      </c>
      <c r="F1046" s="2">
        <f>C1046*INDEX(Products!$D$2:$D$201,MATCH(B1046,Products!$A$2:$A$201,0))</f>
        <v/>
      </c>
      <c r="G1046" s="2">
        <f>E1046-F1046</f>
        <v/>
      </c>
    </row>
    <row r="1047" ht="15" customHeight="1" s="1">
      <c r="A1047" s="2" t="n">
        <v>51045</v>
      </c>
      <c r="B1047" s="2" t="inlineStr">
        <is>
          <t>SKU-0035</t>
        </is>
      </c>
      <c r="C1047" s="2" t="n">
        <v>20</v>
      </c>
      <c r="D1047" s="2">
        <f>VLOOKUP(B1047,Products!$A$2:$D$201,3,FALSE())</f>
        <v/>
      </c>
      <c r="E1047" s="2">
        <f>C1047*D1047</f>
        <v/>
      </c>
      <c r="F1047" s="2">
        <f>C1047*INDEX(Products!$D$2:$D$201,MATCH(B1047,Products!$A$2:$A$201,0))</f>
        <v/>
      </c>
      <c r="G1047" s="2">
        <f>E1047-F1047</f>
        <v/>
      </c>
    </row>
    <row r="1048" ht="15" customHeight="1" s="1">
      <c r="A1048" s="2" t="n">
        <v>51046</v>
      </c>
      <c r="B1048" s="2" t="inlineStr">
        <is>
          <t>SKU-0123</t>
        </is>
      </c>
      <c r="C1048" s="2" t="n">
        <v>10</v>
      </c>
      <c r="D1048" s="2">
        <f>VLOOKUP(B1048,Products!$A$2:$D$201,3,FALSE())</f>
        <v/>
      </c>
      <c r="E1048" s="2">
        <f>C1048*D1048</f>
        <v/>
      </c>
      <c r="F1048" s="2">
        <f>C1048*INDEX(Products!$D$2:$D$201,MATCH(B1048,Products!$A$2:$A$201,0))</f>
        <v/>
      </c>
      <c r="G1048" s="2">
        <f>E1048-F1048</f>
        <v/>
      </c>
    </row>
    <row r="1049" ht="15" customHeight="1" s="1">
      <c r="A1049" s="2" t="n">
        <v>51047</v>
      </c>
      <c r="B1049" s="2" t="inlineStr">
        <is>
          <t>SKU-0158</t>
        </is>
      </c>
      <c r="C1049" s="2" t="n">
        <v>13</v>
      </c>
      <c r="D1049" s="2">
        <f>VLOOKUP(B1049,Products!$A$2:$D$201,3,FALSE())</f>
        <v/>
      </c>
      <c r="E1049" s="2">
        <f>C1049*D1049</f>
        <v/>
      </c>
      <c r="F1049" s="2">
        <f>C1049*INDEX(Products!$D$2:$D$201,MATCH(B1049,Products!$A$2:$A$201,0))</f>
        <v/>
      </c>
      <c r="G1049" s="2">
        <f>E1049-F1049</f>
        <v/>
      </c>
    </row>
    <row r="1050" ht="15" customHeight="1" s="1">
      <c r="A1050" s="2" t="n">
        <v>51048</v>
      </c>
      <c r="B1050" s="2" t="inlineStr">
        <is>
          <t>SKU-0188</t>
        </is>
      </c>
      <c r="C1050" s="2" t="n">
        <v>15</v>
      </c>
      <c r="D1050" s="2">
        <f>VLOOKUP(B1050,Products!$A$2:$D$201,3,FALSE())</f>
        <v/>
      </c>
      <c r="E1050" s="2">
        <f>C1050*D1050</f>
        <v/>
      </c>
      <c r="F1050" s="2">
        <f>C1050*INDEX(Products!$D$2:$D$201,MATCH(B1050,Products!$A$2:$A$201,0))</f>
        <v/>
      </c>
      <c r="G1050" s="2">
        <f>E1050-F1050</f>
        <v/>
      </c>
    </row>
    <row r="1051" ht="15" customHeight="1" s="1">
      <c r="A1051" s="2" t="n">
        <v>51049</v>
      </c>
      <c r="B1051" s="2" t="inlineStr">
        <is>
          <t>SKU-0082</t>
        </is>
      </c>
      <c r="C1051" s="2" t="n">
        <v>9</v>
      </c>
      <c r="D1051" s="2">
        <f>VLOOKUP(B1051,Products!$A$2:$D$201,3,FALSE())</f>
        <v/>
      </c>
      <c r="E1051" s="2">
        <f>C1051*D1051</f>
        <v/>
      </c>
      <c r="F1051" s="2">
        <f>C1051*INDEX(Products!$D$2:$D$201,MATCH(B1051,Products!$A$2:$A$201,0))</f>
        <v/>
      </c>
      <c r="G1051" s="2">
        <f>E1051-F1051</f>
        <v/>
      </c>
    </row>
    <row r="1052" ht="15" customHeight="1" s="1">
      <c r="A1052" s="2" t="n">
        <v>51050</v>
      </c>
      <c r="B1052" s="2" t="inlineStr">
        <is>
          <t>SKU-0080</t>
        </is>
      </c>
      <c r="C1052" s="2" t="n">
        <v>11</v>
      </c>
      <c r="D1052" s="2">
        <f>VLOOKUP(B1052,Products!$A$2:$D$201,3,FALSE())</f>
        <v/>
      </c>
      <c r="E1052" s="2">
        <f>C1052*D1052</f>
        <v/>
      </c>
      <c r="F1052" s="2">
        <f>C1052*INDEX(Products!$D$2:$D$201,MATCH(B1052,Products!$A$2:$A$201,0))</f>
        <v/>
      </c>
      <c r="G1052" s="2">
        <f>E1052-F1052</f>
        <v/>
      </c>
    </row>
    <row r="1053" ht="15" customHeight="1" s="1">
      <c r="A1053" s="2" t="n">
        <v>51051</v>
      </c>
      <c r="B1053" s="2" t="inlineStr">
        <is>
          <t>SKU-0008</t>
        </is>
      </c>
      <c r="C1053" s="2" t="n">
        <v>10</v>
      </c>
      <c r="D1053" s="2">
        <f>VLOOKUP(B1053,Products!$A$2:$D$201,3,FALSE())</f>
        <v/>
      </c>
      <c r="E1053" s="2">
        <f>C1053*D1053</f>
        <v/>
      </c>
      <c r="F1053" s="2">
        <f>C1053*INDEX(Products!$D$2:$D$201,MATCH(B1053,Products!$A$2:$A$201,0))</f>
        <v/>
      </c>
      <c r="G1053" s="2">
        <f>E1053-F1053</f>
        <v/>
      </c>
    </row>
    <row r="1054" ht="15" customHeight="1" s="1">
      <c r="A1054" s="2" t="n">
        <v>51052</v>
      </c>
      <c r="B1054" s="2" t="inlineStr">
        <is>
          <t>SKU-0168</t>
        </is>
      </c>
      <c r="C1054" s="2" t="n">
        <v>13</v>
      </c>
      <c r="D1054" s="2">
        <f>VLOOKUP(B1054,Products!$A$2:$D$201,3,FALSE())</f>
        <v/>
      </c>
      <c r="E1054" s="2">
        <f>C1054*D1054</f>
        <v/>
      </c>
      <c r="F1054" s="2">
        <f>C1054*INDEX(Products!$D$2:$D$201,MATCH(B1054,Products!$A$2:$A$201,0))</f>
        <v/>
      </c>
      <c r="G1054" s="2">
        <f>E1054-F1054</f>
        <v/>
      </c>
    </row>
    <row r="1055" ht="15" customHeight="1" s="1">
      <c r="A1055" s="2" t="n">
        <v>51053</v>
      </c>
      <c r="B1055" s="2" t="inlineStr">
        <is>
          <t>SKU-0120</t>
        </is>
      </c>
      <c r="C1055" s="2" t="n">
        <v>20</v>
      </c>
      <c r="D1055" s="2">
        <f>VLOOKUP(B1055,Products!$A$2:$D$201,3,FALSE())</f>
        <v/>
      </c>
      <c r="E1055" s="2">
        <f>C1055*D1055</f>
        <v/>
      </c>
      <c r="F1055" s="2">
        <f>C1055*INDEX(Products!$D$2:$D$201,MATCH(B1055,Products!$A$2:$A$201,0))</f>
        <v/>
      </c>
      <c r="G1055" s="2">
        <f>E1055-F1055</f>
        <v/>
      </c>
    </row>
    <row r="1056" ht="15" customHeight="1" s="1">
      <c r="A1056" s="2" t="n">
        <v>51054</v>
      </c>
      <c r="B1056" s="2" t="inlineStr">
        <is>
          <t>SKU-0143</t>
        </is>
      </c>
      <c r="C1056" s="2" t="n">
        <v>8</v>
      </c>
      <c r="D1056" s="2">
        <f>VLOOKUP(B1056,Products!$A$2:$D$201,3,FALSE())</f>
        <v/>
      </c>
      <c r="E1056" s="2">
        <f>C1056*D1056</f>
        <v/>
      </c>
      <c r="F1056" s="2">
        <f>C1056*INDEX(Products!$D$2:$D$201,MATCH(B1056,Products!$A$2:$A$201,0))</f>
        <v/>
      </c>
      <c r="G1056" s="2">
        <f>E1056-F1056</f>
        <v/>
      </c>
    </row>
    <row r="1057" ht="15" customHeight="1" s="1">
      <c r="A1057" s="2" t="n">
        <v>51055</v>
      </c>
      <c r="B1057" s="2" t="inlineStr">
        <is>
          <t>SKU-0067</t>
        </is>
      </c>
      <c r="C1057" s="2" t="n">
        <v>3</v>
      </c>
      <c r="D1057" s="2">
        <f>VLOOKUP(B1057,Products!$A$2:$D$201,3,FALSE())</f>
        <v/>
      </c>
      <c r="E1057" s="2">
        <f>C1057*D1057</f>
        <v/>
      </c>
      <c r="F1057" s="2">
        <f>C1057*INDEX(Products!$D$2:$D$201,MATCH(B1057,Products!$A$2:$A$201,0))</f>
        <v/>
      </c>
      <c r="G1057" s="2">
        <f>E1057-F1057</f>
        <v/>
      </c>
    </row>
    <row r="1058" ht="15" customHeight="1" s="1">
      <c r="A1058" s="2" t="n">
        <v>51056</v>
      </c>
      <c r="B1058" s="2" t="inlineStr">
        <is>
          <t>SKU-0027</t>
        </is>
      </c>
      <c r="C1058" s="2" t="n">
        <v>3</v>
      </c>
      <c r="D1058" s="2">
        <f>VLOOKUP(B1058,Products!$A$2:$D$201,3,FALSE())</f>
        <v/>
      </c>
      <c r="E1058" s="2">
        <f>C1058*D1058</f>
        <v/>
      </c>
      <c r="F1058" s="2">
        <f>C1058*INDEX(Products!$D$2:$D$201,MATCH(B1058,Products!$A$2:$A$201,0))</f>
        <v/>
      </c>
      <c r="G1058" s="2">
        <f>E1058-F1058</f>
        <v/>
      </c>
    </row>
    <row r="1059" ht="15" customHeight="1" s="1">
      <c r="A1059" s="2" t="n">
        <v>51057</v>
      </c>
      <c r="B1059" s="2" t="inlineStr">
        <is>
          <t>SKU-0149</t>
        </is>
      </c>
      <c r="C1059" s="2" t="n">
        <v>4</v>
      </c>
      <c r="D1059" s="2">
        <f>VLOOKUP(B1059,Products!$A$2:$D$201,3,FALSE())</f>
        <v/>
      </c>
      <c r="E1059" s="2">
        <f>C1059*D1059</f>
        <v/>
      </c>
      <c r="F1059" s="2">
        <f>C1059*INDEX(Products!$D$2:$D$201,MATCH(B1059,Products!$A$2:$A$201,0))</f>
        <v/>
      </c>
      <c r="G1059" s="2">
        <f>E1059-F1059</f>
        <v/>
      </c>
    </row>
    <row r="1060" ht="15" customHeight="1" s="1">
      <c r="A1060" s="2" t="n">
        <v>51058</v>
      </c>
      <c r="B1060" s="2" t="inlineStr">
        <is>
          <t>SKU-0153</t>
        </is>
      </c>
      <c r="C1060" s="2" t="n">
        <v>14</v>
      </c>
      <c r="D1060" s="2">
        <f>VLOOKUP(B1060,Products!$A$2:$D$201,3,FALSE())</f>
        <v/>
      </c>
      <c r="E1060" s="2">
        <f>C1060*D1060</f>
        <v/>
      </c>
      <c r="F1060" s="2">
        <f>C1060*INDEX(Products!$D$2:$D$201,MATCH(B1060,Products!$A$2:$A$201,0))</f>
        <v/>
      </c>
      <c r="G1060" s="2">
        <f>E1060-F1060</f>
        <v/>
      </c>
    </row>
    <row r="1061" ht="15" customHeight="1" s="1">
      <c r="A1061" s="2" t="n">
        <v>51059</v>
      </c>
      <c r="B1061" s="2" t="inlineStr">
        <is>
          <t>SKU-0165</t>
        </is>
      </c>
      <c r="C1061" s="2" t="n">
        <v>20</v>
      </c>
      <c r="D1061" s="2">
        <f>VLOOKUP(B1061,Products!$A$2:$D$201,3,FALSE())</f>
        <v/>
      </c>
      <c r="E1061" s="2">
        <f>C1061*D1061</f>
        <v/>
      </c>
      <c r="F1061" s="2">
        <f>C1061*INDEX(Products!$D$2:$D$201,MATCH(B1061,Products!$A$2:$A$201,0))</f>
        <v/>
      </c>
      <c r="G1061" s="2">
        <f>E1061-F1061</f>
        <v/>
      </c>
    </row>
    <row r="1062" ht="15" customHeight="1" s="1">
      <c r="A1062" s="2" t="n">
        <v>51060</v>
      </c>
      <c r="B1062" s="2" t="inlineStr">
        <is>
          <t>SKU-0027</t>
        </is>
      </c>
      <c r="C1062" s="2" t="n">
        <v>12</v>
      </c>
      <c r="D1062" s="2">
        <f>VLOOKUP(B1062,Products!$A$2:$D$201,3,FALSE())</f>
        <v/>
      </c>
      <c r="E1062" s="2">
        <f>C1062*D1062</f>
        <v/>
      </c>
      <c r="F1062" s="2">
        <f>C1062*INDEX(Products!$D$2:$D$201,MATCH(B1062,Products!$A$2:$A$201,0))</f>
        <v/>
      </c>
      <c r="G1062" s="2">
        <f>E1062-F1062</f>
        <v/>
      </c>
    </row>
    <row r="1063" ht="15" customHeight="1" s="1">
      <c r="A1063" s="2" t="n">
        <v>51061</v>
      </c>
      <c r="B1063" s="2" t="inlineStr">
        <is>
          <t>SKU-0034</t>
        </is>
      </c>
      <c r="C1063" s="2" t="n">
        <v>16</v>
      </c>
      <c r="D1063" s="2">
        <f>VLOOKUP(B1063,Products!$A$2:$D$201,3,FALSE())</f>
        <v/>
      </c>
      <c r="E1063" s="2">
        <f>C1063*D1063</f>
        <v/>
      </c>
      <c r="F1063" s="2">
        <f>C1063*INDEX(Products!$D$2:$D$201,MATCH(B1063,Products!$A$2:$A$201,0))</f>
        <v/>
      </c>
      <c r="G1063" s="2">
        <f>E1063-F1063</f>
        <v/>
      </c>
    </row>
    <row r="1064" ht="15" customHeight="1" s="1">
      <c r="A1064" s="2" t="n">
        <v>51062</v>
      </c>
      <c r="B1064" s="2" t="inlineStr">
        <is>
          <t>SKU-0107</t>
        </is>
      </c>
      <c r="C1064" s="2" t="n">
        <v>2</v>
      </c>
      <c r="D1064" s="2">
        <f>VLOOKUP(B1064,Products!$A$2:$D$201,3,FALSE())</f>
        <v/>
      </c>
      <c r="E1064" s="2">
        <f>C1064*D1064</f>
        <v/>
      </c>
      <c r="F1064" s="2">
        <f>C1064*INDEX(Products!$D$2:$D$201,MATCH(B1064,Products!$A$2:$A$201,0))</f>
        <v/>
      </c>
      <c r="G1064" s="2">
        <f>E1064-F1064</f>
        <v/>
      </c>
    </row>
    <row r="1065" ht="15" customHeight="1" s="1">
      <c r="A1065" s="2" t="n">
        <v>51063</v>
      </c>
      <c r="B1065" s="2" t="inlineStr">
        <is>
          <t>SKU-0120</t>
        </is>
      </c>
      <c r="C1065" s="2" t="n">
        <v>20</v>
      </c>
      <c r="D1065" s="2">
        <f>VLOOKUP(B1065,Products!$A$2:$D$201,3,FALSE())</f>
        <v/>
      </c>
      <c r="E1065" s="2">
        <f>C1065*D1065</f>
        <v/>
      </c>
      <c r="F1065" s="2">
        <f>C1065*INDEX(Products!$D$2:$D$201,MATCH(B1065,Products!$A$2:$A$201,0))</f>
        <v/>
      </c>
      <c r="G1065" s="2">
        <f>E1065-F1065</f>
        <v/>
      </c>
    </row>
    <row r="1066" ht="15" customHeight="1" s="1">
      <c r="A1066" s="2" t="n">
        <v>51064</v>
      </c>
      <c r="B1066" s="2" t="inlineStr">
        <is>
          <t>SKU-0095</t>
        </is>
      </c>
      <c r="C1066" s="2" t="n">
        <v>11</v>
      </c>
      <c r="D1066" s="2">
        <f>VLOOKUP(B1066,Products!$A$2:$D$201,3,FALSE())</f>
        <v/>
      </c>
      <c r="E1066" s="2">
        <f>C1066*D1066</f>
        <v/>
      </c>
      <c r="F1066" s="2">
        <f>C1066*INDEX(Products!$D$2:$D$201,MATCH(B1066,Products!$A$2:$A$201,0))</f>
        <v/>
      </c>
      <c r="G1066" s="2">
        <f>E1066-F1066</f>
        <v/>
      </c>
    </row>
    <row r="1067" ht="15" customHeight="1" s="1">
      <c r="A1067" s="2" t="n">
        <v>51065</v>
      </c>
      <c r="B1067" s="2" t="inlineStr">
        <is>
          <t>SKU-0194</t>
        </is>
      </c>
      <c r="C1067" s="2" t="n">
        <v>19</v>
      </c>
      <c r="D1067" s="2">
        <f>VLOOKUP(B1067,Products!$A$2:$D$201,3,FALSE())</f>
        <v/>
      </c>
      <c r="E1067" s="2">
        <f>C1067*D1067</f>
        <v/>
      </c>
      <c r="F1067" s="2">
        <f>C1067*INDEX(Products!$D$2:$D$201,MATCH(B1067,Products!$A$2:$A$201,0))</f>
        <v/>
      </c>
      <c r="G1067" s="2">
        <f>E1067-F1067</f>
        <v/>
      </c>
    </row>
    <row r="1068" ht="15" customHeight="1" s="1">
      <c r="A1068" s="2" t="n">
        <v>51066</v>
      </c>
      <c r="B1068" s="2" t="inlineStr">
        <is>
          <t>SKU-0065</t>
        </is>
      </c>
      <c r="C1068" s="2" t="n">
        <v>4</v>
      </c>
      <c r="D1068" s="2">
        <f>VLOOKUP(B1068,Products!$A$2:$D$201,3,FALSE())</f>
        <v/>
      </c>
      <c r="E1068" s="2">
        <f>C1068*D1068</f>
        <v/>
      </c>
      <c r="F1068" s="2">
        <f>C1068*INDEX(Products!$D$2:$D$201,MATCH(B1068,Products!$A$2:$A$201,0))</f>
        <v/>
      </c>
      <c r="G1068" s="2">
        <f>E1068-F1068</f>
        <v/>
      </c>
    </row>
    <row r="1069" ht="15" customHeight="1" s="1">
      <c r="A1069" s="2" t="n">
        <v>51067</v>
      </c>
      <c r="B1069" s="2" t="inlineStr">
        <is>
          <t>SKU-0134</t>
        </is>
      </c>
      <c r="C1069" s="2" t="n">
        <v>18</v>
      </c>
      <c r="D1069" s="2">
        <f>VLOOKUP(B1069,Products!$A$2:$D$201,3,FALSE())</f>
        <v/>
      </c>
      <c r="E1069" s="2">
        <f>C1069*D1069</f>
        <v/>
      </c>
      <c r="F1069" s="2">
        <f>C1069*INDEX(Products!$D$2:$D$201,MATCH(B1069,Products!$A$2:$A$201,0))</f>
        <v/>
      </c>
      <c r="G1069" s="2">
        <f>E1069-F1069</f>
        <v/>
      </c>
    </row>
    <row r="1070" ht="15" customHeight="1" s="1">
      <c r="A1070" s="2" t="n">
        <v>51068</v>
      </c>
      <c r="B1070" s="2" t="inlineStr">
        <is>
          <t>SKU-0049</t>
        </is>
      </c>
      <c r="C1070" s="2" t="n">
        <v>19</v>
      </c>
      <c r="D1070" s="2">
        <f>VLOOKUP(B1070,Products!$A$2:$D$201,3,FALSE())</f>
        <v/>
      </c>
      <c r="E1070" s="2">
        <f>C1070*D1070</f>
        <v/>
      </c>
      <c r="F1070" s="2">
        <f>C1070*INDEX(Products!$D$2:$D$201,MATCH(B1070,Products!$A$2:$A$201,0))</f>
        <v/>
      </c>
      <c r="G1070" s="2">
        <f>E1070-F1070</f>
        <v/>
      </c>
    </row>
    <row r="1071" ht="15" customHeight="1" s="1">
      <c r="A1071" s="2" t="n">
        <v>51069</v>
      </c>
      <c r="B1071" s="2" t="inlineStr">
        <is>
          <t>SKU-0147</t>
        </is>
      </c>
      <c r="C1071" s="2" t="n">
        <v>4</v>
      </c>
      <c r="D1071" s="2">
        <f>VLOOKUP(B1071,Products!$A$2:$D$201,3,FALSE())</f>
        <v/>
      </c>
      <c r="E1071" s="2">
        <f>C1071*D1071</f>
        <v/>
      </c>
      <c r="F1071" s="2">
        <f>C1071*INDEX(Products!$D$2:$D$201,MATCH(B1071,Products!$A$2:$A$201,0))</f>
        <v/>
      </c>
      <c r="G1071" s="2">
        <f>E1071-F1071</f>
        <v/>
      </c>
    </row>
    <row r="1072" ht="15" customHeight="1" s="1">
      <c r="A1072" s="2" t="n">
        <v>51070</v>
      </c>
      <c r="B1072" s="2" t="inlineStr">
        <is>
          <t>SKU-0127</t>
        </is>
      </c>
      <c r="C1072" s="2" t="n">
        <v>5</v>
      </c>
      <c r="D1072" s="2">
        <f>VLOOKUP(B1072,Products!$A$2:$D$201,3,FALSE())</f>
        <v/>
      </c>
      <c r="E1072" s="2">
        <f>C1072*D1072</f>
        <v/>
      </c>
      <c r="F1072" s="2">
        <f>C1072*INDEX(Products!$D$2:$D$201,MATCH(B1072,Products!$A$2:$A$201,0))</f>
        <v/>
      </c>
      <c r="G1072" s="2">
        <f>E1072-F1072</f>
        <v/>
      </c>
    </row>
    <row r="1073" ht="15" customHeight="1" s="1">
      <c r="A1073" s="2" t="n">
        <v>51071</v>
      </c>
      <c r="B1073" s="2" t="inlineStr">
        <is>
          <t>SKU-0187</t>
        </is>
      </c>
      <c r="C1073" s="2" t="n">
        <v>3</v>
      </c>
      <c r="D1073" s="2">
        <f>VLOOKUP(B1073,Products!$A$2:$D$201,3,FALSE())</f>
        <v/>
      </c>
      <c r="E1073" s="2">
        <f>C1073*D1073</f>
        <v/>
      </c>
      <c r="F1073" s="2">
        <f>C1073*INDEX(Products!$D$2:$D$201,MATCH(B1073,Products!$A$2:$A$201,0))</f>
        <v/>
      </c>
      <c r="G1073" s="2">
        <f>E1073-F1073</f>
        <v/>
      </c>
    </row>
    <row r="1074" ht="15" customHeight="1" s="1">
      <c r="A1074" s="2" t="n">
        <v>51072</v>
      </c>
      <c r="B1074" s="2" t="inlineStr">
        <is>
          <t>SKU-0089</t>
        </is>
      </c>
      <c r="C1074" s="2" t="n">
        <v>10</v>
      </c>
      <c r="D1074" s="2">
        <f>VLOOKUP(B1074,Products!$A$2:$D$201,3,FALSE())</f>
        <v/>
      </c>
      <c r="E1074" s="2">
        <f>C1074*D1074</f>
        <v/>
      </c>
      <c r="F1074" s="2">
        <f>C1074*INDEX(Products!$D$2:$D$201,MATCH(B1074,Products!$A$2:$A$201,0))</f>
        <v/>
      </c>
      <c r="G1074" s="2">
        <f>E1074-F1074</f>
        <v/>
      </c>
    </row>
    <row r="1075" ht="15" customHeight="1" s="1">
      <c r="A1075" s="2" t="n">
        <v>51073</v>
      </c>
      <c r="B1075" s="2" t="inlineStr">
        <is>
          <t>SKU-0032</t>
        </is>
      </c>
      <c r="C1075" s="2" t="n">
        <v>20</v>
      </c>
      <c r="D1075" s="2">
        <f>VLOOKUP(B1075,Products!$A$2:$D$201,3,FALSE())</f>
        <v/>
      </c>
      <c r="E1075" s="2">
        <f>C1075*D1075</f>
        <v/>
      </c>
      <c r="F1075" s="2">
        <f>C1075*INDEX(Products!$D$2:$D$201,MATCH(B1075,Products!$A$2:$A$201,0))</f>
        <v/>
      </c>
      <c r="G1075" s="2">
        <f>E1075-F1075</f>
        <v/>
      </c>
    </row>
    <row r="1076" ht="15" customHeight="1" s="1">
      <c r="A1076" s="2" t="n">
        <v>51074</v>
      </c>
      <c r="B1076" s="2" t="inlineStr">
        <is>
          <t>SKU-0191</t>
        </is>
      </c>
      <c r="C1076" s="2" t="n">
        <v>8</v>
      </c>
      <c r="D1076" s="2">
        <f>VLOOKUP(B1076,Products!$A$2:$D$201,3,FALSE())</f>
        <v/>
      </c>
      <c r="E1076" s="2">
        <f>C1076*D1076</f>
        <v/>
      </c>
      <c r="F1076" s="2">
        <f>C1076*INDEX(Products!$D$2:$D$201,MATCH(B1076,Products!$A$2:$A$201,0))</f>
        <v/>
      </c>
      <c r="G1076" s="2">
        <f>E1076-F1076</f>
        <v/>
      </c>
    </row>
    <row r="1077" ht="15" customHeight="1" s="1">
      <c r="A1077" s="2" t="n">
        <v>51075</v>
      </c>
      <c r="B1077" s="2" t="inlineStr">
        <is>
          <t>SKU-0195</t>
        </is>
      </c>
      <c r="C1077" s="2" t="n">
        <v>2</v>
      </c>
      <c r="D1077" s="2">
        <f>VLOOKUP(B1077,Products!$A$2:$D$201,3,FALSE())</f>
        <v/>
      </c>
      <c r="E1077" s="2">
        <f>C1077*D1077</f>
        <v/>
      </c>
      <c r="F1077" s="2">
        <f>C1077*INDEX(Products!$D$2:$D$201,MATCH(B1077,Products!$A$2:$A$201,0))</f>
        <v/>
      </c>
      <c r="G1077" s="2">
        <f>E1077-F1077</f>
        <v/>
      </c>
    </row>
    <row r="1078" ht="15" customHeight="1" s="1">
      <c r="A1078" s="2" t="n">
        <v>51076</v>
      </c>
      <c r="B1078" s="2" t="inlineStr">
        <is>
          <t>SKU-0099</t>
        </is>
      </c>
      <c r="C1078" s="2" t="n">
        <v>4</v>
      </c>
      <c r="D1078" s="2">
        <f>VLOOKUP(B1078,Products!$A$2:$D$201,3,FALSE())</f>
        <v/>
      </c>
      <c r="E1078" s="2">
        <f>C1078*D1078</f>
        <v/>
      </c>
      <c r="F1078" s="2">
        <f>C1078*INDEX(Products!$D$2:$D$201,MATCH(B1078,Products!$A$2:$A$201,0))</f>
        <v/>
      </c>
      <c r="G1078" s="2">
        <f>E1078-F1078</f>
        <v/>
      </c>
    </row>
    <row r="1079" ht="15" customHeight="1" s="1">
      <c r="A1079" s="2" t="n">
        <v>51077</v>
      </c>
      <c r="B1079" s="2" t="inlineStr">
        <is>
          <t>SKU-0033</t>
        </is>
      </c>
      <c r="C1079" s="2" t="n">
        <v>15</v>
      </c>
      <c r="D1079" s="2">
        <f>VLOOKUP(B1079,Products!$A$2:$D$201,3,FALSE())</f>
        <v/>
      </c>
      <c r="E1079" s="2">
        <f>C1079*D1079</f>
        <v/>
      </c>
      <c r="F1079" s="2">
        <f>C1079*INDEX(Products!$D$2:$D$201,MATCH(B1079,Products!$A$2:$A$201,0))</f>
        <v/>
      </c>
      <c r="G1079" s="2">
        <f>E1079-F1079</f>
        <v/>
      </c>
    </row>
    <row r="1080" ht="15" customHeight="1" s="1">
      <c r="A1080" s="2" t="n">
        <v>51078</v>
      </c>
      <c r="B1080" s="2" t="inlineStr">
        <is>
          <t>SKU-0194</t>
        </is>
      </c>
      <c r="C1080" s="2" t="n">
        <v>3</v>
      </c>
      <c r="D1080" s="2">
        <f>VLOOKUP(B1080,Products!$A$2:$D$201,3,FALSE())</f>
        <v/>
      </c>
      <c r="E1080" s="2">
        <f>C1080*D1080</f>
        <v/>
      </c>
      <c r="F1080" s="2">
        <f>C1080*INDEX(Products!$D$2:$D$201,MATCH(B1080,Products!$A$2:$A$201,0))</f>
        <v/>
      </c>
      <c r="G1080" s="2">
        <f>E1080-F1080</f>
        <v/>
      </c>
    </row>
    <row r="1081" ht="15" customHeight="1" s="1">
      <c r="A1081" s="2" t="n">
        <v>51079</v>
      </c>
      <c r="B1081" s="2" t="inlineStr">
        <is>
          <t>SKU-0055</t>
        </is>
      </c>
      <c r="C1081" s="2" t="n">
        <v>15</v>
      </c>
      <c r="D1081" s="2">
        <f>VLOOKUP(B1081,Products!$A$2:$D$201,3,FALSE())</f>
        <v/>
      </c>
      <c r="E1081" s="2">
        <f>C1081*D1081</f>
        <v/>
      </c>
      <c r="F1081" s="2">
        <f>C1081*INDEX(Products!$D$2:$D$201,MATCH(B1081,Products!$A$2:$A$201,0))</f>
        <v/>
      </c>
      <c r="G1081" s="2">
        <f>E1081-F1081</f>
        <v/>
      </c>
    </row>
    <row r="1082" ht="15" customHeight="1" s="1">
      <c r="A1082" s="2" t="n">
        <v>51080</v>
      </c>
      <c r="B1082" s="2" t="inlineStr">
        <is>
          <t>SKU-0178</t>
        </is>
      </c>
      <c r="C1082" s="2" t="n">
        <v>3</v>
      </c>
      <c r="D1082" s="2">
        <f>VLOOKUP(B1082,Products!$A$2:$D$201,3,FALSE())</f>
        <v/>
      </c>
      <c r="E1082" s="2">
        <f>C1082*D1082</f>
        <v/>
      </c>
      <c r="F1082" s="2">
        <f>C1082*INDEX(Products!$D$2:$D$201,MATCH(B1082,Products!$A$2:$A$201,0))</f>
        <v/>
      </c>
      <c r="G1082" s="2">
        <f>E1082-F1082</f>
        <v/>
      </c>
    </row>
    <row r="1083" ht="15" customHeight="1" s="1">
      <c r="A1083" s="2" t="n">
        <v>51081</v>
      </c>
      <c r="B1083" s="2" t="inlineStr">
        <is>
          <t>SKU-0069</t>
        </is>
      </c>
      <c r="C1083" s="2" t="n">
        <v>1</v>
      </c>
      <c r="D1083" s="2">
        <f>VLOOKUP(B1083,Products!$A$2:$D$201,3,FALSE())</f>
        <v/>
      </c>
      <c r="E1083" s="2">
        <f>C1083*D1083</f>
        <v/>
      </c>
      <c r="F1083" s="2">
        <f>C1083*INDEX(Products!$D$2:$D$201,MATCH(B1083,Products!$A$2:$A$201,0))</f>
        <v/>
      </c>
      <c r="G1083" s="2">
        <f>E1083-F1083</f>
        <v/>
      </c>
    </row>
    <row r="1084" ht="15" customHeight="1" s="1">
      <c r="A1084" s="2" t="n">
        <v>51082</v>
      </c>
      <c r="B1084" s="2" t="inlineStr">
        <is>
          <t>SKU-0025</t>
        </is>
      </c>
      <c r="C1084" s="2" t="n">
        <v>19</v>
      </c>
      <c r="D1084" s="2">
        <f>VLOOKUP(B1084,Products!$A$2:$D$201,3,FALSE())</f>
        <v/>
      </c>
      <c r="E1084" s="2">
        <f>C1084*D1084</f>
        <v/>
      </c>
      <c r="F1084" s="2">
        <f>C1084*INDEX(Products!$D$2:$D$201,MATCH(B1084,Products!$A$2:$A$201,0))</f>
        <v/>
      </c>
      <c r="G1084" s="2">
        <f>E1084-F1084</f>
        <v/>
      </c>
    </row>
    <row r="1085" ht="15" customHeight="1" s="1">
      <c r="A1085" s="2" t="n">
        <v>51083</v>
      </c>
      <c r="B1085" s="2" t="inlineStr">
        <is>
          <t>SKU-0132</t>
        </is>
      </c>
      <c r="C1085" s="2" t="n">
        <v>7</v>
      </c>
      <c r="D1085" s="2">
        <f>VLOOKUP(B1085,Products!$A$2:$D$201,3,FALSE())</f>
        <v/>
      </c>
      <c r="E1085" s="2">
        <f>C1085*D1085</f>
        <v/>
      </c>
      <c r="F1085" s="2">
        <f>C1085*INDEX(Products!$D$2:$D$201,MATCH(B1085,Products!$A$2:$A$201,0))</f>
        <v/>
      </c>
      <c r="G1085" s="2">
        <f>E1085-F1085</f>
        <v/>
      </c>
    </row>
    <row r="1086" ht="15" customHeight="1" s="1">
      <c r="A1086" s="2" t="n">
        <v>51084</v>
      </c>
      <c r="B1086" s="2" t="inlineStr">
        <is>
          <t>SKU-0150</t>
        </is>
      </c>
      <c r="C1086" s="2" t="n">
        <v>20</v>
      </c>
      <c r="D1086" s="2">
        <f>VLOOKUP(B1086,Products!$A$2:$D$201,3,FALSE())</f>
        <v/>
      </c>
      <c r="E1086" s="2">
        <f>C1086*D1086</f>
        <v/>
      </c>
      <c r="F1086" s="2">
        <f>C1086*INDEX(Products!$D$2:$D$201,MATCH(B1086,Products!$A$2:$A$201,0))</f>
        <v/>
      </c>
      <c r="G1086" s="2">
        <f>E1086-F1086</f>
        <v/>
      </c>
    </row>
    <row r="1087" ht="15" customHeight="1" s="1">
      <c r="A1087" s="2" t="n">
        <v>51085</v>
      </c>
      <c r="B1087" s="2" t="inlineStr">
        <is>
          <t>SKU-0170</t>
        </is>
      </c>
      <c r="C1087" s="2" t="n">
        <v>8</v>
      </c>
      <c r="D1087" s="2">
        <f>VLOOKUP(B1087,Products!$A$2:$D$201,3,FALSE())</f>
        <v/>
      </c>
      <c r="E1087" s="2">
        <f>C1087*D1087</f>
        <v/>
      </c>
      <c r="F1087" s="2">
        <f>C1087*INDEX(Products!$D$2:$D$201,MATCH(B1087,Products!$A$2:$A$201,0))</f>
        <v/>
      </c>
      <c r="G1087" s="2">
        <f>E1087-F1087</f>
        <v/>
      </c>
    </row>
    <row r="1088" ht="15" customHeight="1" s="1">
      <c r="A1088" s="2" t="n">
        <v>51086</v>
      </c>
      <c r="B1088" s="2" t="inlineStr">
        <is>
          <t>SKU-0148</t>
        </is>
      </c>
      <c r="C1088" s="2" t="n">
        <v>14</v>
      </c>
      <c r="D1088" s="2">
        <f>VLOOKUP(B1088,Products!$A$2:$D$201,3,FALSE())</f>
        <v/>
      </c>
      <c r="E1088" s="2">
        <f>C1088*D1088</f>
        <v/>
      </c>
      <c r="F1088" s="2">
        <f>C1088*INDEX(Products!$D$2:$D$201,MATCH(B1088,Products!$A$2:$A$201,0))</f>
        <v/>
      </c>
      <c r="G1088" s="2">
        <f>E1088-F1088</f>
        <v/>
      </c>
    </row>
    <row r="1089" ht="15" customHeight="1" s="1">
      <c r="A1089" s="2" t="n">
        <v>51087</v>
      </c>
      <c r="B1089" s="2" t="inlineStr">
        <is>
          <t>SKU-0129</t>
        </is>
      </c>
      <c r="C1089" s="2" t="n">
        <v>19</v>
      </c>
      <c r="D1089" s="2">
        <f>VLOOKUP(B1089,Products!$A$2:$D$201,3,FALSE())</f>
        <v/>
      </c>
      <c r="E1089" s="2">
        <f>C1089*D1089</f>
        <v/>
      </c>
      <c r="F1089" s="2">
        <f>C1089*INDEX(Products!$D$2:$D$201,MATCH(B1089,Products!$A$2:$A$201,0))</f>
        <v/>
      </c>
      <c r="G1089" s="2">
        <f>E1089-F1089</f>
        <v/>
      </c>
    </row>
    <row r="1090" ht="15" customHeight="1" s="1">
      <c r="A1090" s="2" t="n">
        <v>51088</v>
      </c>
      <c r="B1090" s="2" t="inlineStr">
        <is>
          <t>SKU-0127</t>
        </is>
      </c>
      <c r="C1090" s="2" t="n">
        <v>10</v>
      </c>
      <c r="D1090" s="2">
        <f>VLOOKUP(B1090,Products!$A$2:$D$201,3,FALSE())</f>
        <v/>
      </c>
      <c r="E1090" s="2">
        <f>C1090*D1090</f>
        <v/>
      </c>
      <c r="F1090" s="2">
        <f>C1090*INDEX(Products!$D$2:$D$201,MATCH(B1090,Products!$A$2:$A$201,0))</f>
        <v/>
      </c>
      <c r="G1090" s="2">
        <f>E1090-F1090</f>
        <v/>
      </c>
    </row>
    <row r="1091" ht="15" customHeight="1" s="1">
      <c r="A1091" s="2" t="n">
        <v>51089</v>
      </c>
      <c r="B1091" s="2" t="inlineStr">
        <is>
          <t>SKU-0028</t>
        </is>
      </c>
      <c r="C1091" s="2" t="n">
        <v>8</v>
      </c>
      <c r="D1091" s="2">
        <f>VLOOKUP(B1091,Products!$A$2:$D$201,3,FALSE())</f>
        <v/>
      </c>
      <c r="E1091" s="2">
        <f>C1091*D1091</f>
        <v/>
      </c>
      <c r="F1091" s="2">
        <f>C1091*INDEX(Products!$D$2:$D$201,MATCH(B1091,Products!$A$2:$A$201,0))</f>
        <v/>
      </c>
      <c r="G1091" s="2">
        <f>E1091-F1091</f>
        <v/>
      </c>
    </row>
    <row r="1092" ht="15" customHeight="1" s="1">
      <c r="A1092" s="2" t="n">
        <v>51090</v>
      </c>
      <c r="B1092" s="2" t="inlineStr">
        <is>
          <t>SKU-0035</t>
        </is>
      </c>
      <c r="C1092" s="2" t="n">
        <v>18</v>
      </c>
      <c r="D1092" s="2">
        <f>VLOOKUP(B1092,Products!$A$2:$D$201,3,FALSE())</f>
        <v/>
      </c>
      <c r="E1092" s="2">
        <f>C1092*D1092</f>
        <v/>
      </c>
      <c r="F1092" s="2">
        <f>C1092*INDEX(Products!$D$2:$D$201,MATCH(B1092,Products!$A$2:$A$201,0))</f>
        <v/>
      </c>
      <c r="G1092" s="2">
        <f>E1092-F1092</f>
        <v/>
      </c>
    </row>
    <row r="1093" ht="15" customHeight="1" s="1">
      <c r="A1093" s="2" t="n">
        <v>51091</v>
      </c>
      <c r="B1093" s="2" t="inlineStr">
        <is>
          <t>SKU-0124</t>
        </is>
      </c>
      <c r="C1093" s="2" t="n">
        <v>20</v>
      </c>
      <c r="D1093" s="2">
        <f>VLOOKUP(B1093,Products!$A$2:$D$201,3,FALSE())</f>
        <v/>
      </c>
      <c r="E1093" s="2">
        <f>C1093*D1093</f>
        <v/>
      </c>
      <c r="F1093" s="2">
        <f>C1093*INDEX(Products!$D$2:$D$201,MATCH(B1093,Products!$A$2:$A$201,0))</f>
        <v/>
      </c>
      <c r="G1093" s="2">
        <f>E1093-F1093</f>
        <v/>
      </c>
    </row>
    <row r="1094" ht="15" customHeight="1" s="1">
      <c r="A1094" s="2" t="n">
        <v>51092</v>
      </c>
      <c r="B1094" s="2" t="inlineStr">
        <is>
          <t>SKU-0094</t>
        </is>
      </c>
      <c r="C1094" s="2" t="n">
        <v>20</v>
      </c>
      <c r="D1094" s="2">
        <f>VLOOKUP(B1094,Products!$A$2:$D$201,3,FALSE())</f>
        <v/>
      </c>
      <c r="E1094" s="2">
        <f>C1094*D1094</f>
        <v/>
      </c>
      <c r="F1094" s="2">
        <f>C1094*INDEX(Products!$D$2:$D$201,MATCH(B1094,Products!$A$2:$A$201,0))</f>
        <v/>
      </c>
      <c r="G1094" s="2">
        <f>E1094-F1094</f>
        <v/>
      </c>
    </row>
    <row r="1095" ht="15" customHeight="1" s="1">
      <c r="A1095" s="2" t="n">
        <v>51093</v>
      </c>
      <c r="B1095" s="2" t="inlineStr">
        <is>
          <t>SKU-0127</t>
        </is>
      </c>
      <c r="C1095" s="2" t="n">
        <v>1</v>
      </c>
      <c r="D1095" s="2">
        <f>VLOOKUP(B1095,Products!$A$2:$D$201,3,FALSE())</f>
        <v/>
      </c>
      <c r="E1095" s="2">
        <f>C1095*D1095</f>
        <v/>
      </c>
      <c r="F1095" s="2">
        <f>C1095*INDEX(Products!$D$2:$D$201,MATCH(B1095,Products!$A$2:$A$201,0))</f>
        <v/>
      </c>
      <c r="G1095" s="2">
        <f>E1095-F1095</f>
        <v/>
      </c>
    </row>
    <row r="1096" ht="15" customHeight="1" s="1">
      <c r="A1096" s="2" t="n">
        <v>51094</v>
      </c>
      <c r="B1096" s="2" t="inlineStr">
        <is>
          <t>SKU-0166</t>
        </is>
      </c>
      <c r="C1096" s="2" t="n">
        <v>5</v>
      </c>
      <c r="D1096" s="2">
        <f>VLOOKUP(B1096,Products!$A$2:$D$201,3,FALSE())</f>
        <v/>
      </c>
      <c r="E1096" s="2">
        <f>C1096*D1096</f>
        <v/>
      </c>
      <c r="F1096" s="2">
        <f>C1096*INDEX(Products!$D$2:$D$201,MATCH(B1096,Products!$A$2:$A$201,0))</f>
        <v/>
      </c>
      <c r="G1096" s="2">
        <f>E1096-F1096</f>
        <v/>
      </c>
    </row>
    <row r="1097" ht="15" customHeight="1" s="1">
      <c r="A1097" s="2" t="n">
        <v>51095</v>
      </c>
      <c r="B1097" s="2" t="inlineStr">
        <is>
          <t>SKU-0160</t>
        </is>
      </c>
      <c r="C1097" s="2" t="n">
        <v>14</v>
      </c>
      <c r="D1097" s="2">
        <f>VLOOKUP(B1097,Products!$A$2:$D$201,3,FALSE())</f>
        <v/>
      </c>
      <c r="E1097" s="2">
        <f>C1097*D1097</f>
        <v/>
      </c>
      <c r="F1097" s="2">
        <f>C1097*INDEX(Products!$D$2:$D$201,MATCH(B1097,Products!$A$2:$A$201,0))</f>
        <v/>
      </c>
      <c r="G1097" s="2">
        <f>E1097-F1097</f>
        <v/>
      </c>
    </row>
    <row r="1098" ht="15" customHeight="1" s="1">
      <c r="A1098" s="2" t="n">
        <v>51096</v>
      </c>
      <c r="B1098" s="2" t="inlineStr">
        <is>
          <t>SKU-0161</t>
        </is>
      </c>
      <c r="C1098" s="2" t="n">
        <v>9</v>
      </c>
      <c r="D1098" s="2">
        <f>VLOOKUP(B1098,Products!$A$2:$D$201,3,FALSE())</f>
        <v/>
      </c>
      <c r="E1098" s="2">
        <f>C1098*D1098</f>
        <v/>
      </c>
      <c r="F1098" s="2">
        <f>C1098*INDEX(Products!$D$2:$D$201,MATCH(B1098,Products!$A$2:$A$201,0))</f>
        <v/>
      </c>
      <c r="G1098" s="2">
        <f>E1098-F1098</f>
        <v/>
      </c>
    </row>
    <row r="1099" ht="15" customHeight="1" s="1">
      <c r="A1099" s="2" t="n">
        <v>51097</v>
      </c>
      <c r="B1099" s="2" t="inlineStr">
        <is>
          <t>SKU-0034</t>
        </is>
      </c>
      <c r="C1099" s="2" t="n">
        <v>2</v>
      </c>
      <c r="D1099" s="2">
        <f>VLOOKUP(B1099,Products!$A$2:$D$201,3,FALSE())</f>
        <v/>
      </c>
      <c r="E1099" s="2">
        <f>C1099*D1099</f>
        <v/>
      </c>
      <c r="F1099" s="2">
        <f>C1099*INDEX(Products!$D$2:$D$201,MATCH(B1099,Products!$A$2:$A$201,0))</f>
        <v/>
      </c>
      <c r="G1099" s="2">
        <f>E1099-F1099</f>
        <v/>
      </c>
    </row>
    <row r="1100" ht="15" customHeight="1" s="1">
      <c r="A1100" s="2" t="n">
        <v>51098</v>
      </c>
      <c r="B1100" s="2" t="inlineStr">
        <is>
          <t>SKU-0099</t>
        </is>
      </c>
      <c r="C1100" s="2" t="n">
        <v>2</v>
      </c>
      <c r="D1100" s="2">
        <f>VLOOKUP(B1100,Products!$A$2:$D$201,3,FALSE())</f>
        <v/>
      </c>
      <c r="E1100" s="2">
        <f>C1100*D1100</f>
        <v/>
      </c>
      <c r="F1100" s="2">
        <f>C1100*INDEX(Products!$D$2:$D$201,MATCH(B1100,Products!$A$2:$A$201,0))</f>
        <v/>
      </c>
      <c r="G1100" s="2">
        <f>E1100-F1100</f>
        <v/>
      </c>
    </row>
    <row r="1101" ht="15" customHeight="1" s="1">
      <c r="A1101" s="2" t="n">
        <v>51099</v>
      </c>
      <c r="B1101" s="2" t="inlineStr">
        <is>
          <t>SKU-0106</t>
        </is>
      </c>
      <c r="C1101" s="2" t="n">
        <v>6</v>
      </c>
      <c r="D1101" s="2">
        <f>VLOOKUP(B1101,Products!$A$2:$D$201,3,FALSE())</f>
        <v/>
      </c>
      <c r="E1101" s="2">
        <f>C1101*D1101</f>
        <v/>
      </c>
      <c r="F1101" s="2">
        <f>C1101*INDEX(Products!$D$2:$D$201,MATCH(B1101,Products!$A$2:$A$201,0))</f>
        <v/>
      </c>
      <c r="G1101" s="2">
        <f>E1101-F1101</f>
        <v/>
      </c>
    </row>
    <row r="1102" ht="15" customHeight="1" s="1">
      <c r="A1102" s="2" t="n">
        <v>51100</v>
      </c>
      <c r="B1102" s="2" t="inlineStr">
        <is>
          <t>SKU-0091</t>
        </is>
      </c>
      <c r="C1102" s="2" t="n">
        <v>19</v>
      </c>
      <c r="D1102" s="2">
        <f>VLOOKUP(B1102,Products!$A$2:$D$201,3,FALSE())</f>
        <v/>
      </c>
      <c r="E1102" s="2">
        <f>C1102*D1102</f>
        <v/>
      </c>
      <c r="F1102" s="2">
        <f>C1102*INDEX(Products!$D$2:$D$201,MATCH(B1102,Products!$A$2:$A$201,0))</f>
        <v/>
      </c>
      <c r="G1102" s="2">
        <f>E1102-F1102</f>
        <v/>
      </c>
    </row>
    <row r="1103" ht="15" customHeight="1" s="1">
      <c r="A1103" s="2" t="n">
        <v>51101</v>
      </c>
      <c r="B1103" s="2" t="inlineStr">
        <is>
          <t>SKU-0175</t>
        </is>
      </c>
      <c r="C1103" s="2" t="n">
        <v>15</v>
      </c>
      <c r="D1103" s="2">
        <f>VLOOKUP(B1103,Products!$A$2:$D$201,3,FALSE())</f>
        <v/>
      </c>
      <c r="E1103" s="2">
        <f>C1103*D1103</f>
        <v/>
      </c>
      <c r="F1103" s="2">
        <f>C1103*INDEX(Products!$D$2:$D$201,MATCH(B1103,Products!$A$2:$A$201,0))</f>
        <v/>
      </c>
      <c r="G1103" s="2">
        <f>E1103-F1103</f>
        <v/>
      </c>
    </row>
    <row r="1104" ht="15" customHeight="1" s="1">
      <c r="A1104" s="2" t="n">
        <v>51102</v>
      </c>
      <c r="B1104" s="2" t="inlineStr">
        <is>
          <t>SKU-0167</t>
        </is>
      </c>
      <c r="C1104" s="2" t="n">
        <v>16</v>
      </c>
      <c r="D1104" s="2">
        <f>VLOOKUP(B1104,Products!$A$2:$D$201,3,FALSE())</f>
        <v/>
      </c>
      <c r="E1104" s="2">
        <f>C1104*D1104</f>
        <v/>
      </c>
      <c r="F1104" s="2">
        <f>C1104*INDEX(Products!$D$2:$D$201,MATCH(B1104,Products!$A$2:$A$201,0))</f>
        <v/>
      </c>
      <c r="G1104" s="2">
        <f>E1104-F1104</f>
        <v/>
      </c>
    </row>
    <row r="1105" ht="15" customHeight="1" s="1">
      <c r="A1105" s="2" t="n">
        <v>51103</v>
      </c>
      <c r="B1105" s="2" t="inlineStr">
        <is>
          <t>SKU-0125</t>
        </is>
      </c>
      <c r="C1105" s="2" t="n">
        <v>14</v>
      </c>
      <c r="D1105" s="2">
        <f>VLOOKUP(B1105,Products!$A$2:$D$201,3,FALSE())</f>
        <v/>
      </c>
      <c r="E1105" s="2">
        <f>C1105*D1105</f>
        <v/>
      </c>
      <c r="F1105" s="2">
        <f>C1105*INDEX(Products!$D$2:$D$201,MATCH(B1105,Products!$A$2:$A$201,0))</f>
        <v/>
      </c>
      <c r="G1105" s="2">
        <f>E1105-F1105</f>
        <v/>
      </c>
    </row>
    <row r="1106" ht="15" customHeight="1" s="1">
      <c r="A1106" s="2" t="n">
        <v>51104</v>
      </c>
      <c r="B1106" s="2" t="inlineStr">
        <is>
          <t>SKU-0058</t>
        </is>
      </c>
      <c r="C1106" s="2" t="n">
        <v>11</v>
      </c>
      <c r="D1106" s="2">
        <f>VLOOKUP(B1106,Products!$A$2:$D$201,3,FALSE())</f>
        <v/>
      </c>
      <c r="E1106" s="2">
        <f>C1106*D1106</f>
        <v/>
      </c>
      <c r="F1106" s="2">
        <f>C1106*INDEX(Products!$D$2:$D$201,MATCH(B1106,Products!$A$2:$A$201,0))</f>
        <v/>
      </c>
      <c r="G1106" s="2">
        <f>E1106-F1106</f>
        <v/>
      </c>
    </row>
    <row r="1107" ht="15" customHeight="1" s="1">
      <c r="A1107" s="2" t="n">
        <v>51105</v>
      </c>
      <c r="B1107" s="2" t="inlineStr">
        <is>
          <t>SKU-0089</t>
        </is>
      </c>
      <c r="C1107" s="2" t="n">
        <v>16</v>
      </c>
      <c r="D1107" s="2">
        <f>VLOOKUP(B1107,Products!$A$2:$D$201,3,FALSE())</f>
        <v/>
      </c>
      <c r="E1107" s="2">
        <f>C1107*D1107</f>
        <v/>
      </c>
      <c r="F1107" s="2">
        <f>C1107*INDEX(Products!$D$2:$D$201,MATCH(B1107,Products!$A$2:$A$201,0))</f>
        <v/>
      </c>
      <c r="G1107" s="2">
        <f>E1107-F1107</f>
        <v/>
      </c>
    </row>
    <row r="1108" ht="15" customHeight="1" s="1">
      <c r="A1108" s="2" t="n">
        <v>51106</v>
      </c>
      <c r="B1108" s="2" t="inlineStr">
        <is>
          <t>SKU-0192</t>
        </is>
      </c>
      <c r="C1108" s="2" t="n">
        <v>14</v>
      </c>
      <c r="D1108" s="2">
        <f>VLOOKUP(B1108,Products!$A$2:$D$201,3,FALSE())</f>
        <v/>
      </c>
      <c r="E1108" s="2">
        <f>C1108*D1108</f>
        <v/>
      </c>
      <c r="F1108" s="2">
        <f>C1108*INDEX(Products!$D$2:$D$201,MATCH(B1108,Products!$A$2:$A$201,0))</f>
        <v/>
      </c>
      <c r="G1108" s="2">
        <f>E1108-F1108</f>
        <v/>
      </c>
    </row>
    <row r="1109" ht="15" customHeight="1" s="1">
      <c r="A1109" s="2" t="n">
        <v>51107</v>
      </c>
      <c r="B1109" s="2" t="inlineStr">
        <is>
          <t>SKU-0030</t>
        </is>
      </c>
      <c r="C1109" s="2" t="n">
        <v>1</v>
      </c>
      <c r="D1109" s="2">
        <f>VLOOKUP(B1109,Products!$A$2:$D$201,3,FALSE())</f>
        <v/>
      </c>
      <c r="E1109" s="2">
        <f>C1109*D1109</f>
        <v/>
      </c>
      <c r="F1109" s="2">
        <f>C1109*INDEX(Products!$D$2:$D$201,MATCH(B1109,Products!$A$2:$A$201,0))</f>
        <v/>
      </c>
      <c r="G1109" s="2">
        <f>E1109-F1109</f>
        <v/>
      </c>
    </row>
    <row r="1110" ht="15" customHeight="1" s="1">
      <c r="A1110" s="2" t="n">
        <v>51108</v>
      </c>
      <c r="B1110" s="2" t="inlineStr">
        <is>
          <t>SKU-0137</t>
        </is>
      </c>
      <c r="C1110" s="2" t="n">
        <v>1</v>
      </c>
      <c r="D1110" s="2">
        <f>VLOOKUP(B1110,Products!$A$2:$D$201,3,FALSE())</f>
        <v/>
      </c>
      <c r="E1110" s="2">
        <f>C1110*D1110</f>
        <v/>
      </c>
      <c r="F1110" s="2">
        <f>C1110*INDEX(Products!$D$2:$D$201,MATCH(B1110,Products!$A$2:$A$201,0))</f>
        <v/>
      </c>
      <c r="G1110" s="2">
        <f>E1110-F1110</f>
        <v/>
      </c>
    </row>
    <row r="1111" ht="15" customHeight="1" s="1">
      <c r="A1111" s="2" t="n">
        <v>51109</v>
      </c>
      <c r="B1111" s="2" t="inlineStr">
        <is>
          <t>SKU-0049</t>
        </is>
      </c>
      <c r="C1111" s="2" t="n">
        <v>18</v>
      </c>
      <c r="D1111" s="2">
        <f>VLOOKUP(B1111,Products!$A$2:$D$201,3,FALSE())</f>
        <v/>
      </c>
      <c r="E1111" s="2">
        <f>C1111*D1111</f>
        <v/>
      </c>
      <c r="F1111" s="2">
        <f>C1111*INDEX(Products!$D$2:$D$201,MATCH(B1111,Products!$A$2:$A$201,0))</f>
        <v/>
      </c>
      <c r="G1111" s="2">
        <f>E1111-F1111</f>
        <v/>
      </c>
    </row>
    <row r="1112" ht="15" customHeight="1" s="1">
      <c r="A1112" s="2" t="n">
        <v>51110</v>
      </c>
      <c r="B1112" s="2" t="inlineStr">
        <is>
          <t>SKU-0114</t>
        </is>
      </c>
      <c r="C1112" s="2" t="n">
        <v>5</v>
      </c>
      <c r="D1112" s="2">
        <f>VLOOKUP(B1112,Products!$A$2:$D$201,3,FALSE())</f>
        <v/>
      </c>
      <c r="E1112" s="2">
        <f>C1112*D1112</f>
        <v/>
      </c>
      <c r="F1112" s="2">
        <f>C1112*INDEX(Products!$D$2:$D$201,MATCH(B1112,Products!$A$2:$A$201,0))</f>
        <v/>
      </c>
      <c r="G1112" s="2">
        <f>E1112-F1112</f>
        <v/>
      </c>
    </row>
    <row r="1113" ht="15" customHeight="1" s="1">
      <c r="A1113" s="2" t="n">
        <v>51111</v>
      </c>
      <c r="B1113" s="2" t="inlineStr">
        <is>
          <t>SKU-0084</t>
        </is>
      </c>
      <c r="C1113" s="2" t="n">
        <v>11</v>
      </c>
      <c r="D1113" s="2">
        <f>VLOOKUP(B1113,Products!$A$2:$D$201,3,FALSE())</f>
        <v/>
      </c>
      <c r="E1113" s="2">
        <f>C1113*D1113</f>
        <v/>
      </c>
      <c r="F1113" s="2">
        <f>C1113*INDEX(Products!$D$2:$D$201,MATCH(B1113,Products!$A$2:$A$201,0))</f>
        <v/>
      </c>
      <c r="G1113" s="2">
        <f>E1113-F1113</f>
        <v/>
      </c>
    </row>
    <row r="1114" ht="15" customHeight="1" s="1">
      <c r="A1114" s="2" t="n">
        <v>51112</v>
      </c>
      <c r="B1114" s="2" t="inlineStr">
        <is>
          <t>SKU-0170</t>
        </is>
      </c>
      <c r="C1114" s="2" t="n">
        <v>14</v>
      </c>
      <c r="D1114" s="2">
        <f>VLOOKUP(B1114,Products!$A$2:$D$201,3,FALSE())</f>
        <v/>
      </c>
      <c r="E1114" s="2">
        <f>C1114*D1114</f>
        <v/>
      </c>
      <c r="F1114" s="2">
        <f>C1114*INDEX(Products!$D$2:$D$201,MATCH(B1114,Products!$A$2:$A$201,0))</f>
        <v/>
      </c>
      <c r="G1114" s="2">
        <f>E1114-F1114</f>
        <v/>
      </c>
    </row>
    <row r="1115" ht="15" customHeight="1" s="1">
      <c r="A1115" s="2" t="n">
        <v>51113</v>
      </c>
      <c r="B1115" s="2" t="inlineStr">
        <is>
          <t>SKU-0020</t>
        </is>
      </c>
      <c r="C1115" s="2" t="n">
        <v>11</v>
      </c>
      <c r="D1115" s="2">
        <f>VLOOKUP(B1115,Products!$A$2:$D$201,3,FALSE())</f>
        <v/>
      </c>
      <c r="E1115" s="2">
        <f>C1115*D1115</f>
        <v/>
      </c>
      <c r="F1115" s="2">
        <f>C1115*INDEX(Products!$D$2:$D$201,MATCH(B1115,Products!$A$2:$A$201,0))</f>
        <v/>
      </c>
      <c r="G1115" s="2">
        <f>E1115-F1115</f>
        <v/>
      </c>
    </row>
    <row r="1116" ht="15" customHeight="1" s="1">
      <c r="A1116" s="2" t="n">
        <v>51114</v>
      </c>
      <c r="B1116" s="2" t="inlineStr">
        <is>
          <t>SKU-0069</t>
        </is>
      </c>
      <c r="C1116" s="2" t="n">
        <v>13</v>
      </c>
      <c r="D1116" s="2">
        <f>VLOOKUP(B1116,Products!$A$2:$D$201,3,FALSE())</f>
        <v/>
      </c>
      <c r="E1116" s="2">
        <f>C1116*D1116</f>
        <v/>
      </c>
      <c r="F1116" s="2">
        <f>C1116*INDEX(Products!$D$2:$D$201,MATCH(B1116,Products!$A$2:$A$201,0))</f>
        <v/>
      </c>
      <c r="G1116" s="2">
        <f>E1116-F1116</f>
        <v/>
      </c>
    </row>
    <row r="1117" ht="15" customHeight="1" s="1">
      <c r="A1117" s="2" t="n">
        <v>51115</v>
      </c>
      <c r="B1117" s="2" t="inlineStr">
        <is>
          <t>SKU-0019</t>
        </is>
      </c>
      <c r="C1117" s="2" t="n">
        <v>4</v>
      </c>
      <c r="D1117" s="2">
        <f>VLOOKUP(B1117,Products!$A$2:$D$201,3,FALSE())</f>
        <v/>
      </c>
      <c r="E1117" s="2">
        <f>C1117*D1117</f>
        <v/>
      </c>
      <c r="F1117" s="2">
        <f>C1117*INDEX(Products!$D$2:$D$201,MATCH(B1117,Products!$A$2:$A$201,0))</f>
        <v/>
      </c>
      <c r="G1117" s="2">
        <f>E1117-F1117</f>
        <v/>
      </c>
    </row>
    <row r="1118" ht="15" customHeight="1" s="1">
      <c r="A1118" s="2" t="n">
        <v>51116</v>
      </c>
      <c r="B1118" s="2" t="inlineStr">
        <is>
          <t>SKU-0019</t>
        </is>
      </c>
      <c r="C1118" s="2" t="n">
        <v>3</v>
      </c>
      <c r="D1118" s="2">
        <f>VLOOKUP(B1118,Products!$A$2:$D$201,3,FALSE())</f>
        <v/>
      </c>
      <c r="E1118" s="2">
        <f>C1118*D1118</f>
        <v/>
      </c>
      <c r="F1118" s="2">
        <f>C1118*INDEX(Products!$D$2:$D$201,MATCH(B1118,Products!$A$2:$A$201,0))</f>
        <v/>
      </c>
      <c r="G1118" s="2">
        <f>E1118-F1118</f>
        <v/>
      </c>
    </row>
    <row r="1119" ht="15" customHeight="1" s="1">
      <c r="A1119" s="2" t="n">
        <v>51117</v>
      </c>
      <c r="B1119" s="2" t="inlineStr">
        <is>
          <t>SKU-0018</t>
        </is>
      </c>
      <c r="C1119" s="2" t="n">
        <v>17</v>
      </c>
      <c r="D1119" s="2">
        <f>VLOOKUP(B1119,Products!$A$2:$D$201,3,FALSE())</f>
        <v/>
      </c>
      <c r="E1119" s="2">
        <f>C1119*D1119</f>
        <v/>
      </c>
      <c r="F1119" s="2">
        <f>C1119*INDEX(Products!$D$2:$D$201,MATCH(B1119,Products!$A$2:$A$201,0))</f>
        <v/>
      </c>
      <c r="G1119" s="2">
        <f>E1119-F1119</f>
        <v/>
      </c>
    </row>
    <row r="1120" ht="15" customHeight="1" s="1">
      <c r="A1120" s="2" t="n">
        <v>51118</v>
      </c>
      <c r="B1120" s="2" t="inlineStr">
        <is>
          <t>SKU-0037</t>
        </is>
      </c>
      <c r="C1120" s="2" t="n">
        <v>3</v>
      </c>
      <c r="D1120" s="2">
        <f>VLOOKUP(B1120,Products!$A$2:$D$201,3,FALSE())</f>
        <v/>
      </c>
      <c r="E1120" s="2">
        <f>C1120*D1120</f>
        <v/>
      </c>
      <c r="F1120" s="2">
        <f>C1120*INDEX(Products!$D$2:$D$201,MATCH(B1120,Products!$A$2:$A$201,0))</f>
        <v/>
      </c>
      <c r="G1120" s="2">
        <f>E1120-F1120</f>
        <v/>
      </c>
    </row>
    <row r="1121" ht="15" customHeight="1" s="1">
      <c r="A1121" s="2" t="n">
        <v>51119</v>
      </c>
      <c r="B1121" s="2" t="inlineStr">
        <is>
          <t>SKU-0048</t>
        </is>
      </c>
      <c r="C1121" s="2" t="n">
        <v>16</v>
      </c>
      <c r="D1121" s="2">
        <f>VLOOKUP(B1121,Products!$A$2:$D$201,3,FALSE())</f>
        <v/>
      </c>
      <c r="E1121" s="2">
        <f>C1121*D1121</f>
        <v/>
      </c>
      <c r="F1121" s="2">
        <f>C1121*INDEX(Products!$D$2:$D$201,MATCH(B1121,Products!$A$2:$A$201,0))</f>
        <v/>
      </c>
      <c r="G1121" s="2">
        <f>E1121-F1121</f>
        <v/>
      </c>
    </row>
    <row r="1122" ht="15" customHeight="1" s="1">
      <c r="A1122" s="2" t="n">
        <v>51120</v>
      </c>
      <c r="B1122" s="2" t="inlineStr">
        <is>
          <t>SKU-0111</t>
        </is>
      </c>
      <c r="C1122" s="2" t="n">
        <v>12</v>
      </c>
      <c r="D1122" s="2">
        <f>VLOOKUP(B1122,Products!$A$2:$D$201,3,FALSE())</f>
        <v/>
      </c>
      <c r="E1122" s="2">
        <f>C1122*D1122</f>
        <v/>
      </c>
      <c r="F1122" s="2">
        <f>C1122*INDEX(Products!$D$2:$D$201,MATCH(B1122,Products!$A$2:$A$201,0))</f>
        <v/>
      </c>
      <c r="G1122" s="2">
        <f>E1122-F1122</f>
        <v/>
      </c>
    </row>
    <row r="1123" ht="15" customHeight="1" s="1">
      <c r="A1123" s="2" t="n">
        <v>51121</v>
      </c>
      <c r="B1123" s="2" t="inlineStr">
        <is>
          <t>SKU-0097</t>
        </is>
      </c>
      <c r="C1123" s="2" t="n">
        <v>8</v>
      </c>
      <c r="D1123" s="2">
        <f>VLOOKUP(B1123,Products!$A$2:$D$201,3,FALSE())</f>
        <v/>
      </c>
      <c r="E1123" s="2">
        <f>C1123*D1123</f>
        <v/>
      </c>
      <c r="F1123" s="2">
        <f>C1123*INDEX(Products!$D$2:$D$201,MATCH(B1123,Products!$A$2:$A$201,0))</f>
        <v/>
      </c>
      <c r="G1123" s="2">
        <f>E1123-F1123</f>
        <v/>
      </c>
    </row>
    <row r="1124" ht="15" customHeight="1" s="1">
      <c r="A1124" s="2" t="n">
        <v>51122</v>
      </c>
      <c r="B1124" s="2" t="inlineStr">
        <is>
          <t>SKU-0153</t>
        </is>
      </c>
      <c r="C1124" s="2" t="n">
        <v>12</v>
      </c>
      <c r="D1124" s="2">
        <f>VLOOKUP(B1124,Products!$A$2:$D$201,3,FALSE())</f>
        <v/>
      </c>
      <c r="E1124" s="2">
        <f>C1124*D1124</f>
        <v/>
      </c>
      <c r="F1124" s="2">
        <f>C1124*INDEX(Products!$D$2:$D$201,MATCH(B1124,Products!$A$2:$A$201,0))</f>
        <v/>
      </c>
      <c r="G1124" s="2">
        <f>E1124-F1124</f>
        <v/>
      </c>
    </row>
    <row r="1125" ht="15" customHeight="1" s="1">
      <c r="A1125" s="2" t="n">
        <v>51123</v>
      </c>
      <c r="B1125" s="2" t="inlineStr">
        <is>
          <t>SKU-0048</t>
        </is>
      </c>
      <c r="C1125" s="2" t="n">
        <v>7</v>
      </c>
      <c r="D1125" s="2">
        <f>VLOOKUP(B1125,Products!$A$2:$D$201,3,FALSE())</f>
        <v/>
      </c>
      <c r="E1125" s="2">
        <f>C1125*D1125</f>
        <v/>
      </c>
      <c r="F1125" s="2">
        <f>C1125*INDEX(Products!$D$2:$D$201,MATCH(B1125,Products!$A$2:$A$201,0))</f>
        <v/>
      </c>
      <c r="G1125" s="2">
        <f>E1125-F1125</f>
        <v/>
      </c>
    </row>
    <row r="1126" ht="15" customHeight="1" s="1">
      <c r="A1126" s="2" t="n">
        <v>51124</v>
      </c>
      <c r="B1126" s="2" t="inlineStr">
        <is>
          <t>SKU-0021</t>
        </is>
      </c>
      <c r="C1126" s="2" t="n">
        <v>10</v>
      </c>
      <c r="D1126" s="2">
        <f>VLOOKUP(B1126,Products!$A$2:$D$201,3,FALSE())</f>
        <v/>
      </c>
      <c r="E1126" s="2">
        <f>C1126*D1126</f>
        <v/>
      </c>
      <c r="F1126" s="2">
        <f>C1126*INDEX(Products!$D$2:$D$201,MATCH(B1126,Products!$A$2:$A$201,0))</f>
        <v/>
      </c>
      <c r="G1126" s="2">
        <f>E1126-F1126</f>
        <v/>
      </c>
    </row>
    <row r="1127" ht="15" customHeight="1" s="1">
      <c r="A1127" s="2" t="n">
        <v>51125</v>
      </c>
      <c r="B1127" s="2" t="inlineStr">
        <is>
          <t>SKU-0068</t>
        </is>
      </c>
      <c r="C1127" s="2" t="n">
        <v>2</v>
      </c>
      <c r="D1127" s="2">
        <f>VLOOKUP(B1127,Products!$A$2:$D$201,3,FALSE())</f>
        <v/>
      </c>
      <c r="E1127" s="2">
        <f>C1127*D1127</f>
        <v/>
      </c>
      <c r="F1127" s="2">
        <f>C1127*INDEX(Products!$D$2:$D$201,MATCH(B1127,Products!$A$2:$A$201,0))</f>
        <v/>
      </c>
      <c r="G1127" s="2">
        <f>E1127-F1127</f>
        <v/>
      </c>
    </row>
    <row r="1128" ht="15" customHeight="1" s="1">
      <c r="A1128" s="2" t="n">
        <v>51126</v>
      </c>
      <c r="B1128" s="2" t="inlineStr">
        <is>
          <t>SKU-0187</t>
        </is>
      </c>
      <c r="C1128" s="2" t="n">
        <v>14</v>
      </c>
      <c r="D1128" s="2">
        <f>VLOOKUP(B1128,Products!$A$2:$D$201,3,FALSE())</f>
        <v/>
      </c>
      <c r="E1128" s="2">
        <f>C1128*D1128</f>
        <v/>
      </c>
      <c r="F1128" s="2">
        <f>C1128*INDEX(Products!$D$2:$D$201,MATCH(B1128,Products!$A$2:$A$201,0))</f>
        <v/>
      </c>
      <c r="G1128" s="2">
        <f>E1128-F1128</f>
        <v/>
      </c>
    </row>
    <row r="1129" ht="15" customHeight="1" s="1">
      <c r="A1129" s="2" t="n">
        <v>51127</v>
      </c>
      <c r="B1129" s="2" t="inlineStr">
        <is>
          <t>SKU-0151</t>
        </is>
      </c>
      <c r="C1129" s="2" t="n">
        <v>13</v>
      </c>
      <c r="D1129" s="2">
        <f>VLOOKUP(B1129,Products!$A$2:$D$201,3,FALSE())</f>
        <v/>
      </c>
      <c r="E1129" s="2">
        <f>C1129*D1129</f>
        <v/>
      </c>
      <c r="F1129" s="2">
        <f>C1129*INDEX(Products!$D$2:$D$201,MATCH(B1129,Products!$A$2:$A$201,0))</f>
        <v/>
      </c>
      <c r="G1129" s="2">
        <f>E1129-F1129</f>
        <v/>
      </c>
    </row>
    <row r="1130" ht="15" customHeight="1" s="1">
      <c r="A1130" s="2" t="n">
        <v>51128</v>
      </c>
      <c r="B1130" s="2" t="inlineStr">
        <is>
          <t>SKU-0056</t>
        </is>
      </c>
      <c r="C1130" s="2" t="n">
        <v>20</v>
      </c>
      <c r="D1130" s="2">
        <f>VLOOKUP(B1130,Products!$A$2:$D$201,3,FALSE())</f>
        <v/>
      </c>
      <c r="E1130" s="2">
        <f>C1130*D1130</f>
        <v/>
      </c>
      <c r="F1130" s="2">
        <f>C1130*INDEX(Products!$D$2:$D$201,MATCH(B1130,Products!$A$2:$A$201,0))</f>
        <v/>
      </c>
      <c r="G1130" s="2">
        <f>E1130-F1130</f>
        <v/>
      </c>
    </row>
    <row r="1131" ht="15" customHeight="1" s="1">
      <c r="A1131" s="2" t="n">
        <v>51129</v>
      </c>
      <c r="B1131" s="2" t="inlineStr">
        <is>
          <t>SKU-0082</t>
        </is>
      </c>
      <c r="C1131" s="2" t="n">
        <v>5</v>
      </c>
      <c r="D1131" s="2">
        <f>VLOOKUP(B1131,Products!$A$2:$D$201,3,FALSE())</f>
        <v/>
      </c>
      <c r="E1131" s="2">
        <f>C1131*D1131</f>
        <v/>
      </c>
      <c r="F1131" s="2">
        <f>C1131*INDEX(Products!$D$2:$D$201,MATCH(B1131,Products!$A$2:$A$201,0))</f>
        <v/>
      </c>
      <c r="G1131" s="2">
        <f>E1131-F1131</f>
        <v/>
      </c>
    </row>
    <row r="1132" ht="15" customHeight="1" s="1">
      <c r="A1132" s="2" t="n">
        <v>51130</v>
      </c>
      <c r="B1132" s="2" t="inlineStr">
        <is>
          <t>SKU-0151</t>
        </is>
      </c>
      <c r="C1132" s="2" t="n">
        <v>20</v>
      </c>
      <c r="D1132" s="2">
        <f>VLOOKUP(B1132,Products!$A$2:$D$201,3,FALSE())</f>
        <v/>
      </c>
      <c r="E1132" s="2">
        <f>C1132*D1132</f>
        <v/>
      </c>
      <c r="F1132" s="2">
        <f>C1132*INDEX(Products!$D$2:$D$201,MATCH(B1132,Products!$A$2:$A$201,0))</f>
        <v/>
      </c>
      <c r="G1132" s="2">
        <f>E1132-F1132</f>
        <v/>
      </c>
    </row>
    <row r="1133" ht="15" customHeight="1" s="1">
      <c r="A1133" s="2" t="n">
        <v>51131</v>
      </c>
      <c r="B1133" s="2" t="inlineStr">
        <is>
          <t>SKU-0038</t>
        </is>
      </c>
      <c r="C1133" s="2" t="n">
        <v>1</v>
      </c>
      <c r="D1133" s="2">
        <f>VLOOKUP(B1133,Products!$A$2:$D$201,3,FALSE())</f>
        <v/>
      </c>
      <c r="E1133" s="2">
        <f>C1133*D1133</f>
        <v/>
      </c>
      <c r="F1133" s="2">
        <f>C1133*INDEX(Products!$D$2:$D$201,MATCH(B1133,Products!$A$2:$A$201,0))</f>
        <v/>
      </c>
      <c r="G1133" s="2">
        <f>E1133-F1133</f>
        <v/>
      </c>
    </row>
    <row r="1134" ht="15" customHeight="1" s="1">
      <c r="A1134" s="2" t="n">
        <v>51132</v>
      </c>
      <c r="B1134" s="2" t="inlineStr">
        <is>
          <t>SKU-0051</t>
        </is>
      </c>
      <c r="C1134" s="2" t="n">
        <v>15</v>
      </c>
      <c r="D1134" s="2">
        <f>VLOOKUP(B1134,Products!$A$2:$D$201,3,FALSE())</f>
        <v/>
      </c>
      <c r="E1134" s="2">
        <f>C1134*D1134</f>
        <v/>
      </c>
      <c r="F1134" s="2">
        <f>C1134*INDEX(Products!$D$2:$D$201,MATCH(B1134,Products!$A$2:$A$201,0))</f>
        <v/>
      </c>
      <c r="G1134" s="2">
        <f>E1134-F1134</f>
        <v/>
      </c>
    </row>
    <row r="1135" ht="15" customHeight="1" s="1">
      <c r="A1135" s="2" t="n">
        <v>51133</v>
      </c>
      <c r="B1135" s="2" t="inlineStr">
        <is>
          <t>SKU-0161</t>
        </is>
      </c>
      <c r="C1135" s="2" t="n">
        <v>7</v>
      </c>
      <c r="D1135" s="2">
        <f>VLOOKUP(B1135,Products!$A$2:$D$201,3,FALSE())</f>
        <v/>
      </c>
      <c r="E1135" s="2">
        <f>C1135*D1135</f>
        <v/>
      </c>
      <c r="F1135" s="2">
        <f>C1135*INDEX(Products!$D$2:$D$201,MATCH(B1135,Products!$A$2:$A$201,0))</f>
        <v/>
      </c>
      <c r="G1135" s="2">
        <f>E1135-F1135</f>
        <v/>
      </c>
    </row>
    <row r="1136" ht="15" customHeight="1" s="1">
      <c r="A1136" s="2" t="n">
        <v>51134</v>
      </c>
      <c r="B1136" s="2" t="inlineStr">
        <is>
          <t>SKU-0012</t>
        </is>
      </c>
      <c r="C1136" s="2" t="n">
        <v>1</v>
      </c>
      <c r="D1136" s="2">
        <f>VLOOKUP(B1136,Products!$A$2:$D$201,3,FALSE())</f>
        <v/>
      </c>
      <c r="E1136" s="2">
        <f>C1136*D1136</f>
        <v/>
      </c>
      <c r="F1136" s="2">
        <f>C1136*INDEX(Products!$D$2:$D$201,MATCH(B1136,Products!$A$2:$A$201,0))</f>
        <v/>
      </c>
      <c r="G1136" s="2">
        <f>E1136-F1136</f>
        <v/>
      </c>
    </row>
    <row r="1137" ht="15" customHeight="1" s="1">
      <c r="A1137" s="2" t="n">
        <v>51135</v>
      </c>
      <c r="B1137" s="2" t="inlineStr">
        <is>
          <t>SKU-0173</t>
        </is>
      </c>
      <c r="C1137" s="2" t="n">
        <v>12</v>
      </c>
      <c r="D1137" s="2">
        <f>VLOOKUP(B1137,Products!$A$2:$D$201,3,FALSE())</f>
        <v/>
      </c>
      <c r="E1137" s="2">
        <f>C1137*D1137</f>
        <v/>
      </c>
      <c r="F1137" s="2">
        <f>C1137*INDEX(Products!$D$2:$D$201,MATCH(B1137,Products!$A$2:$A$201,0))</f>
        <v/>
      </c>
      <c r="G1137" s="2">
        <f>E1137-F1137</f>
        <v/>
      </c>
    </row>
    <row r="1138" ht="15" customHeight="1" s="1">
      <c r="A1138" s="2" t="n">
        <v>51136</v>
      </c>
      <c r="B1138" s="2" t="inlineStr">
        <is>
          <t>SKU-0065</t>
        </is>
      </c>
      <c r="C1138" s="2" t="n">
        <v>16</v>
      </c>
      <c r="D1138" s="2">
        <f>VLOOKUP(B1138,Products!$A$2:$D$201,3,FALSE())</f>
        <v/>
      </c>
      <c r="E1138" s="2">
        <f>C1138*D1138</f>
        <v/>
      </c>
      <c r="F1138" s="2">
        <f>C1138*INDEX(Products!$D$2:$D$201,MATCH(B1138,Products!$A$2:$A$201,0))</f>
        <v/>
      </c>
      <c r="G1138" s="2">
        <f>E1138-F1138</f>
        <v/>
      </c>
    </row>
    <row r="1139" ht="15" customHeight="1" s="1">
      <c r="A1139" s="2" t="n">
        <v>51137</v>
      </c>
      <c r="B1139" s="2" t="inlineStr">
        <is>
          <t>SKU-0126</t>
        </is>
      </c>
      <c r="C1139" s="2" t="n">
        <v>16</v>
      </c>
      <c r="D1139" s="2">
        <f>VLOOKUP(B1139,Products!$A$2:$D$201,3,FALSE())</f>
        <v/>
      </c>
      <c r="E1139" s="2">
        <f>C1139*D1139</f>
        <v/>
      </c>
      <c r="F1139" s="2">
        <f>C1139*INDEX(Products!$D$2:$D$201,MATCH(B1139,Products!$A$2:$A$201,0))</f>
        <v/>
      </c>
      <c r="G1139" s="2">
        <f>E1139-F1139</f>
        <v/>
      </c>
    </row>
    <row r="1140" ht="15" customHeight="1" s="1">
      <c r="A1140" s="2" t="n">
        <v>51138</v>
      </c>
      <c r="B1140" s="2" t="inlineStr">
        <is>
          <t>SKU-0018</t>
        </is>
      </c>
      <c r="C1140" s="2" t="n">
        <v>15</v>
      </c>
      <c r="D1140" s="2">
        <f>VLOOKUP(B1140,Products!$A$2:$D$201,3,FALSE())</f>
        <v/>
      </c>
      <c r="E1140" s="2">
        <f>C1140*D1140</f>
        <v/>
      </c>
      <c r="F1140" s="2">
        <f>C1140*INDEX(Products!$D$2:$D$201,MATCH(B1140,Products!$A$2:$A$201,0))</f>
        <v/>
      </c>
      <c r="G1140" s="2">
        <f>E1140-F1140</f>
        <v/>
      </c>
    </row>
    <row r="1141" ht="15" customHeight="1" s="1">
      <c r="A1141" s="2" t="n">
        <v>51139</v>
      </c>
      <c r="B1141" s="2" t="inlineStr">
        <is>
          <t>SKU-0143</t>
        </is>
      </c>
      <c r="C1141" s="2" t="n">
        <v>3</v>
      </c>
      <c r="D1141" s="2">
        <f>VLOOKUP(B1141,Products!$A$2:$D$201,3,FALSE())</f>
        <v/>
      </c>
      <c r="E1141" s="2">
        <f>C1141*D1141</f>
        <v/>
      </c>
      <c r="F1141" s="2">
        <f>C1141*INDEX(Products!$D$2:$D$201,MATCH(B1141,Products!$A$2:$A$201,0))</f>
        <v/>
      </c>
      <c r="G1141" s="2">
        <f>E1141-F1141</f>
        <v/>
      </c>
    </row>
    <row r="1142" ht="15" customHeight="1" s="1">
      <c r="A1142" s="2" t="n">
        <v>51140</v>
      </c>
      <c r="B1142" s="2" t="inlineStr">
        <is>
          <t>SKU-0172</t>
        </is>
      </c>
      <c r="C1142" s="2" t="n">
        <v>11</v>
      </c>
      <c r="D1142" s="2">
        <f>VLOOKUP(B1142,Products!$A$2:$D$201,3,FALSE())</f>
        <v/>
      </c>
      <c r="E1142" s="2">
        <f>C1142*D1142</f>
        <v/>
      </c>
      <c r="F1142" s="2">
        <f>C1142*INDEX(Products!$D$2:$D$201,MATCH(B1142,Products!$A$2:$A$201,0))</f>
        <v/>
      </c>
      <c r="G1142" s="2">
        <f>E1142-F1142</f>
        <v/>
      </c>
    </row>
    <row r="1143" ht="15" customHeight="1" s="1">
      <c r="A1143" s="2" t="n">
        <v>51141</v>
      </c>
      <c r="B1143" s="2" t="inlineStr">
        <is>
          <t>SKU-0044</t>
        </is>
      </c>
      <c r="C1143" s="2" t="n">
        <v>19</v>
      </c>
      <c r="D1143" s="2">
        <f>VLOOKUP(B1143,Products!$A$2:$D$201,3,FALSE())</f>
        <v/>
      </c>
      <c r="E1143" s="2">
        <f>C1143*D1143</f>
        <v/>
      </c>
      <c r="F1143" s="2">
        <f>C1143*INDEX(Products!$D$2:$D$201,MATCH(B1143,Products!$A$2:$A$201,0))</f>
        <v/>
      </c>
      <c r="G1143" s="2">
        <f>E1143-F1143</f>
        <v/>
      </c>
    </row>
    <row r="1144" ht="15" customHeight="1" s="1">
      <c r="A1144" s="2" t="n">
        <v>51142</v>
      </c>
      <c r="B1144" s="2" t="inlineStr">
        <is>
          <t>SKU-0134</t>
        </is>
      </c>
      <c r="C1144" s="2" t="n">
        <v>2</v>
      </c>
      <c r="D1144" s="2">
        <f>VLOOKUP(B1144,Products!$A$2:$D$201,3,FALSE())</f>
        <v/>
      </c>
      <c r="E1144" s="2">
        <f>C1144*D1144</f>
        <v/>
      </c>
      <c r="F1144" s="2">
        <f>C1144*INDEX(Products!$D$2:$D$201,MATCH(B1144,Products!$A$2:$A$201,0))</f>
        <v/>
      </c>
      <c r="G1144" s="2">
        <f>E1144-F1144</f>
        <v/>
      </c>
    </row>
    <row r="1145" ht="15" customHeight="1" s="1">
      <c r="A1145" s="2" t="n">
        <v>51143</v>
      </c>
      <c r="B1145" s="2" t="inlineStr">
        <is>
          <t>SKU-0147</t>
        </is>
      </c>
      <c r="C1145" s="2" t="n">
        <v>3</v>
      </c>
      <c r="D1145" s="2">
        <f>VLOOKUP(B1145,Products!$A$2:$D$201,3,FALSE())</f>
        <v/>
      </c>
      <c r="E1145" s="2">
        <f>C1145*D1145</f>
        <v/>
      </c>
      <c r="F1145" s="2">
        <f>C1145*INDEX(Products!$D$2:$D$201,MATCH(B1145,Products!$A$2:$A$201,0))</f>
        <v/>
      </c>
      <c r="G1145" s="2">
        <f>E1145-F1145</f>
        <v/>
      </c>
    </row>
    <row r="1146" ht="15" customHeight="1" s="1">
      <c r="A1146" s="2" t="n">
        <v>51144</v>
      </c>
      <c r="B1146" s="2" t="inlineStr">
        <is>
          <t>SKU-0163</t>
        </is>
      </c>
      <c r="C1146" s="2" t="n">
        <v>1</v>
      </c>
      <c r="D1146" s="2">
        <f>VLOOKUP(B1146,Products!$A$2:$D$201,3,FALSE())</f>
        <v/>
      </c>
      <c r="E1146" s="2">
        <f>C1146*D1146</f>
        <v/>
      </c>
      <c r="F1146" s="2">
        <f>C1146*INDEX(Products!$D$2:$D$201,MATCH(B1146,Products!$A$2:$A$201,0))</f>
        <v/>
      </c>
      <c r="G1146" s="2">
        <f>E1146-F1146</f>
        <v/>
      </c>
    </row>
    <row r="1147" ht="15" customHeight="1" s="1">
      <c r="A1147" s="2" t="n">
        <v>51145</v>
      </c>
      <c r="B1147" s="2" t="inlineStr">
        <is>
          <t>SKU-0144</t>
        </is>
      </c>
      <c r="C1147" s="2" t="n">
        <v>11</v>
      </c>
      <c r="D1147" s="2">
        <f>VLOOKUP(B1147,Products!$A$2:$D$201,3,FALSE())</f>
        <v/>
      </c>
      <c r="E1147" s="2">
        <f>C1147*D1147</f>
        <v/>
      </c>
      <c r="F1147" s="2">
        <f>C1147*INDEX(Products!$D$2:$D$201,MATCH(B1147,Products!$A$2:$A$201,0))</f>
        <v/>
      </c>
      <c r="G1147" s="2">
        <f>E1147-F1147</f>
        <v/>
      </c>
    </row>
    <row r="1148" ht="15" customHeight="1" s="1">
      <c r="A1148" s="2" t="n">
        <v>51146</v>
      </c>
      <c r="B1148" s="2" t="inlineStr">
        <is>
          <t>SKU-0024</t>
        </is>
      </c>
      <c r="C1148" s="2" t="n">
        <v>4</v>
      </c>
      <c r="D1148" s="2">
        <f>VLOOKUP(B1148,Products!$A$2:$D$201,3,FALSE())</f>
        <v/>
      </c>
      <c r="E1148" s="2">
        <f>C1148*D1148</f>
        <v/>
      </c>
      <c r="F1148" s="2">
        <f>C1148*INDEX(Products!$D$2:$D$201,MATCH(B1148,Products!$A$2:$A$201,0))</f>
        <v/>
      </c>
      <c r="G1148" s="2">
        <f>E1148-F1148</f>
        <v/>
      </c>
    </row>
    <row r="1149" ht="15" customHeight="1" s="1">
      <c r="A1149" s="2" t="n">
        <v>51147</v>
      </c>
      <c r="B1149" s="2" t="inlineStr">
        <is>
          <t>SKU-0121</t>
        </is>
      </c>
      <c r="C1149" s="2" t="n">
        <v>1</v>
      </c>
      <c r="D1149" s="2">
        <f>VLOOKUP(B1149,Products!$A$2:$D$201,3,FALSE())</f>
        <v/>
      </c>
      <c r="E1149" s="2">
        <f>C1149*D1149</f>
        <v/>
      </c>
      <c r="F1149" s="2">
        <f>C1149*INDEX(Products!$D$2:$D$201,MATCH(B1149,Products!$A$2:$A$201,0))</f>
        <v/>
      </c>
      <c r="G1149" s="2">
        <f>E1149-F1149</f>
        <v/>
      </c>
    </row>
    <row r="1150" ht="15" customHeight="1" s="1">
      <c r="A1150" s="2" t="n">
        <v>51148</v>
      </c>
      <c r="B1150" s="2" t="inlineStr">
        <is>
          <t>SKU-0137</t>
        </is>
      </c>
      <c r="C1150" s="2" t="n">
        <v>8</v>
      </c>
      <c r="D1150" s="2">
        <f>VLOOKUP(B1150,Products!$A$2:$D$201,3,FALSE())</f>
        <v/>
      </c>
      <c r="E1150" s="2">
        <f>C1150*D1150</f>
        <v/>
      </c>
      <c r="F1150" s="2">
        <f>C1150*INDEX(Products!$D$2:$D$201,MATCH(B1150,Products!$A$2:$A$201,0))</f>
        <v/>
      </c>
      <c r="G1150" s="2">
        <f>E1150-F1150</f>
        <v/>
      </c>
    </row>
    <row r="1151" ht="15" customHeight="1" s="1">
      <c r="A1151" s="2" t="n">
        <v>51149</v>
      </c>
      <c r="B1151" s="2" t="inlineStr">
        <is>
          <t>SKU-0155</t>
        </is>
      </c>
      <c r="C1151" s="2" t="n">
        <v>15</v>
      </c>
      <c r="D1151" s="2">
        <f>VLOOKUP(B1151,Products!$A$2:$D$201,3,FALSE())</f>
        <v/>
      </c>
      <c r="E1151" s="2">
        <f>C1151*D1151</f>
        <v/>
      </c>
      <c r="F1151" s="2">
        <f>C1151*INDEX(Products!$D$2:$D$201,MATCH(B1151,Products!$A$2:$A$201,0))</f>
        <v/>
      </c>
      <c r="G1151" s="2">
        <f>E1151-F1151</f>
        <v/>
      </c>
    </row>
    <row r="1152" ht="15" customHeight="1" s="1">
      <c r="A1152" s="2" t="n">
        <v>51150</v>
      </c>
      <c r="B1152" s="2" t="inlineStr">
        <is>
          <t>SKU-0006</t>
        </is>
      </c>
      <c r="C1152" s="2" t="n">
        <v>8</v>
      </c>
      <c r="D1152" s="2">
        <f>VLOOKUP(B1152,Products!$A$2:$D$201,3,FALSE())</f>
        <v/>
      </c>
      <c r="E1152" s="2">
        <f>C1152*D1152</f>
        <v/>
      </c>
      <c r="F1152" s="2">
        <f>C1152*INDEX(Products!$D$2:$D$201,MATCH(B1152,Products!$A$2:$A$201,0))</f>
        <v/>
      </c>
      <c r="G1152" s="2">
        <f>E1152-F1152</f>
        <v/>
      </c>
    </row>
    <row r="1153" ht="15" customHeight="1" s="1">
      <c r="A1153" s="2" t="n">
        <v>51151</v>
      </c>
      <c r="B1153" s="2" t="inlineStr">
        <is>
          <t>SKU-0096</t>
        </is>
      </c>
      <c r="C1153" s="2" t="n">
        <v>12</v>
      </c>
      <c r="D1153" s="2">
        <f>VLOOKUP(B1153,Products!$A$2:$D$201,3,FALSE())</f>
        <v/>
      </c>
      <c r="E1153" s="2">
        <f>C1153*D1153</f>
        <v/>
      </c>
      <c r="F1153" s="2">
        <f>C1153*INDEX(Products!$D$2:$D$201,MATCH(B1153,Products!$A$2:$A$201,0))</f>
        <v/>
      </c>
      <c r="G1153" s="2">
        <f>E1153-F1153</f>
        <v/>
      </c>
    </row>
    <row r="1154" ht="15" customHeight="1" s="1">
      <c r="A1154" s="2" t="n">
        <v>51152</v>
      </c>
      <c r="B1154" s="2" t="inlineStr">
        <is>
          <t>SKU-0029</t>
        </is>
      </c>
      <c r="C1154" s="2" t="n">
        <v>2</v>
      </c>
      <c r="D1154" s="2">
        <f>VLOOKUP(B1154,Products!$A$2:$D$201,3,FALSE())</f>
        <v/>
      </c>
      <c r="E1154" s="2">
        <f>C1154*D1154</f>
        <v/>
      </c>
      <c r="F1154" s="2">
        <f>C1154*INDEX(Products!$D$2:$D$201,MATCH(B1154,Products!$A$2:$A$201,0))</f>
        <v/>
      </c>
      <c r="G1154" s="2">
        <f>E1154-F1154</f>
        <v/>
      </c>
    </row>
    <row r="1155" ht="15" customHeight="1" s="1">
      <c r="A1155" s="2" t="n">
        <v>51153</v>
      </c>
      <c r="B1155" s="2" t="inlineStr">
        <is>
          <t>SKU-0195</t>
        </is>
      </c>
      <c r="C1155" s="2" t="n">
        <v>4</v>
      </c>
      <c r="D1155" s="2">
        <f>VLOOKUP(B1155,Products!$A$2:$D$201,3,FALSE())</f>
        <v/>
      </c>
      <c r="E1155" s="2">
        <f>C1155*D1155</f>
        <v/>
      </c>
      <c r="F1155" s="2">
        <f>C1155*INDEX(Products!$D$2:$D$201,MATCH(B1155,Products!$A$2:$A$201,0))</f>
        <v/>
      </c>
      <c r="G1155" s="2">
        <f>E1155-F1155</f>
        <v/>
      </c>
    </row>
    <row r="1156" ht="15" customHeight="1" s="1">
      <c r="A1156" s="2" t="n">
        <v>51154</v>
      </c>
      <c r="B1156" s="2" t="inlineStr">
        <is>
          <t>SKU-0181</t>
        </is>
      </c>
      <c r="C1156" s="2" t="n">
        <v>7</v>
      </c>
      <c r="D1156" s="2">
        <f>VLOOKUP(B1156,Products!$A$2:$D$201,3,FALSE())</f>
        <v/>
      </c>
      <c r="E1156" s="2">
        <f>C1156*D1156</f>
        <v/>
      </c>
      <c r="F1156" s="2">
        <f>C1156*INDEX(Products!$D$2:$D$201,MATCH(B1156,Products!$A$2:$A$201,0))</f>
        <v/>
      </c>
      <c r="G1156" s="2">
        <f>E1156-F1156</f>
        <v/>
      </c>
    </row>
    <row r="1157" ht="15" customHeight="1" s="1">
      <c r="A1157" s="2" t="n">
        <v>51155</v>
      </c>
      <c r="B1157" s="2" t="inlineStr">
        <is>
          <t>SKU-0120</t>
        </is>
      </c>
      <c r="C1157" s="2" t="n">
        <v>11</v>
      </c>
      <c r="D1157" s="2">
        <f>VLOOKUP(B1157,Products!$A$2:$D$201,3,FALSE())</f>
        <v/>
      </c>
      <c r="E1157" s="2">
        <f>C1157*D1157</f>
        <v/>
      </c>
      <c r="F1157" s="2">
        <f>C1157*INDEX(Products!$D$2:$D$201,MATCH(B1157,Products!$A$2:$A$201,0))</f>
        <v/>
      </c>
      <c r="G1157" s="2">
        <f>E1157-F1157</f>
        <v/>
      </c>
    </row>
    <row r="1158" ht="15" customHeight="1" s="1">
      <c r="A1158" s="2" t="n">
        <v>51156</v>
      </c>
      <c r="B1158" s="2" t="inlineStr">
        <is>
          <t>SKU-0069</t>
        </is>
      </c>
      <c r="C1158" s="2" t="n">
        <v>8</v>
      </c>
      <c r="D1158" s="2">
        <f>VLOOKUP(B1158,Products!$A$2:$D$201,3,FALSE())</f>
        <v/>
      </c>
      <c r="E1158" s="2">
        <f>C1158*D1158</f>
        <v/>
      </c>
      <c r="F1158" s="2">
        <f>C1158*INDEX(Products!$D$2:$D$201,MATCH(B1158,Products!$A$2:$A$201,0))</f>
        <v/>
      </c>
      <c r="G1158" s="2">
        <f>E1158-F1158</f>
        <v/>
      </c>
    </row>
    <row r="1159" ht="15" customHeight="1" s="1">
      <c r="A1159" s="2" t="n">
        <v>51157</v>
      </c>
      <c r="B1159" s="2" t="inlineStr">
        <is>
          <t>SKU-0093</t>
        </is>
      </c>
      <c r="C1159" s="2" t="n">
        <v>19</v>
      </c>
      <c r="D1159" s="2">
        <f>VLOOKUP(B1159,Products!$A$2:$D$201,3,FALSE())</f>
        <v/>
      </c>
      <c r="E1159" s="2">
        <f>C1159*D1159</f>
        <v/>
      </c>
      <c r="F1159" s="2">
        <f>C1159*INDEX(Products!$D$2:$D$201,MATCH(B1159,Products!$A$2:$A$201,0))</f>
        <v/>
      </c>
      <c r="G1159" s="2">
        <f>E1159-F1159</f>
        <v/>
      </c>
    </row>
    <row r="1160" ht="15" customHeight="1" s="1">
      <c r="A1160" s="2" t="n">
        <v>51158</v>
      </c>
      <c r="B1160" s="2" t="inlineStr">
        <is>
          <t>SKU-0118</t>
        </is>
      </c>
      <c r="C1160" s="2" t="n">
        <v>19</v>
      </c>
      <c r="D1160" s="2">
        <f>VLOOKUP(B1160,Products!$A$2:$D$201,3,FALSE())</f>
        <v/>
      </c>
      <c r="E1160" s="2">
        <f>C1160*D1160</f>
        <v/>
      </c>
      <c r="F1160" s="2">
        <f>C1160*INDEX(Products!$D$2:$D$201,MATCH(B1160,Products!$A$2:$A$201,0))</f>
        <v/>
      </c>
      <c r="G1160" s="2">
        <f>E1160-F1160</f>
        <v/>
      </c>
    </row>
    <row r="1161" ht="15" customHeight="1" s="1">
      <c r="A1161" s="2" t="n">
        <v>51159</v>
      </c>
      <c r="B1161" s="2" t="inlineStr">
        <is>
          <t>SKU-0053</t>
        </is>
      </c>
      <c r="C1161" s="2" t="n">
        <v>8</v>
      </c>
      <c r="D1161" s="2">
        <f>VLOOKUP(B1161,Products!$A$2:$D$201,3,FALSE())</f>
        <v/>
      </c>
      <c r="E1161" s="2">
        <f>C1161*D1161</f>
        <v/>
      </c>
      <c r="F1161" s="2">
        <f>C1161*INDEX(Products!$D$2:$D$201,MATCH(B1161,Products!$A$2:$A$201,0))</f>
        <v/>
      </c>
      <c r="G1161" s="2">
        <f>E1161-F1161</f>
        <v/>
      </c>
    </row>
    <row r="1162" ht="15" customHeight="1" s="1">
      <c r="A1162" s="2" t="n">
        <v>51160</v>
      </c>
      <c r="B1162" s="2" t="inlineStr">
        <is>
          <t>SKU-0049</t>
        </is>
      </c>
      <c r="C1162" s="2" t="n">
        <v>6</v>
      </c>
      <c r="D1162" s="2">
        <f>VLOOKUP(B1162,Products!$A$2:$D$201,3,FALSE())</f>
        <v/>
      </c>
      <c r="E1162" s="2">
        <f>C1162*D1162</f>
        <v/>
      </c>
      <c r="F1162" s="2">
        <f>C1162*INDEX(Products!$D$2:$D$201,MATCH(B1162,Products!$A$2:$A$201,0))</f>
        <v/>
      </c>
      <c r="G1162" s="2">
        <f>E1162-F1162</f>
        <v/>
      </c>
    </row>
    <row r="1163" ht="15" customHeight="1" s="1">
      <c r="A1163" s="2" t="n">
        <v>51161</v>
      </c>
      <c r="B1163" s="2" t="inlineStr">
        <is>
          <t>SKU-0050</t>
        </is>
      </c>
      <c r="C1163" s="2" t="n">
        <v>4</v>
      </c>
      <c r="D1163" s="2">
        <f>VLOOKUP(B1163,Products!$A$2:$D$201,3,FALSE())</f>
        <v/>
      </c>
      <c r="E1163" s="2">
        <f>C1163*D1163</f>
        <v/>
      </c>
      <c r="F1163" s="2">
        <f>C1163*INDEX(Products!$D$2:$D$201,MATCH(B1163,Products!$A$2:$A$201,0))</f>
        <v/>
      </c>
      <c r="G1163" s="2">
        <f>E1163-F1163</f>
        <v/>
      </c>
    </row>
    <row r="1164" ht="15" customHeight="1" s="1">
      <c r="A1164" s="2" t="n">
        <v>51162</v>
      </c>
      <c r="B1164" s="2" t="inlineStr">
        <is>
          <t>SKU-0186</t>
        </is>
      </c>
      <c r="C1164" s="2" t="n">
        <v>19</v>
      </c>
      <c r="D1164" s="2">
        <f>VLOOKUP(B1164,Products!$A$2:$D$201,3,FALSE())</f>
        <v/>
      </c>
      <c r="E1164" s="2">
        <f>C1164*D1164</f>
        <v/>
      </c>
      <c r="F1164" s="2">
        <f>C1164*INDEX(Products!$D$2:$D$201,MATCH(B1164,Products!$A$2:$A$201,0))</f>
        <v/>
      </c>
      <c r="G1164" s="2">
        <f>E1164-F1164</f>
        <v/>
      </c>
    </row>
    <row r="1165" ht="15" customHeight="1" s="1">
      <c r="A1165" s="2" t="n">
        <v>51163</v>
      </c>
      <c r="B1165" s="2" t="inlineStr">
        <is>
          <t>SKU-0099</t>
        </is>
      </c>
      <c r="C1165" s="2" t="n">
        <v>16</v>
      </c>
      <c r="D1165" s="2">
        <f>VLOOKUP(B1165,Products!$A$2:$D$201,3,FALSE())</f>
        <v/>
      </c>
      <c r="E1165" s="2">
        <f>C1165*D1165</f>
        <v/>
      </c>
      <c r="F1165" s="2">
        <f>C1165*INDEX(Products!$D$2:$D$201,MATCH(B1165,Products!$A$2:$A$201,0))</f>
        <v/>
      </c>
      <c r="G1165" s="2">
        <f>E1165-F1165</f>
        <v/>
      </c>
    </row>
    <row r="1166" ht="15" customHeight="1" s="1">
      <c r="A1166" s="2" t="n">
        <v>51164</v>
      </c>
      <c r="B1166" s="2" t="inlineStr">
        <is>
          <t>SKU-0004</t>
        </is>
      </c>
      <c r="C1166" s="2" t="n">
        <v>9</v>
      </c>
      <c r="D1166" s="2">
        <f>VLOOKUP(B1166,Products!$A$2:$D$201,3,FALSE())</f>
        <v/>
      </c>
      <c r="E1166" s="2">
        <f>C1166*D1166</f>
        <v/>
      </c>
      <c r="F1166" s="2">
        <f>C1166*INDEX(Products!$D$2:$D$201,MATCH(B1166,Products!$A$2:$A$201,0))</f>
        <v/>
      </c>
      <c r="G1166" s="2">
        <f>E1166-F1166</f>
        <v/>
      </c>
    </row>
    <row r="1167" ht="15" customHeight="1" s="1">
      <c r="A1167" s="2" t="n">
        <v>51165</v>
      </c>
      <c r="B1167" s="2" t="inlineStr">
        <is>
          <t>SKU-0152</t>
        </is>
      </c>
      <c r="C1167" s="2" t="n">
        <v>16</v>
      </c>
      <c r="D1167" s="2">
        <f>VLOOKUP(B1167,Products!$A$2:$D$201,3,FALSE())</f>
        <v/>
      </c>
      <c r="E1167" s="2">
        <f>C1167*D1167</f>
        <v/>
      </c>
      <c r="F1167" s="2">
        <f>C1167*INDEX(Products!$D$2:$D$201,MATCH(B1167,Products!$A$2:$A$201,0))</f>
        <v/>
      </c>
      <c r="G1167" s="2">
        <f>E1167-F1167</f>
        <v/>
      </c>
    </row>
    <row r="1168" ht="15" customHeight="1" s="1">
      <c r="A1168" s="2" t="n">
        <v>51166</v>
      </c>
      <c r="B1168" s="2" t="inlineStr">
        <is>
          <t>SKU-0052</t>
        </is>
      </c>
      <c r="C1168" s="2" t="n">
        <v>1</v>
      </c>
      <c r="D1168" s="2">
        <f>VLOOKUP(B1168,Products!$A$2:$D$201,3,FALSE())</f>
        <v/>
      </c>
      <c r="E1168" s="2">
        <f>C1168*D1168</f>
        <v/>
      </c>
      <c r="F1168" s="2">
        <f>C1168*INDEX(Products!$D$2:$D$201,MATCH(B1168,Products!$A$2:$A$201,0))</f>
        <v/>
      </c>
      <c r="G1168" s="2">
        <f>E1168-F1168</f>
        <v/>
      </c>
    </row>
    <row r="1169" ht="15" customHeight="1" s="1">
      <c r="A1169" s="2" t="n">
        <v>51167</v>
      </c>
      <c r="B1169" s="2" t="inlineStr">
        <is>
          <t>SKU-0056</t>
        </is>
      </c>
      <c r="C1169" s="2" t="n">
        <v>1</v>
      </c>
      <c r="D1169" s="2">
        <f>VLOOKUP(B1169,Products!$A$2:$D$201,3,FALSE())</f>
        <v/>
      </c>
      <c r="E1169" s="2">
        <f>C1169*D1169</f>
        <v/>
      </c>
      <c r="F1169" s="2">
        <f>C1169*INDEX(Products!$D$2:$D$201,MATCH(B1169,Products!$A$2:$A$201,0))</f>
        <v/>
      </c>
      <c r="G1169" s="2">
        <f>E1169-F1169</f>
        <v/>
      </c>
    </row>
    <row r="1170" ht="15" customHeight="1" s="1">
      <c r="A1170" s="2" t="n">
        <v>51168</v>
      </c>
      <c r="B1170" s="2" t="inlineStr">
        <is>
          <t>SKU-0139</t>
        </is>
      </c>
      <c r="C1170" s="2" t="n">
        <v>14</v>
      </c>
      <c r="D1170" s="2">
        <f>VLOOKUP(B1170,Products!$A$2:$D$201,3,FALSE())</f>
        <v/>
      </c>
      <c r="E1170" s="2">
        <f>C1170*D1170</f>
        <v/>
      </c>
      <c r="F1170" s="2">
        <f>C1170*INDEX(Products!$D$2:$D$201,MATCH(B1170,Products!$A$2:$A$201,0))</f>
        <v/>
      </c>
      <c r="G1170" s="2">
        <f>E1170-F1170</f>
        <v/>
      </c>
    </row>
    <row r="1171" ht="15" customHeight="1" s="1">
      <c r="A1171" s="2" t="n">
        <v>51169</v>
      </c>
      <c r="B1171" s="2" t="inlineStr">
        <is>
          <t>SKU-0039</t>
        </is>
      </c>
      <c r="C1171" s="2" t="n">
        <v>5</v>
      </c>
      <c r="D1171" s="2">
        <f>VLOOKUP(B1171,Products!$A$2:$D$201,3,FALSE())</f>
        <v/>
      </c>
      <c r="E1171" s="2">
        <f>C1171*D1171</f>
        <v/>
      </c>
      <c r="F1171" s="2">
        <f>C1171*INDEX(Products!$D$2:$D$201,MATCH(B1171,Products!$A$2:$A$201,0))</f>
        <v/>
      </c>
      <c r="G1171" s="2">
        <f>E1171-F1171</f>
        <v/>
      </c>
    </row>
    <row r="1172" ht="15" customHeight="1" s="1">
      <c r="A1172" s="2" t="n">
        <v>51170</v>
      </c>
      <c r="B1172" s="2" t="inlineStr">
        <is>
          <t>SKU-0098</t>
        </is>
      </c>
      <c r="C1172" s="2" t="n">
        <v>9</v>
      </c>
      <c r="D1172" s="2">
        <f>VLOOKUP(B1172,Products!$A$2:$D$201,3,FALSE())</f>
        <v/>
      </c>
      <c r="E1172" s="2">
        <f>C1172*D1172</f>
        <v/>
      </c>
      <c r="F1172" s="2">
        <f>C1172*INDEX(Products!$D$2:$D$201,MATCH(B1172,Products!$A$2:$A$201,0))</f>
        <v/>
      </c>
      <c r="G1172" s="2">
        <f>E1172-F1172</f>
        <v/>
      </c>
    </row>
    <row r="1173" ht="15" customHeight="1" s="1">
      <c r="A1173" s="2" t="n">
        <v>51171</v>
      </c>
      <c r="B1173" s="2" t="inlineStr">
        <is>
          <t>SKU-0044</t>
        </is>
      </c>
      <c r="C1173" s="2" t="n">
        <v>11</v>
      </c>
      <c r="D1173" s="2">
        <f>VLOOKUP(B1173,Products!$A$2:$D$201,3,FALSE())</f>
        <v/>
      </c>
      <c r="E1173" s="2">
        <f>C1173*D1173</f>
        <v/>
      </c>
      <c r="F1173" s="2">
        <f>C1173*INDEX(Products!$D$2:$D$201,MATCH(B1173,Products!$A$2:$A$201,0))</f>
        <v/>
      </c>
      <c r="G1173" s="2">
        <f>E1173-F1173</f>
        <v/>
      </c>
    </row>
    <row r="1174" ht="15" customHeight="1" s="1">
      <c r="A1174" s="2" t="n">
        <v>51172</v>
      </c>
      <c r="B1174" s="2" t="inlineStr">
        <is>
          <t>SKU-0137</t>
        </is>
      </c>
      <c r="C1174" s="2" t="n">
        <v>4</v>
      </c>
      <c r="D1174" s="2">
        <f>VLOOKUP(B1174,Products!$A$2:$D$201,3,FALSE())</f>
        <v/>
      </c>
      <c r="E1174" s="2">
        <f>C1174*D1174</f>
        <v/>
      </c>
      <c r="F1174" s="2">
        <f>C1174*INDEX(Products!$D$2:$D$201,MATCH(B1174,Products!$A$2:$A$201,0))</f>
        <v/>
      </c>
      <c r="G1174" s="2">
        <f>E1174-F1174</f>
        <v/>
      </c>
    </row>
    <row r="1175" ht="15" customHeight="1" s="1">
      <c r="A1175" s="2" t="n">
        <v>51173</v>
      </c>
      <c r="B1175" s="2" t="inlineStr">
        <is>
          <t>SKU-0176</t>
        </is>
      </c>
      <c r="C1175" s="2" t="n">
        <v>11</v>
      </c>
      <c r="D1175" s="2">
        <f>VLOOKUP(B1175,Products!$A$2:$D$201,3,FALSE())</f>
        <v/>
      </c>
      <c r="E1175" s="2">
        <f>C1175*D1175</f>
        <v/>
      </c>
      <c r="F1175" s="2">
        <f>C1175*INDEX(Products!$D$2:$D$201,MATCH(B1175,Products!$A$2:$A$201,0))</f>
        <v/>
      </c>
      <c r="G1175" s="2">
        <f>E1175-F1175</f>
        <v/>
      </c>
    </row>
    <row r="1176" ht="15" customHeight="1" s="1">
      <c r="A1176" s="2" t="n">
        <v>51174</v>
      </c>
      <c r="B1176" s="2" t="inlineStr">
        <is>
          <t>SKU-0067</t>
        </is>
      </c>
      <c r="C1176" s="2" t="n">
        <v>7</v>
      </c>
      <c r="D1176" s="2">
        <f>VLOOKUP(B1176,Products!$A$2:$D$201,3,FALSE())</f>
        <v/>
      </c>
      <c r="E1176" s="2">
        <f>C1176*D1176</f>
        <v/>
      </c>
      <c r="F1176" s="2">
        <f>C1176*INDEX(Products!$D$2:$D$201,MATCH(B1176,Products!$A$2:$A$201,0))</f>
        <v/>
      </c>
      <c r="G1176" s="2">
        <f>E1176-F1176</f>
        <v/>
      </c>
    </row>
    <row r="1177" ht="15" customHeight="1" s="1">
      <c r="A1177" s="2" t="n">
        <v>51175</v>
      </c>
      <c r="B1177" s="2" t="inlineStr">
        <is>
          <t>SKU-0092</t>
        </is>
      </c>
      <c r="C1177" s="2" t="n">
        <v>18</v>
      </c>
      <c r="D1177" s="2">
        <f>VLOOKUP(B1177,Products!$A$2:$D$201,3,FALSE())</f>
        <v/>
      </c>
      <c r="E1177" s="2">
        <f>C1177*D1177</f>
        <v/>
      </c>
      <c r="F1177" s="2">
        <f>C1177*INDEX(Products!$D$2:$D$201,MATCH(B1177,Products!$A$2:$A$201,0))</f>
        <v/>
      </c>
      <c r="G1177" s="2">
        <f>E1177-F1177</f>
        <v/>
      </c>
    </row>
    <row r="1178" ht="15" customHeight="1" s="1">
      <c r="A1178" s="2" t="n">
        <v>51176</v>
      </c>
      <c r="B1178" s="2" t="inlineStr">
        <is>
          <t>SKU-0169</t>
        </is>
      </c>
      <c r="C1178" s="2" t="n">
        <v>12</v>
      </c>
      <c r="D1178" s="2">
        <f>VLOOKUP(B1178,Products!$A$2:$D$201,3,FALSE())</f>
        <v/>
      </c>
      <c r="E1178" s="2">
        <f>C1178*D1178</f>
        <v/>
      </c>
      <c r="F1178" s="2">
        <f>C1178*INDEX(Products!$D$2:$D$201,MATCH(B1178,Products!$A$2:$A$201,0))</f>
        <v/>
      </c>
      <c r="G1178" s="2">
        <f>E1178-F1178</f>
        <v/>
      </c>
    </row>
    <row r="1179" ht="15" customHeight="1" s="1">
      <c r="A1179" s="2" t="n">
        <v>51177</v>
      </c>
      <c r="B1179" s="2" t="inlineStr">
        <is>
          <t>SKU-0047</t>
        </is>
      </c>
      <c r="C1179" s="2" t="n">
        <v>14</v>
      </c>
      <c r="D1179" s="2">
        <f>VLOOKUP(B1179,Products!$A$2:$D$201,3,FALSE())</f>
        <v/>
      </c>
      <c r="E1179" s="2">
        <f>C1179*D1179</f>
        <v/>
      </c>
      <c r="F1179" s="2">
        <f>C1179*INDEX(Products!$D$2:$D$201,MATCH(B1179,Products!$A$2:$A$201,0))</f>
        <v/>
      </c>
      <c r="G1179" s="2">
        <f>E1179-F1179</f>
        <v/>
      </c>
    </row>
    <row r="1180" ht="15" customHeight="1" s="1">
      <c r="A1180" s="2" t="n">
        <v>51178</v>
      </c>
      <c r="B1180" s="2" t="inlineStr">
        <is>
          <t>SKU-0185</t>
        </is>
      </c>
      <c r="C1180" s="2" t="n">
        <v>6</v>
      </c>
      <c r="D1180" s="2">
        <f>VLOOKUP(B1180,Products!$A$2:$D$201,3,FALSE())</f>
        <v/>
      </c>
      <c r="E1180" s="2">
        <f>C1180*D1180</f>
        <v/>
      </c>
      <c r="F1180" s="2">
        <f>C1180*INDEX(Products!$D$2:$D$201,MATCH(B1180,Products!$A$2:$A$201,0))</f>
        <v/>
      </c>
      <c r="G1180" s="2">
        <f>E1180-F1180</f>
        <v/>
      </c>
    </row>
    <row r="1181" ht="15" customHeight="1" s="1">
      <c r="A1181" s="2" t="n">
        <v>51179</v>
      </c>
      <c r="B1181" s="2" t="inlineStr">
        <is>
          <t>SKU-0125</t>
        </is>
      </c>
      <c r="C1181" s="2" t="n">
        <v>8</v>
      </c>
      <c r="D1181" s="2">
        <f>VLOOKUP(B1181,Products!$A$2:$D$201,3,FALSE())</f>
        <v/>
      </c>
      <c r="E1181" s="2">
        <f>C1181*D1181</f>
        <v/>
      </c>
      <c r="F1181" s="2">
        <f>C1181*INDEX(Products!$D$2:$D$201,MATCH(B1181,Products!$A$2:$A$201,0))</f>
        <v/>
      </c>
      <c r="G1181" s="2">
        <f>E1181-F1181</f>
        <v/>
      </c>
    </row>
    <row r="1182" ht="15" customHeight="1" s="1">
      <c r="A1182" s="2" t="n">
        <v>51180</v>
      </c>
      <c r="B1182" s="2" t="inlineStr">
        <is>
          <t>SKU-0085</t>
        </is>
      </c>
      <c r="C1182" s="2" t="n">
        <v>2</v>
      </c>
      <c r="D1182" s="2">
        <f>VLOOKUP(B1182,Products!$A$2:$D$201,3,FALSE())</f>
        <v/>
      </c>
      <c r="E1182" s="2">
        <f>C1182*D1182</f>
        <v/>
      </c>
      <c r="F1182" s="2">
        <f>C1182*INDEX(Products!$D$2:$D$201,MATCH(B1182,Products!$A$2:$A$201,0))</f>
        <v/>
      </c>
      <c r="G1182" s="2">
        <f>E1182-F1182</f>
        <v/>
      </c>
    </row>
    <row r="1183" ht="15" customHeight="1" s="1">
      <c r="A1183" s="2" t="n">
        <v>51181</v>
      </c>
      <c r="B1183" s="2" t="inlineStr">
        <is>
          <t>SKU-0042</t>
        </is>
      </c>
      <c r="C1183" s="2" t="n">
        <v>17</v>
      </c>
      <c r="D1183" s="2">
        <f>VLOOKUP(B1183,Products!$A$2:$D$201,3,FALSE())</f>
        <v/>
      </c>
      <c r="E1183" s="2">
        <f>C1183*D1183</f>
        <v/>
      </c>
      <c r="F1183" s="2">
        <f>C1183*INDEX(Products!$D$2:$D$201,MATCH(B1183,Products!$A$2:$A$201,0))</f>
        <v/>
      </c>
      <c r="G1183" s="2">
        <f>E1183-F1183</f>
        <v/>
      </c>
    </row>
    <row r="1184" ht="15" customHeight="1" s="1">
      <c r="A1184" s="2" t="n">
        <v>51182</v>
      </c>
      <c r="B1184" s="2" t="inlineStr">
        <is>
          <t>SKU-0140</t>
        </is>
      </c>
      <c r="C1184" s="2" t="n">
        <v>10</v>
      </c>
      <c r="D1184" s="2">
        <f>VLOOKUP(B1184,Products!$A$2:$D$201,3,FALSE())</f>
        <v/>
      </c>
      <c r="E1184" s="2">
        <f>C1184*D1184</f>
        <v/>
      </c>
      <c r="F1184" s="2">
        <f>C1184*INDEX(Products!$D$2:$D$201,MATCH(B1184,Products!$A$2:$A$201,0))</f>
        <v/>
      </c>
      <c r="G1184" s="2">
        <f>E1184-F1184</f>
        <v/>
      </c>
    </row>
    <row r="1185" ht="15" customHeight="1" s="1">
      <c r="A1185" s="2" t="n">
        <v>51183</v>
      </c>
      <c r="B1185" s="2" t="inlineStr">
        <is>
          <t>SKU-0065</t>
        </is>
      </c>
      <c r="C1185" s="2" t="n">
        <v>5</v>
      </c>
      <c r="D1185" s="2">
        <f>VLOOKUP(B1185,Products!$A$2:$D$201,3,FALSE())</f>
        <v/>
      </c>
      <c r="E1185" s="2">
        <f>C1185*D1185</f>
        <v/>
      </c>
      <c r="F1185" s="2">
        <f>C1185*INDEX(Products!$D$2:$D$201,MATCH(B1185,Products!$A$2:$A$201,0))</f>
        <v/>
      </c>
      <c r="G1185" s="2">
        <f>E1185-F1185</f>
        <v/>
      </c>
    </row>
    <row r="1186" ht="15" customHeight="1" s="1">
      <c r="A1186" s="2" t="n">
        <v>51184</v>
      </c>
      <c r="B1186" s="2" t="inlineStr">
        <is>
          <t>SKU-0029</t>
        </is>
      </c>
      <c r="C1186" s="2" t="n">
        <v>15</v>
      </c>
      <c r="D1186" s="2">
        <f>VLOOKUP(B1186,Products!$A$2:$D$201,3,FALSE())</f>
        <v/>
      </c>
      <c r="E1186" s="2">
        <f>C1186*D1186</f>
        <v/>
      </c>
      <c r="F1186" s="2">
        <f>C1186*INDEX(Products!$D$2:$D$201,MATCH(B1186,Products!$A$2:$A$201,0))</f>
        <v/>
      </c>
      <c r="G1186" s="2">
        <f>E1186-F1186</f>
        <v/>
      </c>
    </row>
    <row r="1187" ht="15" customHeight="1" s="1">
      <c r="A1187" s="2" t="n">
        <v>51185</v>
      </c>
      <c r="B1187" s="2" t="inlineStr">
        <is>
          <t>SKU-0019</t>
        </is>
      </c>
      <c r="C1187" s="2" t="n">
        <v>4</v>
      </c>
      <c r="D1187" s="2">
        <f>VLOOKUP(B1187,Products!$A$2:$D$201,3,FALSE())</f>
        <v/>
      </c>
      <c r="E1187" s="2">
        <f>C1187*D1187</f>
        <v/>
      </c>
      <c r="F1187" s="2">
        <f>C1187*INDEX(Products!$D$2:$D$201,MATCH(B1187,Products!$A$2:$A$201,0))</f>
        <v/>
      </c>
      <c r="G1187" s="2">
        <f>E1187-F1187</f>
        <v/>
      </c>
    </row>
    <row r="1188" ht="15" customHeight="1" s="1">
      <c r="A1188" s="2" t="n">
        <v>51186</v>
      </c>
      <c r="B1188" s="2" t="inlineStr">
        <is>
          <t>SKU-0133</t>
        </is>
      </c>
      <c r="C1188" s="2" t="n">
        <v>5</v>
      </c>
      <c r="D1188" s="2">
        <f>VLOOKUP(B1188,Products!$A$2:$D$201,3,FALSE())</f>
        <v/>
      </c>
      <c r="E1188" s="2">
        <f>C1188*D1188</f>
        <v/>
      </c>
      <c r="F1188" s="2">
        <f>C1188*INDEX(Products!$D$2:$D$201,MATCH(B1188,Products!$A$2:$A$201,0))</f>
        <v/>
      </c>
      <c r="G1188" s="2">
        <f>E1188-F1188</f>
        <v/>
      </c>
    </row>
    <row r="1189" ht="15" customHeight="1" s="1">
      <c r="A1189" s="2" t="n">
        <v>51187</v>
      </c>
      <c r="B1189" s="2" t="inlineStr">
        <is>
          <t>SKU-0065</t>
        </is>
      </c>
      <c r="C1189" s="2" t="n">
        <v>12</v>
      </c>
      <c r="D1189" s="2">
        <f>VLOOKUP(B1189,Products!$A$2:$D$201,3,FALSE())</f>
        <v/>
      </c>
      <c r="E1189" s="2">
        <f>C1189*D1189</f>
        <v/>
      </c>
      <c r="F1189" s="2">
        <f>C1189*INDEX(Products!$D$2:$D$201,MATCH(B1189,Products!$A$2:$A$201,0))</f>
        <v/>
      </c>
      <c r="G1189" s="2">
        <f>E1189-F1189</f>
        <v/>
      </c>
    </row>
    <row r="1190" ht="15" customHeight="1" s="1">
      <c r="A1190" s="2" t="n">
        <v>51188</v>
      </c>
      <c r="B1190" s="2" t="inlineStr">
        <is>
          <t>SKU-0068</t>
        </is>
      </c>
      <c r="C1190" s="2" t="n">
        <v>2</v>
      </c>
      <c r="D1190" s="2">
        <f>VLOOKUP(B1190,Products!$A$2:$D$201,3,FALSE())</f>
        <v/>
      </c>
      <c r="E1190" s="2">
        <f>C1190*D1190</f>
        <v/>
      </c>
      <c r="F1190" s="2">
        <f>C1190*INDEX(Products!$D$2:$D$201,MATCH(B1190,Products!$A$2:$A$201,0))</f>
        <v/>
      </c>
      <c r="G1190" s="2">
        <f>E1190-F1190</f>
        <v/>
      </c>
    </row>
    <row r="1191" ht="15" customHeight="1" s="1">
      <c r="A1191" s="2" t="n">
        <v>51189</v>
      </c>
      <c r="B1191" s="2" t="inlineStr">
        <is>
          <t>SKU-0112</t>
        </is>
      </c>
      <c r="C1191" s="2" t="n">
        <v>8</v>
      </c>
      <c r="D1191" s="2">
        <f>VLOOKUP(B1191,Products!$A$2:$D$201,3,FALSE())</f>
        <v/>
      </c>
      <c r="E1191" s="2">
        <f>C1191*D1191</f>
        <v/>
      </c>
      <c r="F1191" s="2">
        <f>C1191*INDEX(Products!$D$2:$D$201,MATCH(B1191,Products!$A$2:$A$201,0))</f>
        <v/>
      </c>
      <c r="G1191" s="2">
        <f>E1191-F1191</f>
        <v/>
      </c>
    </row>
    <row r="1192" ht="15" customHeight="1" s="1">
      <c r="A1192" s="2" t="n">
        <v>51190</v>
      </c>
      <c r="B1192" s="2" t="inlineStr">
        <is>
          <t>SKU-0168</t>
        </is>
      </c>
      <c r="C1192" s="2" t="n">
        <v>16</v>
      </c>
      <c r="D1192" s="2">
        <f>VLOOKUP(B1192,Products!$A$2:$D$201,3,FALSE())</f>
        <v/>
      </c>
      <c r="E1192" s="2">
        <f>C1192*D1192</f>
        <v/>
      </c>
      <c r="F1192" s="2">
        <f>C1192*INDEX(Products!$D$2:$D$201,MATCH(B1192,Products!$A$2:$A$201,0))</f>
        <v/>
      </c>
      <c r="G1192" s="2">
        <f>E1192-F1192</f>
        <v/>
      </c>
    </row>
    <row r="1193" ht="15" customHeight="1" s="1">
      <c r="A1193" s="2" t="n">
        <v>51191</v>
      </c>
      <c r="B1193" s="2" t="inlineStr">
        <is>
          <t>SKU-0199</t>
        </is>
      </c>
      <c r="C1193" s="2" t="n">
        <v>8</v>
      </c>
      <c r="D1193" s="2">
        <f>VLOOKUP(B1193,Products!$A$2:$D$201,3,FALSE())</f>
        <v/>
      </c>
      <c r="E1193" s="2">
        <f>C1193*D1193</f>
        <v/>
      </c>
      <c r="F1193" s="2">
        <f>C1193*INDEX(Products!$D$2:$D$201,MATCH(B1193,Products!$A$2:$A$201,0))</f>
        <v/>
      </c>
      <c r="G1193" s="2">
        <f>E1193-F1193</f>
        <v/>
      </c>
    </row>
    <row r="1194" ht="15" customHeight="1" s="1">
      <c r="A1194" s="2" t="n">
        <v>51192</v>
      </c>
      <c r="B1194" s="2" t="inlineStr">
        <is>
          <t>SKU-0118</t>
        </is>
      </c>
      <c r="C1194" s="2" t="n">
        <v>6</v>
      </c>
      <c r="D1194" s="2">
        <f>VLOOKUP(B1194,Products!$A$2:$D$201,3,FALSE())</f>
        <v/>
      </c>
      <c r="E1194" s="2">
        <f>C1194*D1194</f>
        <v/>
      </c>
      <c r="F1194" s="2">
        <f>C1194*INDEX(Products!$D$2:$D$201,MATCH(B1194,Products!$A$2:$A$201,0))</f>
        <v/>
      </c>
      <c r="G1194" s="2">
        <f>E1194-F1194</f>
        <v/>
      </c>
    </row>
    <row r="1195" ht="15" customHeight="1" s="1">
      <c r="A1195" s="2" t="n">
        <v>51193</v>
      </c>
      <c r="B1195" s="2" t="inlineStr">
        <is>
          <t>SKU-0138</t>
        </is>
      </c>
      <c r="C1195" s="2" t="n">
        <v>6</v>
      </c>
      <c r="D1195" s="2">
        <f>VLOOKUP(B1195,Products!$A$2:$D$201,3,FALSE())</f>
        <v/>
      </c>
      <c r="E1195" s="2">
        <f>C1195*D1195</f>
        <v/>
      </c>
      <c r="F1195" s="2">
        <f>C1195*INDEX(Products!$D$2:$D$201,MATCH(B1195,Products!$A$2:$A$201,0))</f>
        <v/>
      </c>
      <c r="G1195" s="2">
        <f>E1195-F1195</f>
        <v/>
      </c>
    </row>
    <row r="1196" ht="15" customHeight="1" s="1">
      <c r="A1196" s="2" t="n">
        <v>51194</v>
      </c>
      <c r="B1196" s="2" t="inlineStr">
        <is>
          <t>SKU-0066</t>
        </is>
      </c>
      <c r="C1196" s="2" t="n">
        <v>12</v>
      </c>
      <c r="D1196" s="2">
        <f>VLOOKUP(B1196,Products!$A$2:$D$201,3,FALSE())</f>
        <v/>
      </c>
      <c r="E1196" s="2">
        <f>C1196*D1196</f>
        <v/>
      </c>
      <c r="F1196" s="2">
        <f>C1196*INDEX(Products!$D$2:$D$201,MATCH(B1196,Products!$A$2:$A$201,0))</f>
        <v/>
      </c>
      <c r="G1196" s="2">
        <f>E1196-F1196</f>
        <v/>
      </c>
    </row>
    <row r="1197" ht="15" customHeight="1" s="1">
      <c r="A1197" s="2" t="n">
        <v>51195</v>
      </c>
      <c r="B1197" s="2" t="inlineStr">
        <is>
          <t>SKU-0163</t>
        </is>
      </c>
      <c r="C1197" s="2" t="n">
        <v>7</v>
      </c>
      <c r="D1197" s="2">
        <f>VLOOKUP(B1197,Products!$A$2:$D$201,3,FALSE())</f>
        <v/>
      </c>
      <c r="E1197" s="2">
        <f>C1197*D1197</f>
        <v/>
      </c>
      <c r="F1197" s="2">
        <f>C1197*INDEX(Products!$D$2:$D$201,MATCH(B1197,Products!$A$2:$A$201,0))</f>
        <v/>
      </c>
      <c r="G1197" s="2">
        <f>E1197-F1197</f>
        <v/>
      </c>
    </row>
    <row r="1198" ht="15" customHeight="1" s="1">
      <c r="A1198" s="2" t="n">
        <v>51196</v>
      </c>
      <c r="B1198" s="2" t="inlineStr">
        <is>
          <t>SKU-0181</t>
        </is>
      </c>
      <c r="C1198" s="2" t="n">
        <v>14</v>
      </c>
      <c r="D1198" s="2">
        <f>VLOOKUP(B1198,Products!$A$2:$D$201,3,FALSE())</f>
        <v/>
      </c>
      <c r="E1198" s="2">
        <f>C1198*D1198</f>
        <v/>
      </c>
      <c r="F1198" s="2">
        <f>C1198*INDEX(Products!$D$2:$D$201,MATCH(B1198,Products!$A$2:$A$201,0))</f>
        <v/>
      </c>
      <c r="G1198" s="2">
        <f>E1198-F1198</f>
        <v/>
      </c>
    </row>
    <row r="1199" ht="15" customHeight="1" s="1">
      <c r="A1199" s="2" t="n">
        <v>51197</v>
      </c>
      <c r="B1199" s="2" t="inlineStr">
        <is>
          <t>SKU-0007</t>
        </is>
      </c>
      <c r="C1199" s="2" t="n">
        <v>2</v>
      </c>
      <c r="D1199" s="2">
        <f>VLOOKUP(B1199,Products!$A$2:$D$201,3,FALSE())</f>
        <v/>
      </c>
      <c r="E1199" s="2">
        <f>C1199*D1199</f>
        <v/>
      </c>
      <c r="F1199" s="2">
        <f>C1199*INDEX(Products!$D$2:$D$201,MATCH(B1199,Products!$A$2:$A$201,0))</f>
        <v/>
      </c>
      <c r="G1199" s="2">
        <f>E1199-F1199</f>
        <v/>
      </c>
    </row>
    <row r="1200" ht="15" customHeight="1" s="1">
      <c r="A1200" s="2" t="n">
        <v>51198</v>
      </c>
      <c r="B1200" s="2" t="inlineStr">
        <is>
          <t>SKU-0068</t>
        </is>
      </c>
      <c r="C1200" s="2" t="n">
        <v>11</v>
      </c>
      <c r="D1200" s="2">
        <f>VLOOKUP(B1200,Products!$A$2:$D$201,3,FALSE())</f>
        <v/>
      </c>
      <c r="E1200" s="2">
        <f>C1200*D1200</f>
        <v/>
      </c>
      <c r="F1200" s="2">
        <f>C1200*INDEX(Products!$D$2:$D$201,MATCH(B1200,Products!$A$2:$A$201,0))</f>
        <v/>
      </c>
      <c r="G1200" s="2">
        <f>E1200-F1200</f>
        <v/>
      </c>
    </row>
    <row r="1201" ht="15" customHeight="1" s="1">
      <c r="A1201" s="2" t="n">
        <v>51199</v>
      </c>
      <c r="B1201" s="2" t="inlineStr">
        <is>
          <t>SKU-0106</t>
        </is>
      </c>
      <c r="C1201" s="2" t="n">
        <v>8</v>
      </c>
      <c r="D1201" s="2">
        <f>VLOOKUP(B1201,Products!$A$2:$D$201,3,FALSE())</f>
        <v/>
      </c>
      <c r="E1201" s="2">
        <f>C1201*D1201</f>
        <v/>
      </c>
      <c r="F1201" s="2">
        <f>C1201*INDEX(Products!$D$2:$D$201,MATCH(B1201,Products!$A$2:$A$201,0))</f>
        <v/>
      </c>
      <c r="G1201" s="2">
        <f>E1201-F1201</f>
        <v/>
      </c>
    </row>
    <row r="1202" ht="15" customHeight="1" s="1">
      <c r="A1202" s="2" t="n">
        <v>51200</v>
      </c>
      <c r="B1202" s="2" t="inlineStr">
        <is>
          <t>SKU-0094</t>
        </is>
      </c>
      <c r="C1202" s="2" t="n">
        <v>4</v>
      </c>
      <c r="D1202" s="2">
        <f>VLOOKUP(B1202,Products!$A$2:$D$201,3,FALSE())</f>
        <v/>
      </c>
      <c r="E1202" s="2">
        <f>C1202*D1202</f>
        <v/>
      </c>
      <c r="F1202" s="2">
        <f>C1202*INDEX(Products!$D$2:$D$201,MATCH(B1202,Products!$A$2:$A$201,0))</f>
        <v/>
      </c>
      <c r="G1202" s="2">
        <f>E1202-F1202</f>
        <v/>
      </c>
    </row>
    <row r="1203" ht="15" customHeight="1" s="1">
      <c r="A1203" s="2" t="n">
        <v>51201</v>
      </c>
      <c r="B1203" s="2" t="inlineStr">
        <is>
          <t>SKU-0149</t>
        </is>
      </c>
      <c r="C1203" s="2" t="n">
        <v>1</v>
      </c>
      <c r="D1203" s="2">
        <f>VLOOKUP(B1203,Products!$A$2:$D$201,3,FALSE())</f>
        <v/>
      </c>
      <c r="E1203" s="2">
        <f>C1203*D1203</f>
        <v/>
      </c>
      <c r="F1203" s="2">
        <f>C1203*INDEX(Products!$D$2:$D$201,MATCH(B1203,Products!$A$2:$A$201,0))</f>
        <v/>
      </c>
      <c r="G1203" s="2">
        <f>E1203-F1203</f>
        <v/>
      </c>
    </row>
    <row r="1204" ht="15" customHeight="1" s="1">
      <c r="A1204" s="2" t="n">
        <v>51202</v>
      </c>
      <c r="B1204" s="2" t="inlineStr">
        <is>
          <t>SKU-0182</t>
        </is>
      </c>
      <c r="C1204" s="2" t="n">
        <v>15</v>
      </c>
      <c r="D1204" s="2">
        <f>VLOOKUP(B1204,Products!$A$2:$D$201,3,FALSE())</f>
        <v/>
      </c>
      <c r="E1204" s="2">
        <f>C1204*D1204</f>
        <v/>
      </c>
      <c r="F1204" s="2">
        <f>C1204*INDEX(Products!$D$2:$D$201,MATCH(B1204,Products!$A$2:$A$201,0))</f>
        <v/>
      </c>
      <c r="G1204" s="2">
        <f>E1204-F1204</f>
        <v/>
      </c>
    </row>
    <row r="1205" ht="15" customHeight="1" s="1">
      <c r="A1205" s="2" t="n">
        <v>51203</v>
      </c>
      <c r="B1205" s="2" t="inlineStr">
        <is>
          <t>SKU-0187</t>
        </is>
      </c>
      <c r="C1205" s="2" t="n">
        <v>19</v>
      </c>
      <c r="D1205" s="2">
        <f>VLOOKUP(B1205,Products!$A$2:$D$201,3,FALSE())</f>
        <v/>
      </c>
      <c r="E1205" s="2">
        <f>C1205*D1205</f>
        <v/>
      </c>
      <c r="F1205" s="2">
        <f>C1205*INDEX(Products!$D$2:$D$201,MATCH(B1205,Products!$A$2:$A$201,0))</f>
        <v/>
      </c>
      <c r="G1205" s="2">
        <f>E1205-F1205</f>
        <v/>
      </c>
    </row>
    <row r="1206" ht="15" customHeight="1" s="1">
      <c r="A1206" s="2" t="n">
        <v>51204</v>
      </c>
      <c r="B1206" s="2" t="inlineStr">
        <is>
          <t>SKU-0082</t>
        </is>
      </c>
      <c r="C1206" s="2" t="n">
        <v>17</v>
      </c>
      <c r="D1206" s="2">
        <f>VLOOKUP(B1206,Products!$A$2:$D$201,3,FALSE())</f>
        <v/>
      </c>
      <c r="E1206" s="2">
        <f>C1206*D1206</f>
        <v/>
      </c>
      <c r="F1206" s="2">
        <f>C1206*INDEX(Products!$D$2:$D$201,MATCH(B1206,Products!$A$2:$A$201,0))</f>
        <v/>
      </c>
      <c r="G1206" s="2">
        <f>E1206-F1206</f>
        <v/>
      </c>
    </row>
    <row r="1207" ht="15" customHeight="1" s="1">
      <c r="A1207" s="2" t="n">
        <v>51205</v>
      </c>
      <c r="B1207" s="2" t="inlineStr">
        <is>
          <t>SKU-0175</t>
        </is>
      </c>
      <c r="C1207" s="2" t="n">
        <v>20</v>
      </c>
      <c r="D1207" s="2">
        <f>VLOOKUP(B1207,Products!$A$2:$D$201,3,FALSE())</f>
        <v/>
      </c>
      <c r="E1207" s="2">
        <f>C1207*D1207</f>
        <v/>
      </c>
      <c r="F1207" s="2">
        <f>C1207*INDEX(Products!$D$2:$D$201,MATCH(B1207,Products!$A$2:$A$201,0))</f>
        <v/>
      </c>
      <c r="G1207" s="2">
        <f>E1207-F1207</f>
        <v/>
      </c>
    </row>
    <row r="1208" ht="15" customHeight="1" s="1">
      <c r="A1208" s="2" t="n">
        <v>51206</v>
      </c>
      <c r="B1208" s="2" t="inlineStr">
        <is>
          <t>SKU-0031</t>
        </is>
      </c>
      <c r="C1208" s="2" t="n">
        <v>11</v>
      </c>
      <c r="D1208" s="2">
        <f>VLOOKUP(B1208,Products!$A$2:$D$201,3,FALSE())</f>
        <v/>
      </c>
      <c r="E1208" s="2">
        <f>C1208*D1208</f>
        <v/>
      </c>
      <c r="F1208" s="2">
        <f>C1208*INDEX(Products!$D$2:$D$201,MATCH(B1208,Products!$A$2:$A$201,0))</f>
        <v/>
      </c>
      <c r="G1208" s="2">
        <f>E1208-F1208</f>
        <v/>
      </c>
    </row>
    <row r="1209" ht="15" customHeight="1" s="1">
      <c r="A1209" s="2" t="n">
        <v>51207</v>
      </c>
      <c r="B1209" s="2" t="inlineStr">
        <is>
          <t>SKU-0117</t>
        </is>
      </c>
      <c r="C1209" s="2" t="n">
        <v>16</v>
      </c>
      <c r="D1209" s="2">
        <f>VLOOKUP(B1209,Products!$A$2:$D$201,3,FALSE())</f>
        <v/>
      </c>
      <c r="E1209" s="2">
        <f>C1209*D1209</f>
        <v/>
      </c>
      <c r="F1209" s="2">
        <f>C1209*INDEX(Products!$D$2:$D$201,MATCH(B1209,Products!$A$2:$A$201,0))</f>
        <v/>
      </c>
      <c r="G1209" s="2">
        <f>E1209-F1209</f>
        <v/>
      </c>
    </row>
    <row r="1210" ht="15" customHeight="1" s="1">
      <c r="A1210" s="2" t="n">
        <v>51208</v>
      </c>
      <c r="B1210" s="2" t="inlineStr">
        <is>
          <t>SKU-0099</t>
        </is>
      </c>
      <c r="C1210" s="2" t="n">
        <v>18</v>
      </c>
      <c r="D1210" s="2">
        <f>VLOOKUP(B1210,Products!$A$2:$D$201,3,FALSE())</f>
        <v/>
      </c>
      <c r="E1210" s="2">
        <f>C1210*D1210</f>
        <v/>
      </c>
      <c r="F1210" s="2">
        <f>C1210*INDEX(Products!$D$2:$D$201,MATCH(B1210,Products!$A$2:$A$201,0))</f>
        <v/>
      </c>
      <c r="G1210" s="2">
        <f>E1210-F1210</f>
        <v/>
      </c>
    </row>
    <row r="1211" ht="15" customHeight="1" s="1">
      <c r="A1211" s="2" t="n">
        <v>51209</v>
      </c>
      <c r="B1211" s="2" t="inlineStr">
        <is>
          <t>SKU-0020</t>
        </is>
      </c>
      <c r="C1211" s="2" t="n">
        <v>20</v>
      </c>
      <c r="D1211" s="2">
        <f>VLOOKUP(B1211,Products!$A$2:$D$201,3,FALSE())</f>
        <v/>
      </c>
      <c r="E1211" s="2">
        <f>C1211*D1211</f>
        <v/>
      </c>
      <c r="F1211" s="2">
        <f>C1211*INDEX(Products!$D$2:$D$201,MATCH(B1211,Products!$A$2:$A$201,0))</f>
        <v/>
      </c>
      <c r="G1211" s="2">
        <f>E1211-F1211</f>
        <v/>
      </c>
    </row>
    <row r="1212" ht="15" customHeight="1" s="1">
      <c r="A1212" s="2" t="n">
        <v>51210</v>
      </c>
      <c r="B1212" s="2" t="inlineStr">
        <is>
          <t>SKU-0184</t>
        </is>
      </c>
      <c r="C1212" s="2" t="n">
        <v>10</v>
      </c>
      <c r="D1212" s="2">
        <f>VLOOKUP(B1212,Products!$A$2:$D$201,3,FALSE())</f>
        <v/>
      </c>
      <c r="E1212" s="2">
        <f>C1212*D1212</f>
        <v/>
      </c>
      <c r="F1212" s="2">
        <f>C1212*INDEX(Products!$D$2:$D$201,MATCH(B1212,Products!$A$2:$A$201,0))</f>
        <v/>
      </c>
      <c r="G1212" s="2">
        <f>E1212-F1212</f>
        <v/>
      </c>
    </row>
    <row r="1213" ht="15" customHeight="1" s="1">
      <c r="A1213" s="2" t="n">
        <v>51211</v>
      </c>
      <c r="B1213" s="2" t="inlineStr">
        <is>
          <t>SKU-0170</t>
        </is>
      </c>
      <c r="C1213" s="2" t="n">
        <v>19</v>
      </c>
      <c r="D1213" s="2">
        <f>VLOOKUP(B1213,Products!$A$2:$D$201,3,FALSE())</f>
        <v/>
      </c>
      <c r="E1213" s="2">
        <f>C1213*D1213</f>
        <v/>
      </c>
      <c r="F1213" s="2">
        <f>C1213*INDEX(Products!$D$2:$D$201,MATCH(B1213,Products!$A$2:$A$201,0))</f>
        <v/>
      </c>
      <c r="G1213" s="2">
        <f>E1213-F1213</f>
        <v/>
      </c>
    </row>
    <row r="1214" ht="15" customHeight="1" s="1">
      <c r="A1214" s="2" t="n">
        <v>51212</v>
      </c>
      <c r="B1214" s="2" t="inlineStr">
        <is>
          <t>SKU-0125</t>
        </is>
      </c>
      <c r="C1214" s="2" t="n">
        <v>7</v>
      </c>
      <c r="D1214" s="2">
        <f>VLOOKUP(B1214,Products!$A$2:$D$201,3,FALSE())</f>
        <v/>
      </c>
      <c r="E1214" s="2">
        <f>C1214*D1214</f>
        <v/>
      </c>
      <c r="F1214" s="2">
        <f>C1214*INDEX(Products!$D$2:$D$201,MATCH(B1214,Products!$A$2:$A$201,0))</f>
        <v/>
      </c>
      <c r="G1214" s="2">
        <f>E1214-F1214</f>
        <v/>
      </c>
    </row>
    <row r="1215" ht="15" customHeight="1" s="1">
      <c r="A1215" s="2" t="n">
        <v>51213</v>
      </c>
      <c r="B1215" s="2" t="inlineStr">
        <is>
          <t>SKU-0109</t>
        </is>
      </c>
      <c r="C1215" s="2" t="n">
        <v>9</v>
      </c>
      <c r="D1215" s="2">
        <f>VLOOKUP(B1215,Products!$A$2:$D$201,3,FALSE())</f>
        <v/>
      </c>
      <c r="E1215" s="2">
        <f>C1215*D1215</f>
        <v/>
      </c>
      <c r="F1215" s="2">
        <f>C1215*INDEX(Products!$D$2:$D$201,MATCH(B1215,Products!$A$2:$A$201,0))</f>
        <v/>
      </c>
      <c r="G1215" s="2">
        <f>E1215-F1215</f>
        <v/>
      </c>
    </row>
    <row r="1216" ht="15" customHeight="1" s="1">
      <c r="A1216" s="2" t="n">
        <v>51214</v>
      </c>
      <c r="B1216" s="2" t="inlineStr">
        <is>
          <t>SKU-0011</t>
        </is>
      </c>
      <c r="C1216" s="2" t="n">
        <v>3</v>
      </c>
      <c r="D1216" s="2">
        <f>VLOOKUP(B1216,Products!$A$2:$D$201,3,FALSE())</f>
        <v/>
      </c>
      <c r="E1216" s="2">
        <f>C1216*D1216</f>
        <v/>
      </c>
      <c r="F1216" s="2">
        <f>C1216*INDEX(Products!$D$2:$D$201,MATCH(B1216,Products!$A$2:$A$201,0))</f>
        <v/>
      </c>
      <c r="G1216" s="2">
        <f>E1216-F1216</f>
        <v/>
      </c>
    </row>
    <row r="1217" ht="15" customHeight="1" s="1">
      <c r="A1217" s="2" t="n">
        <v>51215</v>
      </c>
      <c r="B1217" s="2" t="inlineStr">
        <is>
          <t>SKU-0092</t>
        </is>
      </c>
      <c r="C1217" s="2" t="n">
        <v>11</v>
      </c>
      <c r="D1217" s="2">
        <f>VLOOKUP(B1217,Products!$A$2:$D$201,3,FALSE())</f>
        <v/>
      </c>
      <c r="E1217" s="2">
        <f>C1217*D1217</f>
        <v/>
      </c>
      <c r="F1217" s="2">
        <f>C1217*INDEX(Products!$D$2:$D$201,MATCH(B1217,Products!$A$2:$A$201,0))</f>
        <v/>
      </c>
      <c r="G1217" s="2">
        <f>E1217-F1217</f>
        <v/>
      </c>
    </row>
    <row r="1218" ht="15" customHeight="1" s="1">
      <c r="A1218" s="2" t="n">
        <v>51216</v>
      </c>
      <c r="B1218" s="2" t="inlineStr">
        <is>
          <t>SKU-0109</t>
        </is>
      </c>
      <c r="C1218" s="2" t="n">
        <v>12</v>
      </c>
      <c r="D1218" s="2">
        <f>VLOOKUP(B1218,Products!$A$2:$D$201,3,FALSE())</f>
        <v/>
      </c>
      <c r="E1218" s="2">
        <f>C1218*D1218</f>
        <v/>
      </c>
      <c r="F1218" s="2">
        <f>C1218*INDEX(Products!$D$2:$D$201,MATCH(B1218,Products!$A$2:$A$201,0))</f>
        <v/>
      </c>
      <c r="G1218" s="2">
        <f>E1218-F1218</f>
        <v/>
      </c>
    </row>
    <row r="1219" ht="15" customHeight="1" s="1">
      <c r="A1219" s="2" t="n">
        <v>51217</v>
      </c>
      <c r="B1219" s="2" t="inlineStr">
        <is>
          <t>SKU-0142</t>
        </is>
      </c>
      <c r="C1219" s="2" t="n">
        <v>9</v>
      </c>
      <c r="D1219" s="2">
        <f>VLOOKUP(B1219,Products!$A$2:$D$201,3,FALSE())</f>
        <v/>
      </c>
      <c r="E1219" s="2">
        <f>C1219*D1219</f>
        <v/>
      </c>
      <c r="F1219" s="2">
        <f>C1219*INDEX(Products!$D$2:$D$201,MATCH(B1219,Products!$A$2:$A$201,0))</f>
        <v/>
      </c>
      <c r="G1219" s="2">
        <f>E1219-F1219</f>
        <v/>
      </c>
    </row>
    <row r="1220" ht="15" customHeight="1" s="1">
      <c r="A1220" s="2" t="n">
        <v>51218</v>
      </c>
      <c r="B1220" s="2" t="inlineStr">
        <is>
          <t>SKU-0050</t>
        </is>
      </c>
      <c r="C1220" s="2" t="n">
        <v>4</v>
      </c>
      <c r="D1220" s="2">
        <f>VLOOKUP(B1220,Products!$A$2:$D$201,3,FALSE())</f>
        <v/>
      </c>
      <c r="E1220" s="2">
        <f>C1220*D1220</f>
        <v/>
      </c>
      <c r="F1220" s="2">
        <f>C1220*INDEX(Products!$D$2:$D$201,MATCH(B1220,Products!$A$2:$A$201,0))</f>
        <v/>
      </c>
      <c r="G1220" s="2">
        <f>E1220-F1220</f>
        <v/>
      </c>
    </row>
    <row r="1221" ht="15" customHeight="1" s="1">
      <c r="A1221" s="2" t="n">
        <v>51219</v>
      </c>
      <c r="B1221" s="2" t="inlineStr">
        <is>
          <t>SKU-0064</t>
        </is>
      </c>
      <c r="C1221" s="2" t="n">
        <v>5</v>
      </c>
      <c r="D1221" s="2">
        <f>VLOOKUP(B1221,Products!$A$2:$D$201,3,FALSE())</f>
        <v/>
      </c>
      <c r="E1221" s="2">
        <f>C1221*D1221</f>
        <v/>
      </c>
      <c r="F1221" s="2">
        <f>C1221*INDEX(Products!$D$2:$D$201,MATCH(B1221,Products!$A$2:$A$201,0))</f>
        <v/>
      </c>
      <c r="G1221" s="2">
        <f>E1221-F1221</f>
        <v/>
      </c>
    </row>
    <row r="1222" ht="15" customHeight="1" s="1">
      <c r="A1222" s="2" t="n">
        <v>51220</v>
      </c>
      <c r="B1222" s="2" t="inlineStr">
        <is>
          <t>SKU-0066</t>
        </is>
      </c>
      <c r="C1222" s="2" t="n">
        <v>5</v>
      </c>
      <c r="D1222" s="2">
        <f>VLOOKUP(B1222,Products!$A$2:$D$201,3,FALSE())</f>
        <v/>
      </c>
      <c r="E1222" s="2">
        <f>C1222*D1222</f>
        <v/>
      </c>
      <c r="F1222" s="2">
        <f>C1222*INDEX(Products!$D$2:$D$201,MATCH(B1222,Products!$A$2:$A$201,0))</f>
        <v/>
      </c>
      <c r="G1222" s="2">
        <f>E1222-F1222</f>
        <v/>
      </c>
    </row>
    <row r="1223" ht="15" customHeight="1" s="1">
      <c r="A1223" s="2" t="n">
        <v>51221</v>
      </c>
      <c r="B1223" s="2" t="inlineStr">
        <is>
          <t>SKU-0190</t>
        </is>
      </c>
      <c r="C1223" s="2" t="n">
        <v>3</v>
      </c>
      <c r="D1223" s="2">
        <f>VLOOKUP(B1223,Products!$A$2:$D$201,3,FALSE())</f>
        <v/>
      </c>
      <c r="E1223" s="2">
        <f>C1223*D1223</f>
        <v/>
      </c>
      <c r="F1223" s="2">
        <f>C1223*INDEX(Products!$D$2:$D$201,MATCH(B1223,Products!$A$2:$A$201,0))</f>
        <v/>
      </c>
      <c r="G1223" s="2">
        <f>E1223-F1223</f>
        <v/>
      </c>
    </row>
    <row r="1224" ht="15" customHeight="1" s="1">
      <c r="A1224" s="2" t="n">
        <v>51222</v>
      </c>
      <c r="B1224" s="2" t="inlineStr">
        <is>
          <t>SKU-0049</t>
        </is>
      </c>
      <c r="C1224" s="2" t="n">
        <v>3</v>
      </c>
      <c r="D1224" s="2">
        <f>VLOOKUP(B1224,Products!$A$2:$D$201,3,FALSE())</f>
        <v/>
      </c>
      <c r="E1224" s="2">
        <f>C1224*D1224</f>
        <v/>
      </c>
      <c r="F1224" s="2">
        <f>C1224*INDEX(Products!$D$2:$D$201,MATCH(B1224,Products!$A$2:$A$201,0))</f>
        <v/>
      </c>
      <c r="G1224" s="2">
        <f>E1224-F1224</f>
        <v/>
      </c>
    </row>
    <row r="1225" ht="15" customHeight="1" s="1">
      <c r="A1225" s="2" t="n">
        <v>51223</v>
      </c>
      <c r="B1225" s="2" t="inlineStr">
        <is>
          <t>SKU-0042</t>
        </is>
      </c>
      <c r="C1225" s="2" t="n">
        <v>12</v>
      </c>
      <c r="D1225" s="2">
        <f>VLOOKUP(B1225,Products!$A$2:$D$201,3,FALSE())</f>
        <v/>
      </c>
      <c r="E1225" s="2">
        <f>C1225*D1225</f>
        <v/>
      </c>
      <c r="F1225" s="2">
        <f>C1225*INDEX(Products!$D$2:$D$201,MATCH(B1225,Products!$A$2:$A$201,0))</f>
        <v/>
      </c>
      <c r="G1225" s="2">
        <f>E1225-F1225</f>
        <v/>
      </c>
    </row>
    <row r="1226" ht="15" customHeight="1" s="1">
      <c r="A1226" s="2" t="n">
        <v>51224</v>
      </c>
      <c r="B1226" s="2" t="inlineStr">
        <is>
          <t>SKU-0158</t>
        </is>
      </c>
      <c r="C1226" s="2" t="n">
        <v>3</v>
      </c>
      <c r="D1226" s="2">
        <f>VLOOKUP(B1226,Products!$A$2:$D$201,3,FALSE())</f>
        <v/>
      </c>
      <c r="E1226" s="2">
        <f>C1226*D1226</f>
        <v/>
      </c>
      <c r="F1226" s="2">
        <f>C1226*INDEX(Products!$D$2:$D$201,MATCH(B1226,Products!$A$2:$A$201,0))</f>
        <v/>
      </c>
      <c r="G1226" s="2">
        <f>E1226-F1226</f>
        <v/>
      </c>
    </row>
    <row r="1227" ht="15" customHeight="1" s="1">
      <c r="A1227" s="2" t="n">
        <v>51225</v>
      </c>
      <c r="B1227" s="2" t="inlineStr">
        <is>
          <t>SKU-0033</t>
        </is>
      </c>
      <c r="C1227" s="2" t="n">
        <v>18</v>
      </c>
      <c r="D1227" s="2">
        <f>VLOOKUP(B1227,Products!$A$2:$D$201,3,FALSE())</f>
        <v/>
      </c>
      <c r="E1227" s="2">
        <f>C1227*D1227</f>
        <v/>
      </c>
      <c r="F1227" s="2">
        <f>C1227*INDEX(Products!$D$2:$D$201,MATCH(B1227,Products!$A$2:$A$201,0))</f>
        <v/>
      </c>
      <c r="G1227" s="2">
        <f>E1227-F1227</f>
        <v/>
      </c>
    </row>
    <row r="1228" ht="15" customHeight="1" s="1">
      <c r="A1228" s="2" t="n">
        <v>51226</v>
      </c>
      <c r="B1228" s="2" t="inlineStr">
        <is>
          <t>SKU-0166</t>
        </is>
      </c>
      <c r="C1228" s="2" t="n">
        <v>20</v>
      </c>
      <c r="D1228" s="2">
        <f>VLOOKUP(B1228,Products!$A$2:$D$201,3,FALSE())</f>
        <v/>
      </c>
      <c r="E1228" s="2">
        <f>C1228*D1228</f>
        <v/>
      </c>
      <c r="F1228" s="2">
        <f>C1228*INDEX(Products!$D$2:$D$201,MATCH(B1228,Products!$A$2:$A$201,0))</f>
        <v/>
      </c>
      <c r="G1228" s="2">
        <f>E1228-F1228</f>
        <v/>
      </c>
    </row>
    <row r="1229" ht="15" customHeight="1" s="1">
      <c r="A1229" s="2" t="n">
        <v>51227</v>
      </c>
      <c r="B1229" s="2" t="inlineStr">
        <is>
          <t>SKU-0066</t>
        </is>
      </c>
      <c r="C1229" s="2" t="n">
        <v>19</v>
      </c>
      <c r="D1229" s="2">
        <f>VLOOKUP(B1229,Products!$A$2:$D$201,3,FALSE())</f>
        <v/>
      </c>
      <c r="E1229" s="2">
        <f>C1229*D1229</f>
        <v/>
      </c>
      <c r="F1229" s="2">
        <f>C1229*INDEX(Products!$D$2:$D$201,MATCH(B1229,Products!$A$2:$A$201,0))</f>
        <v/>
      </c>
      <c r="G1229" s="2">
        <f>E1229-F1229</f>
        <v/>
      </c>
    </row>
    <row r="1230" ht="15" customHeight="1" s="1">
      <c r="A1230" s="2" t="n">
        <v>51228</v>
      </c>
      <c r="B1230" s="2" t="inlineStr">
        <is>
          <t>SKU-0187</t>
        </is>
      </c>
      <c r="C1230" s="2" t="n">
        <v>9</v>
      </c>
      <c r="D1230" s="2">
        <f>VLOOKUP(B1230,Products!$A$2:$D$201,3,FALSE())</f>
        <v/>
      </c>
      <c r="E1230" s="2">
        <f>C1230*D1230</f>
        <v/>
      </c>
      <c r="F1230" s="2">
        <f>C1230*INDEX(Products!$D$2:$D$201,MATCH(B1230,Products!$A$2:$A$201,0))</f>
        <v/>
      </c>
      <c r="G1230" s="2">
        <f>E1230-F1230</f>
        <v/>
      </c>
    </row>
    <row r="1231" ht="15" customHeight="1" s="1">
      <c r="A1231" s="2" t="n">
        <v>51229</v>
      </c>
      <c r="B1231" s="2" t="inlineStr">
        <is>
          <t>SKU-0162</t>
        </is>
      </c>
      <c r="C1231" s="2" t="n">
        <v>14</v>
      </c>
      <c r="D1231" s="2">
        <f>VLOOKUP(B1231,Products!$A$2:$D$201,3,FALSE())</f>
        <v/>
      </c>
      <c r="E1231" s="2">
        <f>C1231*D1231</f>
        <v/>
      </c>
      <c r="F1231" s="2">
        <f>C1231*INDEX(Products!$D$2:$D$201,MATCH(B1231,Products!$A$2:$A$201,0))</f>
        <v/>
      </c>
      <c r="G1231" s="2">
        <f>E1231-F1231</f>
        <v/>
      </c>
    </row>
    <row r="1232" ht="15" customHeight="1" s="1">
      <c r="A1232" s="2" t="n">
        <v>51230</v>
      </c>
      <c r="B1232" s="2" t="inlineStr">
        <is>
          <t>SKU-0030</t>
        </is>
      </c>
      <c r="C1232" s="2" t="n">
        <v>13</v>
      </c>
      <c r="D1232" s="2">
        <f>VLOOKUP(B1232,Products!$A$2:$D$201,3,FALSE())</f>
        <v/>
      </c>
      <c r="E1232" s="2">
        <f>C1232*D1232</f>
        <v/>
      </c>
      <c r="F1232" s="2">
        <f>C1232*INDEX(Products!$D$2:$D$201,MATCH(B1232,Products!$A$2:$A$201,0))</f>
        <v/>
      </c>
      <c r="G1232" s="2">
        <f>E1232-F1232</f>
        <v/>
      </c>
    </row>
    <row r="1233" ht="15" customHeight="1" s="1">
      <c r="A1233" s="2" t="n">
        <v>51231</v>
      </c>
      <c r="B1233" s="2" t="inlineStr">
        <is>
          <t>SKU-0072</t>
        </is>
      </c>
      <c r="C1233" s="2" t="n">
        <v>13</v>
      </c>
      <c r="D1233" s="2">
        <f>VLOOKUP(B1233,Products!$A$2:$D$201,3,FALSE())</f>
        <v/>
      </c>
      <c r="E1233" s="2">
        <f>C1233*D1233</f>
        <v/>
      </c>
      <c r="F1233" s="2">
        <f>C1233*INDEX(Products!$D$2:$D$201,MATCH(B1233,Products!$A$2:$A$201,0))</f>
        <v/>
      </c>
      <c r="G1233" s="2">
        <f>E1233-F1233</f>
        <v/>
      </c>
    </row>
    <row r="1234" ht="15" customHeight="1" s="1">
      <c r="A1234" s="2" t="n">
        <v>51232</v>
      </c>
      <c r="B1234" s="2" t="inlineStr">
        <is>
          <t>SKU-0113</t>
        </is>
      </c>
      <c r="C1234" s="2" t="n">
        <v>14</v>
      </c>
      <c r="D1234" s="2">
        <f>VLOOKUP(B1234,Products!$A$2:$D$201,3,FALSE())</f>
        <v/>
      </c>
      <c r="E1234" s="2">
        <f>C1234*D1234</f>
        <v/>
      </c>
      <c r="F1234" s="2">
        <f>C1234*INDEX(Products!$D$2:$D$201,MATCH(B1234,Products!$A$2:$A$201,0))</f>
        <v/>
      </c>
      <c r="G1234" s="2">
        <f>E1234-F1234</f>
        <v/>
      </c>
    </row>
    <row r="1235" ht="15" customHeight="1" s="1">
      <c r="A1235" s="2" t="n">
        <v>51233</v>
      </c>
      <c r="B1235" s="2" t="inlineStr">
        <is>
          <t>SKU-0062</t>
        </is>
      </c>
      <c r="C1235" s="2" t="n">
        <v>3</v>
      </c>
      <c r="D1235" s="2">
        <f>VLOOKUP(B1235,Products!$A$2:$D$201,3,FALSE())</f>
        <v/>
      </c>
      <c r="E1235" s="2">
        <f>C1235*D1235</f>
        <v/>
      </c>
      <c r="F1235" s="2">
        <f>C1235*INDEX(Products!$D$2:$D$201,MATCH(B1235,Products!$A$2:$A$201,0))</f>
        <v/>
      </c>
      <c r="G1235" s="2">
        <f>E1235-F1235</f>
        <v/>
      </c>
    </row>
    <row r="1236" ht="15" customHeight="1" s="1">
      <c r="A1236" s="2" t="n">
        <v>51234</v>
      </c>
      <c r="B1236" s="2" t="inlineStr">
        <is>
          <t>SKU-0033</t>
        </is>
      </c>
      <c r="C1236" s="2" t="n">
        <v>7</v>
      </c>
      <c r="D1236" s="2">
        <f>VLOOKUP(B1236,Products!$A$2:$D$201,3,FALSE())</f>
        <v/>
      </c>
      <c r="E1236" s="2">
        <f>C1236*D1236</f>
        <v/>
      </c>
      <c r="F1236" s="2">
        <f>C1236*INDEX(Products!$D$2:$D$201,MATCH(B1236,Products!$A$2:$A$201,0))</f>
        <v/>
      </c>
      <c r="G1236" s="2">
        <f>E1236-F1236</f>
        <v/>
      </c>
    </row>
    <row r="1237" ht="15" customHeight="1" s="1">
      <c r="A1237" s="2" t="n">
        <v>51235</v>
      </c>
      <c r="B1237" s="2" t="inlineStr">
        <is>
          <t>SKU-0147</t>
        </is>
      </c>
      <c r="C1237" s="2" t="n">
        <v>12</v>
      </c>
      <c r="D1237" s="2">
        <f>VLOOKUP(B1237,Products!$A$2:$D$201,3,FALSE())</f>
        <v/>
      </c>
      <c r="E1237" s="2">
        <f>C1237*D1237</f>
        <v/>
      </c>
      <c r="F1237" s="2">
        <f>C1237*INDEX(Products!$D$2:$D$201,MATCH(B1237,Products!$A$2:$A$201,0))</f>
        <v/>
      </c>
      <c r="G1237" s="2">
        <f>E1237-F1237</f>
        <v/>
      </c>
    </row>
    <row r="1238" ht="15" customHeight="1" s="1">
      <c r="A1238" s="2" t="n">
        <v>51236</v>
      </c>
      <c r="B1238" s="2" t="inlineStr">
        <is>
          <t>SKU-0059</t>
        </is>
      </c>
      <c r="C1238" s="2" t="n">
        <v>17</v>
      </c>
      <c r="D1238" s="2">
        <f>VLOOKUP(B1238,Products!$A$2:$D$201,3,FALSE())</f>
        <v/>
      </c>
      <c r="E1238" s="2">
        <f>C1238*D1238</f>
        <v/>
      </c>
      <c r="F1238" s="2">
        <f>C1238*INDEX(Products!$D$2:$D$201,MATCH(B1238,Products!$A$2:$A$201,0))</f>
        <v/>
      </c>
      <c r="G1238" s="2">
        <f>E1238-F1238</f>
        <v/>
      </c>
    </row>
    <row r="1239" ht="15" customHeight="1" s="1">
      <c r="A1239" s="2" t="n">
        <v>51237</v>
      </c>
      <c r="B1239" s="2" t="inlineStr">
        <is>
          <t>SKU-0063</t>
        </is>
      </c>
      <c r="C1239" s="2" t="n">
        <v>9</v>
      </c>
      <c r="D1239" s="2">
        <f>VLOOKUP(B1239,Products!$A$2:$D$201,3,FALSE())</f>
        <v/>
      </c>
      <c r="E1239" s="2">
        <f>C1239*D1239</f>
        <v/>
      </c>
      <c r="F1239" s="2">
        <f>C1239*INDEX(Products!$D$2:$D$201,MATCH(B1239,Products!$A$2:$A$201,0))</f>
        <v/>
      </c>
      <c r="G1239" s="2">
        <f>E1239-F1239</f>
        <v/>
      </c>
    </row>
    <row r="1240" ht="15" customHeight="1" s="1">
      <c r="A1240" s="2" t="n">
        <v>51238</v>
      </c>
      <c r="B1240" s="2" t="inlineStr">
        <is>
          <t>SKU-0096</t>
        </is>
      </c>
      <c r="C1240" s="2" t="n">
        <v>6</v>
      </c>
      <c r="D1240" s="2">
        <f>VLOOKUP(B1240,Products!$A$2:$D$201,3,FALSE())</f>
        <v/>
      </c>
      <c r="E1240" s="2">
        <f>C1240*D1240</f>
        <v/>
      </c>
      <c r="F1240" s="2">
        <f>C1240*INDEX(Products!$D$2:$D$201,MATCH(B1240,Products!$A$2:$A$201,0))</f>
        <v/>
      </c>
      <c r="G1240" s="2">
        <f>E1240-F1240</f>
        <v/>
      </c>
    </row>
    <row r="1241" ht="15" customHeight="1" s="1">
      <c r="A1241" s="2" t="n">
        <v>51239</v>
      </c>
      <c r="B1241" s="2" t="inlineStr">
        <is>
          <t>SKU-0117</t>
        </is>
      </c>
      <c r="C1241" s="2" t="n">
        <v>12</v>
      </c>
      <c r="D1241" s="2">
        <f>VLOOKUP(B1241,Products!$A$2:$D$201,3,FALSE())</f>
        <v/>
      </c>
      <c r="E1241" s="2">
        <f>C1241*D1241</f>
        <v/>
      </c>
      <c r="F1241" s="2">
        <f>C1241*INDEX(Products!$D$2:$D$201,MATCH(B1241,Products!$A$2:$A$201,0))</f>
        <v/>
      </c>
      <c r="G1241" s="2">
        <f>E1241-F1241</f>
        <v/>
      </c>
    </row>
    <row r="1242" ht="15" customHeight="1" s="1">
      <c r="A1242" s="2" t="n">
        <v>51240</v>
      </c>
      <c r="B1242" s="2" t="inlineStr">
        <is>
          <t>SKU-0107</t>
        </is>
      </c>
      <c r="C1242" s="2" t="n">
        <v>13</v>
      </c>
      <c r="D1242" s="2">
        <f>VLOOKUP(B1242,Products!$A$2:$D$201,3,FALSE())</f>
        <v/>
      </c>
      <c r="E1242" s="2">
        <f>C1242*D1242</f>
        <v/>
      </c>
      <c r="F1242" s="2">
        <f>C1242*INDEX(Products!$D$2:$D$201,MATCH(B1242,Products!$A$2:$A$201,0))</f>
        <v/>
      </c>
      <c r="G1242" s="2">
        <f>E1242-F1242</f>
        <v/>
      </c>
    </row>
    <row r="1243" ht="15" customHeight="1" s="1">
      <c r="A1243" s="2" t="n">
        <v>51241</v>
      </c>
      <c r="B1243" s="2" t="inlineStr">
        <is>
          <t>SKU-0155</t>
        </is>
      </c>
      <c r="C1243" s="2" t="n">
        <v>5</v>
      </c>
      <c r="D1243" s="2">
        <f>VLOOKUP(B1243,Products!$A$2:$D$201,3,FALSE())</f>
        <v/>
      </c>
      <c r="E1243" s="2">
        <f>C1243*D1243</f>
        <v/>
      </c>
      <c r="F1243" s="2">
        <f>C1243*INDEX(Products!$D$2:$D$201,MATCH(B1243,Products!$A$2:$A$201,0))</f>
        <v/>
      </c>
      <c r="G1243" s="2">
        <f>E1243-F1243</f>
        <v/>
      </c>
    </row>
    <row r="1244" ht="15" customHeight="1" s="1">
      <c r="A1244" s="2" t="n">
        <v>51242</v>
      </c>
      <c r="B1244" s="2" t="inlineStr">
        <is>
          <t>SKU-0071</t>
        </is>
      </c>
      <c r="C1244" s="2" t="n">
        <v>12</v>
      </c>
      <c r="D1244" s="2">
        <f>VLOOKUP(B1244,Products!$A$2:$D$201,3,FALSE())</f>
        <v/>
      </c>
      <c r="E1244" s="2">
        <f>C1244*D1244</f>
        <v/>
      </c>
      <c r="F1244" s="2">
        <f>C1244*INDEX(Products!$D$2:$D$201,MATCH(B1244,Products!$A$2:$A$201,0))</f>
        <v/>
      </c>
      <c r="G1244" s="2">
        <f>E1244-F1244</f>
        <v/>
      </c>
    </row>
    <row r="1245" ht="15" customHeight="1" s="1">
      <c r="A1245" s="2" t="n">
        <v>51243</v>
      </c>
      <c r="B1245" s="2" t="inlineStr">
        <is>
          <t>SKU-0020</t>
        </is>
      </c>
      <c r="C1245" s="2" t="n">
        <v>17</v>
      </c>
      <c r="D1245" s="2">
        <f>VLOOKUP(B1245,Products!$A$2:$D$201,3,FALSE())</f>
        <v/>
      </c>
      <c r="E1245" s="2">
        <f>C1245*D1245</f>
        <v/>
      </c>
      <c r="F1245" s="2">
        <f>C1245*INDEX(Products!$D$2:$D$201,MATCH(B1245,Products!$A$2:$A$201,0))</f>
        <v/>
      </c>
      <c r="G1245" s="2">
        <f>E1245-F1245</f>
        <v/>
      </c>
    </row>
    <row r="1246" ht="15" customHeight="1" s="1">
      <c r="A1246" s="2" t="n">
        <v>51244</v>
      </c>
      <c r="B1246" s="2" t="inlineStr">
        <is>
          <t>SKU-0085</t>
        </is>
      </c>
      <c r="C1246" s="2" t="n">
        <v>6</v>
      </c>
      <c r="D1246" s="2">
        <f>VLOOKUP(B1246,Products!$A$2:$D$201,3,FALSE())</f>
        <v/>
      </c>
      <c r="E1246" s="2">
        <f>C1246*D1246</f>
        <v/>
      </c>
      <c r="F1246" s="2">
        <f>C1246*INDEX(Products!$D$2:$D$201,MATCH(B1246,Products!$A$2:$A$201,0))</f>
        <v/>
      </c>
      <c r="G1246" s="2">
        <f>E1246-F1246</f>
        <v/>
      </c>
    </row>
    <row r="1247" ht="15" customHeight="1" s="1">
      <c r="A1247" s="2" t="n">
        <v>51245</v>
      </c>
      <c r="B1247" s="2" t="inlineStr">
        <is>
          <t>SKU-0170</t>
        </is>
      </c>
      <c r="C1247" s="2" t="n">
        <v>13</v>
      </c>
      <c r="D1247" s="2">
        <f>VLOOKUP(B1247,Products!$A$2:$D$201,3,FALSE())</f>
        <v/>
      </c>
      <c r="E1247" s="2">
        <f>C1247*D1247</f>
        <v/>
      </c>
      <c r="F1247" s="2">
        <f>C1247*INDEX(Products!$D$2:$D$201,MATCH(B1247,Products!$A$2:$A$201,0))</f>
        <v/>
      </c>
      <c r="G1247" s="2">
        <f>E1247-F1247</f>
        <v/>
      </c>
    </row>
    <row r="1248" ht="15" customHeight="1" s="1">
      <c r="A1248" s="2" t="n">
        <v>51246</v>
      </c>
      <c r="B1248" s="2" t="inlineStr">
        <is>
          <t>SKU-0016</t>
        </is>
      </c>
      <c r="C1248" s="2" t="n">
        <v>20</v>
      </c>
      <c r="D1248" s="2">
        <f>VLOOKUP(B1248,Products!$A$2:$D$201,3,FALSE())</f>
        <v/>
      </c>
      <c r="E1248" s="2">
        <f>C1248*D1248</f>
        <v/>
      </c>
      <c r="F1248" s="2">
        <f>C1248*INDEX(Products!$D$2:$D$201,MATCH(B1248,Products!$A$2:$A$201,0))</f>
        <v/>
      </c>
      <c r="G1248" s="2">
        <f>E1248-F1248</f>
        <v/>
      </c>
    </row>
    <row r="1249" ht="15" customHeight="1" s="1">
      <c r="A1249" s="2" t="n">
        <v>51247</v>
      </c>
      <c r="B1249" s="2" t="inlineStr">
        <is>
          <t>SKU-0152</t>
        </is>
      </c>
      <c r="C1249" s="2" t="n">
        <v>20</v>
      </c>
      <c r="D1249" s="2">
        <f>VLOOKUP(B1249,Products!$A$2:$D$201,3,FALSE())</f>
        <v/>
      </c>
      <c r="E1249" s="2">
        <f>C1249*D1249</f>
        <v/>
      </c>
      <c r="F1249" s="2">
        <f>C1249*INDEX(Products!$D$2:$D$201,MATCH(B1249,Products!$A$2:$A$201,0))</f>
        <v/>
      </c>
      <c r="G1249" s="2">
        <f>E1249-F1249</f>
        <v/>
      </c>
    </row>
    <row r="1250" ht="15" customHeight="1" s="1">
      <c r="A1250" s="2" t="n">
        <v>51248</v>
      </c>
      <c r="B1250" s="2" t="inlineStr">
        <is>
          <t>SKU-0098</t>
        </is>
      </c>
      <c r="C1250" s="2" t="n">
        <v>4</v>
      </c>
      <c r="D1250" s="2">
        <f>VLOOKUP(B1250,Products!$A$2:$D$201,3,FALSE())</f>
        <v/>
      </c>
      <c r="E1250" s="2">
        <f>C1250*D1250</f>
        <v/>
      </c>
      <c r="F1250" s="2">
        <f>C1250*INDEX(Products!$D$2:$D$201,MATCH(B1250,Products!$A$2:$A$201,0))</f>
        <v/>
      </c>
      <c r="G1250" s="2">
        <f>E1250-F1250</f>
        <v/>
      </c>
    </row>
    <row r="1251" ht="15" customHeight="1" s="1">
      <c r="A1251" s="2" t="n">
        <v>51249</v>
      </c>
      <c r="B1251" s="2" t="inlineStr">
        <is>
          <t>SKU-0143</t>
        </is>
      </c>
      <c r="C1251" s="2" t="n">
        <v>18</v>
      </c>
      <c r="D1251" s="2">
        <f>VLOOKUP(B1251,Products!$A$2:$D$201,3,FALSE())</f>
        <v/>
      </c>
      <c r="E1251" s="2">
        <f>C1251*D1251</f>
        <v/>
      </c>
      <c r="F1251" s="2">
        <f>C1251*INDEX(Products!$D$2:$D$201,MATCH(B1251,Products!$A$2:$A$201,0))</f>
        <v/>
      </c>
      <c r="G1251" s="2">
        <f>E1251-F1251</f>
        <v/>
      </c>
    </row>
    <row r="1252" ht="15" customHeight="1" s="1">
      <c r="A1252" s="2" t="n">
        <v>51250</v>
      </c>
      <c r="B1252" s="2" t="inlineStr">
        <is>
          <t>SKU-0075</t>
        </is>
      </c>
      <c r="C1252" s="2" t="n">
        <v>6</v>
      </c>
      <c r="D1252" s="2">
        <f>VLOOKUP(B1252,Products!$A$2:$D$201,3,FALSE())</f>
        <v/>
      </c>
      <c r="E1252" s="2">
        <f>C1252*D1252</f>
        <v/>
      </c>
      <c r="F1252" s="2">
        <f>C1252*INDEX(Products!$D$2:$D$201,MATCH(B1252,Products!$A$2:$A$201,0))</f>
        <v/>
      </c>
      <c r="G1252" s="2">
        <f>E1252-F1252</f>
        <v/>
      </c>
    </row>
    <row r="1253" ht="15" customHeight="1" s="1">
      <c r="A1253" s="2" t="n">
        <v>51251</v>
      </c>
      <c r="B1253" s="2" t="inlineStr">
        <is>
          <t>SKU-0007</t>
        </is>
      </c>
      <c r="C1253" s="2" t="n">
        <v>18</v>
      </c>
      <c r="D1253" s="2">
        <f>VLOOKUP(B1253,Products!$A$2:$D$201,3,FALSE())</f>
        <v/>
      </c>
      <c r="E1253" s="2">
        <f>C1253*D1253</f>
        <v/>
      </c>
      <c r="F1253" s="2">
        <f>C1253*INDEX(Products!$D$2:$D$201,MATCH(B1253,Products!$A$2:$A$201,0))</f>
        <v/>
      </c>
      <c r="G1253" s="2">
        <f>E1253-F1253</f>
        <v/>
      </c>
    </row>
    <row r="1254" ht="15" customHeight="1" s="1">
      <c r="A1254" s="2" t="n">
        <v>51252</v>
      </c>
      <c r="B1254" s="2" t="inlineStr">
        <is>
          <t>SKU-0167</t>
        </is>
      </c>
      <c r="C1254" s="2" t="n">
        <v>16</v>
      </c>
      <c r="D1254" s="2">
        <f>VLOOKUP(B1254,Products!$A$2:$D$201,3,FALSE())</f>
        <v/>
      </c>
      <c r="E1254" s="2">
        <f>C1254*D1254</f>
        <v/>
      </c>
      <c r="F1254" s="2">
        <f>C1254*INDEX(Products!$D$2:$D$201,MATCH(B1254,Products!$A$2:$A$201,0))</f>
        <v/>
      </c>
      <c r="G1254" s="2">
        <f>E1254-F1254</f>
        <v/>
      </c>
    </row>
    <row r="1255" ht="15" customHeight="1" s="1">
      <c r="A1255" s="2" t="n">
        <v>51253</v>
      </c>
      <c r="B1255" s="2" t="inlineStr">
        <is>
          <t>SKU-0130</t>
        </is>
      </c>
      <c r="C1255" s="2" t="n">
        <v>7</v>
      </c>
      <c r="D1255" s="2">
        <f>VLOOKUP(B1255,Products!$A$2:$D$201,3,FALSE())</f>
        <v/>
      </c>
      <c r="E1255" s="2">
        <f>C1255*D1255</f>
        <v/>
      </c>
      <c r="F1255" s="2">
        <f>C1255*INDEX(Products!$D$2:$D$201,MATCH(B1255,Products!$A$2:$A$201,0))</f>
        <v/>
      </c>
      <c r="G1255" s="2">
        <f>E1255-F1255</f>
        <v/>
      </c>
    </row>
    <row r="1256" ht="15" customHeight="1" s="1">
      <c r="A1256" s="2" t="n">
        <v>51254</v>
      </c>
      <c r="B1256" s="2" t="inlineStr">
        <is>
          <t>SKU-0004</t>
        </is>
      </c>
      <c r="C1256" s="2" t="n">
        <v>15</v>
      </c>
      <c r="D1256" s="2">
        <f>VLOOKUP(B1256,Products!$A$2:$D$201,3,FALSE())</f>
        <v/>
      </c>
      <c r="E1256" s="2">
        <f>C1256*D1256</f>
        <v/>
      </c>
      <c r="F1256" s="2">
        <f>C1256*INDEX(Products!$D$2:$D$201,MATCH(B1256,Products!$A$2:$A$201,0))</f>
        <v/>
      </c>
      <c r="G1256" s="2">
        <f>E1256-F1256</f>
        <v/>
      </c>
    </row>
    <row r="1257" ht="15" customHeight="1" s="1">
      <c r="A1257" s="2" t="n">
        <v>51255</v>
      </c>
      <c r="B1257" s="2" t="inlineStr">
        <is>
          <t>SKU-0127</t>
        </is>
      </c>
      <c r="C1257" s="2" t="n">
        <v>3</v>
      </c>
      <c r="D1257" s="2">
        <f>VLOOKUP(B1257,Products!$A$2:$D$201,3,FALSE())</f>
        <v/>
      </c>
      <c r="E1257" s="2">
        <f>C1257*D1257</f>
        <v/>
      </c>
      <c r="F1257" s="2">
        <f>C1257*INDEX(Products!$D$2:$D$201,MATCH(B1257,Products!$A$2:$A$201,0))</f>
        <v/>
      </c>
      <c r="G1257" s="2">
        <f>E1257-F1257</f>
        <v/>
      </c>
    </row>
    <row r="1258" ht="15" customHeight="1" s="1">
      <c r="A1258" s="2" t="n">
        <v>51256</v>
      </c>
      <c r="B1258" s="2" t="inlineStr">
        <is>
          <t>SKU-0164</t>
        </is>
      </c>
      <c r="C1258" s="2" t="n">
        <v>11</v>
      </c>
      <c r="D1258" s="2">
        <f>VLOOKUP(B1258,Products!$A$2:$D$201,3,FALSE())</f>
        <v/>
      </c>
      <c r="E1258" s="2">
        <f>C1258*D1258</f>
        <v/>
      </c>
      <c r="F1258" s="2">
        <f>C1258*INDEX(Products!$D$2:$D$201,MATCH(B1258,Products!$A$2:$A$201,0))</f>
        <v/>
      </c>
      <c r="G1258" s="2">
        <f>E1258-F1258</f>
        <v/>
      </c>
    </row>
    <row r="1259" ht="15" customHeight="1" s="1">
      <c r="A1259" s="2" t="n">
        <v>51257</v>
      </c>
      <c r="B1259" s="2" t="inlineStr">
        <is>
          <t>SKU-0084</t>
        </is>
      </c>
      <c r="C1259" s="2" t="n">
        <v>6</v>
      </c>
      <c r="D1259" s="2">
        <f>VLOOKUP(B1259,Products!$A$2:$D$201,3,FALSE())</f>
        <v/>
      </c>
      <c r="E1259" s="2">
        <f>C1259*D1259</f>
        <v/>
      </c>
      <c r="F1259" s="2">
        <f>C1259*INDEX(Products!$D$2:$D$201,MATCH(B1259,Products!$A$2:$A$201,0))</f>
        <v/>
      </c>
      <c r="G1259" s="2">
        <f>E1259-F1259</f>
        <v/>
      </c>
    </row>
    <row r="1260" ht="15" customHeight="1" s="1">
      <c r="A1260" s="2" t="n">
        <v>51258</v>
      </c>
      <c r="B1260" s="2" t="inlineStr">
        <is>
          <t>SKU-0061</t>
        </is>
      </c>
      <c r="C1260" s="2" t="n">
        <v>15</v>
      </c>
      <c r="D1260" s="2">
        <f>VLOOKUP(B1260,Products!$A$2:$D$201,3,FALSE())</f>
        <v/>
      </c>
      <c r="E1260" s="2">
        <f>C1260*D1260</f>
        <v/>
      </c>
      <c r="F1260" s="2">
        <f>C1260*INDEX(Products!$D$2:$D$201,MATCH(B1260,Products!$A$2:$A$201,0))</f>
        <v/>
      </c>
      <c r="G1260" s="2">
        <f>E1260-F1260</f>
        <v/>
      </c>
    </row>
    <row r="1261" ht="15" customHeight="1" s="1">
      <c r="A1261" s="2" t="n">
        <v>51259</v>
      </c>
      <c r="B1261" s="2" t="inlineStr">
        <is>
          <t>SKU-0141</t>
        </is>
      </c>
      <c r="C1261" s="2" t="n">
        <v>1</v>
      </c>
      <c r="D1261" s="2">
        <f>VLOOKUP(B1261,Products!$A$2:$D$201,3,FALSE())</f>
        <v/>
      </c>
      <c r="E1261" s="2">
        <f>C1261*D1261</f>
        <v/>
      </c>
      <c r="F1261" s="2">
        <f>C1261*INDEX(Products!$D$2:$D$201,MATCH(B1261,Products!$A$2:$A$201,0))</f>
        <v/>
      </c>
      <c r="G1261" s="2">
        <f>E1261-F1261</f>
        <v/>
      </c>
    </row>
    <row r="1262" ht="15" customHeight="1" s="1">
      <c r="A1262" s="2" t="n">
        <v>51260</v>
      </c>
      <c r="B1262" s="2" t="inlineStr">
        <is>
          <t>SKU-0076</t>
        </is>
      </c>
      <c r="C1262" s="2" t="n">
        <v>6</v>
      </c>
      <c r="D1262" s="2">
        <f>VLOOKUP(B1262,Products!$A$2:$D$201,3,FALSE())</f>
        <v/>
      </c>
      <c r="E1262" s="2">
        <f>C1262*D1262</f>
        <v/>
      </c>
      <c r="F1262" s="2">
        <f>C1262*INDEX(Products!$D$2:$D$201,MATCH(B1262,Products!$A$2:$A$201,0))</f>
        <v/>
      </c>
      <c r="G1262" s="2">
        <f>E1262-F1262</f>
        <v/>
      </c>
    </row>
    <row r="1263" ht="15" customHeight="1" s="1">
      <c r="A1263" s="2" t="n">
        <v>51261</v>
      </c>
      <c r="B1263" s="2" t="inlineStr">
        <is>
          <t>SKU-0120</t>
        </is>
      </c>
      <c r="C1263" s="2" t="n">
        <v>4</v>
      </c>
      <c r="D1263" s="2">
        <f>VLOOKUP(B1263,Products!$A$2:$D$201,3,FALSE())</f>
        <v/>
      </c>
      <c r="E1263" s="2">
        <f>C1263*D1263</f>
        <v/>
      </c>
      <c r="F1263" s="2">
        <f>C1263*INDEX(Products!$D$2:$D$201,MATCH(B1263,Products!$A$2:$A$201,0))</f>
        <v/>
      </c>
      <c r="G1263" s="2">
        <f>E1263-F1263</f>
        <v/>
      </c>
    </row>
    <row r="1264" ht="15" customHeight="1" s="1">
      <c r="A1264" s="2" t="n">
        <v>51262</v>
      </c>
      <c r="B1264" s="2" t="inlineStr">
        <is>
          <t>SKU-0104</t>
        </is>
      </c>
      <c r="C1264" s="2" t="n">
        <v>12</v>
      </c>
      <c r="D1264" s="2">
        <f>VLOOKUP(B1264,Products!$A$2:$D$201,3,FALSE())</f>
        <v/>
      </c>
      <c r="E1264" s="2">
        <f>C1264*D1264</f>
        <v/>
      </c>
      <c r="F1264" s="2">
        <f>C1264*INDEX(Products!$D$2:$D$201,MATCH(B1264,Products!$A$2:$A$201,0))</f>
        <v/>
      </c>
      <c r="G1264" s="2">
        <f>E1264-F1264</f>
        <v/>
      </c>
    </row>
    <row r="1265" ht="15" customHeight="1" s="1">
      <c r="A1265" s="2" t="n">
        <v>51263</v>
      </c>
      <c r="B1265" s="2" t="inlineStr">
        <is>
          <t>SKU-0158</t>
        </is>
      </c>
      <c r="C1265" s="2" t="n">
        <v>12</v>
      </c>
      <c r="D1265" s="2">
        <f>VLOOKUP(B1265,Products!$A$2:$D$201,3,FALSE())</f>
        <v/>
      </c>
      <c r="E1265" s="2">
        <f>C1265*D1265</f>
        <v/>
      </c>
      <c r="F1265" s="2">
        <f>C1265*INDEX(Products!$D$2:$D$201,MATCH(B1265,Products!$A$2:$A$201,0))</f>
        <v/>
      </c>
      <c r="G1265" s="2">
        <f>E1265-F1265</f>
        <v/>
      </c>
    </row>
    <row r="1266" ht="15" customHeight="1" s="1">
      <c r="A1266" s="2" t="n">
        <v>51264</v>
      </c>
      <c r="B1266" s="2" t="inlineStr">
        <is>
          <t>SKU-0137</t>
        </is>
      </c>
      <c r="C1266" s="2" t="n">
        <v>5</v>
      </c>
      <c r="D1266" s="2">
        <f>VLOOKUP(B1266,Products!$A$2:$D$201,3,FALSE())</f>
        <v/>
      </c>
      <c r="E1266" s="2">
        <f>C1266*D1266</f>
        <v/>
      </c>
      <c r="F1266" s="2">
        <f>C1266*INDEX(Products!$D$2:$D$201,MATCH(B1266,Products!$A$2:$A$201,0))</f>
        <v/>
      </c>
      <c r="G1266" s="2">
        <f>E1266-F1266</f>
        <v/>
      </c>
    </row>
    <row r="1267" ht="15" customHeight="1" s="1">
      <c r="A1267" s="2" t="n">
        <v>51265</v>
      </c>
      <c r="B1267" s="2" t="inlineStr">
        <is>
          <t>SKU-0143</t>
        </is>
      </c>
      <c r="C1267" s="2" t="n">
        <v>9</v>
      </c>
      <c r="D1267" s="2">
        <f>VLOOKUP(B1267,Products!$A$2:$D$201,3,FALSE())</f>
        <v/>
      </c>
      <c r="E1267" s="2">
        <f>C1267*D1267</f>
        <v/>
      </c>
      <c r="F1267" s="2">
        <f>C1267*INDEX(Products!$D$2:$D$201,MATCH(B1267,Products!$A$2:$A$201,0))</f>
        <v/>
      </c>
      <c r="G1267" s="2">
        <f>E1267-F1267</f>
        <v/>
      </c>
    </row>
    <row r="1268" ht="15" customHeight="1" s="1">
      <c r="A1268" s="2" t="n">
        <v>51266</v>
      </c>
      <c r="B1268" s="2" t="inlineStr">
        <is>
          <t>SKU-0062</t>
        </is>
      </c>
      <c r="C1268" s="2" t="n">
        <v>8</v>
      </c>
      <c r="D1268" s="2">
        <f>VLOOKUP(B1268,Products!$A$2:$D$201,3,FALSE())</f>
        <v/>
      </c>
      <c r="E1268" s="2">
        <f>C1268*D1268</f>
        <v/>
      </c>
      <c r="F1268" s="2">
        <f>C1268*INDEX(Products!$D$2:$D$201,MATCH(B1268,Products!$A$2:$A$201,0))</f>
        <v/>
      </c>
      <c r="G1268" s="2">
        <f>E1268-F1268</f>
        <v/>
      </c>
    </row>
    <row r="1269" ht="15" customHeight="1" s="1">
      <c r="A1269" s="2" t="n">
        <v>51267</v>
      </c>
      <c r="B1269" s="2" t="inlineStr">
        <is>
          <t>SKU-0046</t>
        </is>
      </c>
      <c r="C1269" s="2" t="n">
        <v>5</v>
      </c>
      <c r="D1269" s="2">
        <f>VLOOKUP(B1269,Products!$A$2:$D$201,3,FALSE())</f>
        <v/>
      </c>
      <c r="E1269" s="2">
        <f>C1269*D1269</f>
        <v/>
      </c>
      <c r="F1269" s="2">
        <f>C1269*INDEX(Products!$D$2:$D$201,MATCH(B1269,Products!$A$2:$A$201,0))</f>
        <v/>
      </c>
      <c r="G1269" s="2">
        <f>E1269-F1269</f>
        <v/>
      </c>
    </row>
    <row r="1270" ht="15" customHeight="1" s="1">
      <c r="A1270" s="2" t="n">
        <v>51268</v>
      </c>
      <c r="B1270" s="2" t="inlineStr">
        <is>
          <t>SKU-0179</t>
        </is>
      </c>
      <c r="C1270" s="2" t="n">
        <v>6</v>
      </c>
      <c r="D1270" s="2">
        <f>VLOOKUP(B1270,Products!$A$2:$D$201,3,FALSE())</f>
        <v/>
      </c>
      <c r="E1270" s="2">
        <f>C1270*D1270</f>
        <v/>
      </c>
      <c r="F1270" s="2">
        <f>C1270*INDEX(Products!$D$2:$D$201,MATCH(B1270,Products!$A$2:$A$201,0))</f>
        <v/>
      </c>
      <c r="G1270" s="2">
        <f>E1270-F1270</f>
        <v/>
      </c>
    </row>
    <row r="1271" ht="15" customHeight="1" s="1">
      <c r="A1271" s="2" t="n">
        <v>51269</v>
      </c>
      <c r="B1271" s="2" t="inlineStr">
        <is>
          <t>SKU-0066</t>
        </is>
      </c>
      <c r="C1271" s="2" t="n">
        <v>14</v>
      </c>
      <c r="D1271" s="2">
        <f>VLOOKUP(B1271,Products!$A$2:$D$201,3,FALSE())</f>
        <v/>
      </c>
      <c r="E1271" s="2">
        <f>C1271*D1271</f>
        <v/>
      </c>
      <c r="F1271" s="2">
        <f>C1271*INDEX(Products!$D$2:$D$201,MATCH(B1271,Products!$A$2:$A$201,0))</f>
        <v/>
      </c>
      <c r="G1271" s="2">
        <f>E1271-F1271</f>
        <v/>
      </c>
    </row>
    <row r="1272" ht="15" customHeight="1" s="1">
      <c r="A1272" s="2" t="n">
        <v>51270</v>
      </c>
      <c r="B1272" s="2" t="inlineStr">
        <is>
          <t>SKU-0125</t>
        </is>
      </c>
      <c r="C1272" s="2" t="n">
        <v>15</v>
      </c>
      <c r="D1272" s="2">
        <f>VLOOKUP(B1272,Products!$A$2:$D$201,3,FALSE())</f>
        <v/>
      </c>
      <c r="E1272" s="2">
        <f>C1272*D1272</f>
        <v/>
      </c>
      <c r="F1272" s="2">
        <f>C1272*INDEX(Products!$D$2:$D$201,MATCH(B1272,Products!$A$2:$A$201,0))</f>
        <v/>
      </c>
      <c r="G1272" s="2">
        <f>E1272-F1272</f>
        <v/>
      </c>
    </row>
    <row r="1273" ht="15" customHeight="1" s="1">
      <c r="A1273" s="2" t="n">
        <v>51271</v>
      </c>
      <c r="B1273" s="2" t="inlineStr">
        <is>
          <t>SKU-0183</t>
        </is>
      </c>
      <c r="C1273" s="2" t="n">
        <v>8</v>
      </c>
      <c r="D1273" s="2">
        <f>VLOOKUP(B1273,Products!$A$2:$D$201,3,FALSE())</f>
        <v/>
      </c>
      <c r="E1273" s="2">
        <f>C1273*D1273</f>
        <v/>
      </c>
      <c r="F1273" s="2">
        <f>C1273*INDEX(Products!$D$2:$D$201,MATCH(B1273,Products!$A$2:$A$201,0))</f>
        <v/>
      </c>
      <c r="G1273" s="2">
        <f>E1273-F1273</f>
        <v/>
      </c>
    </row>
    <row r="1274" ht="15" customHeight="1" s="1">
      <c r="A1274" s="2" t="n">
        <v>51272</v>
      </c>
      <c r="B1274" s="2" t="inlineStr">
        <is>
          <t>SKU-0045</t>
        </is>
      </c>
      <c r="C1274" s="2" t="n">
        <v>14</v>
      </c>
      <c r="D1274" s="2">
        <f>VLOOKUP(B1274,Products!$A$2:$D$201,3,FALSE())</f>
        <v/>
      </c>
      <c r="E1274" s="2">
        <f>C1274*D1274</f>
        <v/>
      </c>
      <c r="F1274" s="2">
        <f>C1274*INDEX(Products!$D$2:$D$201,MATCH(B1274,Products!$A$2:$A$201,0))</f>
        <v/>
      </c>
      <c r="G1274" s="2">
        <f>E1274-F1274</f>
        <v/>
      </c>
    </row>
    <row r="1275" ht="15" customHeight="1" s="1">
      <c r="A1275" s="2" t="n">
        <v>51273</v>
      </c>
      <c r="B1275" s="2" t="inlineStr">
        <is>
          <t>SKU-0134</t>
        </is>
      </c>
      <c r="C1275" s="2" t="n">
        <v>2</v>
      </c>
      <c r="D1275" s="2">
        <f>VLOOKUP(B1275,Products!$A$2:$D$201,3,FALSE())</f>
        <v/>
      </c>
      <c r="E1275" s="2">
        <f>C1275*D1275</f>
        <v/>
      </c>
      <c r="F1275" s="2">
        <f>C1275*INDEX(Products!$D$2:$D$201,MATCH(B1275,Products!$A$2:$A$201,0))</f>
        <v/>
      </c>
      <c r="G1275" s="2">
        <f>E1275-F1275</f>
        <v/>
      </c>
    </row>
    <row r="1276" ht="15" customHeight="1" s="1">
      <c r="A1276" s="2" t="n">
        <v>51274</v>
      </c>
      <c r="B1276" s="2" t="inlineStr">
        <is>
          <t>SKU-0036</t>
        </is>
      </c>
      <c r="C1276" s="2" t="n">
        <v>6</v>
      </c>
      <c r="D1276" s="2">
        <f>VLOOKUP(B1276,Products!$A$2:$D$201,3,FALSE())</f>
        <v/>
      </c>
      <c r="E1276" s="2">
        <f>C1276*D1276</f>
        <v/>
      </c>
      <c r="F1276" s="2">
        <f>C1276*INDEX(Products!$D$2:$D$201,MATCH(B1276,Products!$A$2:$A$201,0))</f>
        <v/>
      </c>
      <c r="G1276" s="2">
        <f>E1276-F1276</f>
        <v/>
      </c>
    </row>
    <row r="1277" ht="15" customHeight="1" s="1">
      <c r="A1277" s="2" t="n">
        <v>51275</v>
      </c>
      <c r="B1277" s="2" t="inlineStr">
        <is>
          <t>SKU-0189</t>
        </is>
      </c>
      <c r="C1277" s="2" t="n">
        <v>12</v>
      </c>
      <c r="D1277" s="2">
        <f>VLOOKUP(B1277,Products!$A$2:$D$201,3,FALSE())</f>
        <v/>
      </c>
      <c r="E1277" s="2">
        <f>C1277*D1277</f>
        <v/>
      </c>
      <c r="F1277" s="2">
        <f>C1277*INDEX(Products!$D$2:$D$201,MATCH(B1277,Products!$A$2:$A$201,0))</f>
        <v/>
      </c>
      <c r="G1277" s="2">
        <f>E1277-F1277</f>
        <v/>
      </c>
    </row>
    <row r="1278" ht="15" customHeight="1" s="1">
      <c r="A1278" s="2" t="n">
        <v>51276</v>
      </c>
      <c r="B1278" s="2" t="inlineStr">
        <is>
          <t>SKU-0151</t>
        </is>
      </c>
      <c r="C1278" s="2" t="n">
        <v>7</v>
      </c>
      <c r="D1278" s="2">
        <f>VLOOKUP(B1278,Products!$A$2:$D$201,3,FALSE())</f>
        <v/>
      </c>
      <c r="E1278" s="2">
        <f>C1278*D1278</f>
        <v/>
      </c>
      <c r="F1278" s="2">
        <f>C1278*INDEX(Products!$D$2:$D$201,MATCH(B1278,Products!$A$2:$A$201,0))</f>
        <v/>
      </c>
      <c r="G1278" s="2">
        <f>E1278-F1278</f>
        <v/>
      </c>
    </row>
    <row r="1279" ht="15" customHeight="1" s="1">
      <c r="A1279" s="2" t="n">
        <v>51277</v>
      </c>
      <c r="B1279" s="2" t="inlineStr">
        <is>
          <t>SKU-0000</t>
        </is>
      </c>
      <c r="C1279" s="2" t="n">
        <v>10</v>
      </c>
      <c r="D1279" s="2">
        <f>VLOOKUP(B1279,Products!$A$2:$D$201,3,FALSE())</f>
        <v/>
      </c>
      <c r="E1279" s="2">
        <f>C1279*D1279</f>
        <v/>
      </c>
      <c r="F1279" s="2">
        <f>C1279*INDEX(Products!$D$2:$D$201,MATCH(B1279,Products!$A$2:$A$201,0))</f>
        <v/>
      </c>
      <c r="G1279" s="2">
        <f>E1279-F1279</f>
        <v/>
      </c>
    </row>
    <row r="1280" ht="15" customHeight="1" s="1">
      <c r="A1280" s="2" t="n">
        <v>51278</v>
      </c>
      <c r="B1280" s="2" t="inlineStr">
        <is>
          <t>SKU-0053</t>
        </is>
      </c>
      <c r="C1280" s="2" t="n">
        <v>13</v>
      </c>
      <c r="D1280" s="2">
        <f>VLOOKUP(B1280,Products!$A$2:$D$201,3,FALSE())</f>
        <v/>
      </c>
      <c r="E1280" s="2">
        <f>C1280*D1280</f>
        <v/>
      </c>
      <c r="F1280" s="2">
        <f>C1280*INDEX(Products!$D$2:$D$201,MATCH(B1280,Products!$A$2:$A$201,0))</f>
        <v/>
      </c>
      <c r="G1280" s="2">
        <f>E1280-F1280</f>
        <v/>
      </c>
    </row>
    <row r="1281" ht="15" customHeight="1" s="1">
      <c r="A1281" s="2" t="n">
        <v>51279</v>
      </c>
      <c r="B1281" s="2" t="inlineStr">
        <is>
          <t>SKU-0159</t>
        </is>
      </c>
      <c r="C1281" s="2" t="n">
        <v>20</v>
      </c>
      <c r="D1281" s="2">
        <f>VLOOKUP(B1281,Products!$A$2:$D$201,3,FALSE())</f>
        <v/>
      </c>
      <c r="E1281" s="2">
        <f>C1281*D1281</f>
        <v/>
      </c>
      <c r="F1281" s="2">
        <f>C1281*INDEX(Products!$D$2:$D$201,MATCH(B1281,Products!$A$2:$A$201,0))</f>
        <v/>
      </c>
      <c r="G1281" s="2">
        <f>E1281-F1281</f>
        <v/>
      </c>
    </row>
    <row r="1282" ht="15" customHeight="1" s="1">
      <c r="A1282" s="2" t="n">
        <v>51280</v>
      </c>
      <c r="B1282" s="2" t="inlineStr">
        <is>
          <t>SKU-0157</t>
        </is>
      </c>
      <c r="C1282" s="2" t="n">
        <v>1</v>
      </c>
      <c r="D1282" s="2">
        <f>VLOOKUP(B1282,Products!$A$2:$D$201,3,FALSE())</f>
        <v/>
      </c>
      <c r="E1282" s="2">
        <f>C1282*D1282</f>
        <v/>
      </c>
      <c r="F1282" s="2">
        <f>C1282*INDEX(Products!$D$2:$D$201,MATCH(B1282,Products!$A$2:$A$201,0))</f>
        <v/>
      </c>
      <c r="G1282" s="2">
        <f>E1282-F1282</f>
        <v/>
      </c>
    </row>
    <row r="1283" ht="15" customHeight="1" s="1">
      <c r="A1283" s="2" t="n">
        <v>51281</v>
      </c>
      <c r="B1283" s="2" t="inlineStr">
        <is>
          <t>SKU-0033</t>
        </is>
      </c>
      <c r="C1283" s="2" t="n">
        <v>15</v>
      </c>
      <c r="D1283" s="2">
        <f>VLOOKUP(B1283,Products!$A$2:$D$201,3,FALSE())</f>
        <v/>
      </c>
      <c r="E1283" s="2">
        <f>C1283*D1283</f>
        <v/>
      </c>
      <c r="F1283" s="2">
        <f>C1283*INDEX(Products!$D$2:$D$201,MATCH(B1283,Products!$A$2:$A$201,0))</f>
        <v/>
      </c>
      <c r="G1283" s="2">
        <f>E1283-F1283</f>
        <v/>
      </c>
    </row>
    <row r="1284" ht="15" customHeight="1" s="1">
      <c r="A1284" s="2" t="n">
        <v>51282</v>
      </c>
      <c r="B1284" s="2" t="inlineStr">
        <is>
          <t>SKU-0065</t>
        </is>
      </c>
      <c r="C1284" s="2" t="n">
        <v>5</v>
      </c>
      <c r="D1284" s="2">
        <f>VLOOKUP(B1284,Products!$A$2:$D$201,3,FALSE())</f>
        <v/>
      </c>
      <c r="E1284" s="2">
        <f>C1284*D1284</f>
        <v/>
      </c>
      <c r="F1284" s="2">
        <f>C1284*INDEX(Products!$D$2:$D$201,MATCH(B1284,Products!$A$2:$A$201,0))</f>
        <v/>
      </c>
      <c r="G1284" s="2">
        <f>E1284-F1284</f>
        <v/>
      </c>
    </row>
    <row r="1285" ht="15" customHeight="1" s="1">
      <c r="A1285" s="2" t="n">
        <v>51283</v>
      </c>
      <c r="B1285" s="2" t="inlineStr">
        <is>
          <t>SKU-0022</t>
        </is>
      </c>
      <c r="C1285" s="2" t="n">
        <v>15</v>
      </c>
      <c r="D1285" s="2">
        <f>VLOOKUP(B1285,Products!$A$2:$D$201,3,FALSE())</f>
        <v/>
      </c>
      <c r="E1285" s="2">
        <f>C1285*D1285</f>
        <v/>
      </c>
      <c r="F1285" s="2">
        <f>C1285*INDEX(Products!$D$2:$D$201,MATCH(B1285,Products!$A$2:$A$201,0))</f>
        <v/>
      </c>
      <c r="G1285" s="2">
        <f>E1285-F1285</f>
        <v/>
      </c>
    </row>
    <row r="1286" ht="15" customHeight="1" s="1">
      <c r="A1286" s="2" t="n">
        <v>51284</v>
      </c>
      <c r="B1286" s="2" t="inlineStr">
        <is>
          <t>SKU-0085</t>
        </is>
      </c>
      <c r="C1286" s="2" t="n">
        <v>6</v>
      </c>
      <c r="D1286" s="2">
        <f>VLOOKUP(B1286,Products!$A$2:$D$201,3,FALSE())</f>
        <v/>
      </c>
      <c r="E1286" s="2">
        <f>C1286*D1286</f>
        <v/>
      </c>
      <c r="F1286" s="2">
        <f>C1286*INDEX(Products!$D$2:$D$201,MATCH(B1286,Products!$A$2:$A$201,0))</f>
        <v/>
      </c>
      <c r="G1286" s="2">
        <f>E1286-F1286</f>
        <v/>
      </c>
    </row>
    <row r="1287" ht="15" customHeight="1" s="1">
      <c r="A1287" s="2" t="n">
        <v>51285</v>
      </c>
      <c r="B1287" s="2" t="inlineStr">
        <is>
          <t>SKU-0016</t>
        </is>
      </c>
      <c r="C1287" s="2" t="n">
        <v>18</v>
      </c>
      <c r="D1287" s="2">
        <f>VLOOKUP(B1287,Products!$A$2:$D$201,3,FALSE())</f>
        <v/>
      </c>
      <c r="E1287" s="2">
        <f>C1287*D1287</f>
        <v/>
      </c>
      <c r="F1287" s="2">
        <f>C1287*INDEX(Products!$D$2:$D$201,MATCH(B1287,Products!$A$2:$A$201,0))</f>
        <v/>
      </c>
      <c r="G1287" s="2">
        <f>E1287-F1287</f>
        <v/>
      </c>
    </row>
    <row r="1288" ht="15" customHeight="1" s="1">
      <c r="A1288" s="2" t="n">
        <v>51286</v>
      </c>
      <c r="B1288" s="2" t="inlineStr">
        <is>
          <t>SKU-0179</t>
        </is>
      </c>
      <c r="C1288" s="2" t="n">
        <v>7</v>
      </c>
      <c r="D1288" s="2">
        <f>VLOOKUP(B1288,Products!$A$2:$D$201,3,FALSE())</f>
        <v/>
      </c>
      <c r="E1288" s="2">
        <f>C1288*D1288</f>
        <v/>
      </c>
      <c r="F1288" s="2">
        <f>C1288*INDEX(Products!$D$2:$D$201,MATCH(B1288,Products!$A$2:$A$201,0))</f>
        <v/>
      </c>
      <c r="G1288" s="2">
        <f>E1288-F1288</f>
        <v/>
      </c>
    </row>
    <row r="1289" ht="15" customHeight="1" s="1">
      <c r="A1289" s="2" t="n">
        <v>51287</v>
      </c>
      <c r="B1289" s="2" t="inlineStr">
        <is>
          <t>SKU-0183</t>
        </is>
      </c>
      <c r="C1289" s="2" t="n">
        <v>15</v>
      </c>
      <c r="D1289" s="2">
        <f>VLOOKUP(B1289,Products!$A$2:$D$201,3,FALSE())</f>
        <v/>
      </c>
      <c r="E1289" s="2">
        <f>C1289*D1289</f>
        <v/>
      </c>
      <c r="F1289" s="2">
        <f>C1289*INDEX(Products!$D$2:$D$201,MATCH(B1289,Products!$A$2:$A$201,0))</f>
        <v/>
      </c>
      <c r="G1289" s="2">
        <f>E1289-F1289</f>
        <v/>
      </c>
    </row>
    <row r="1290" ht="15" customHeight="1" s="1">
      <c r="A1290" s="2" t="n">
        <v>51288</v>
      </c>
      <c r="B1290" s="2" t="inlineStr">
        <is>
          <t>SKU-0049</t>
        </is>
      </c>
      <c r="C1290" s="2" t="n">
        <v>12</v>
      </c>
      <c r="D1290" s="2">
        <f>VLOOKUP(B1290,Products!$A$2:$D$201,3,FALSE())</f>
        <v/>
      </c>
      <c r="E1290" s="2">
        <f>C1290*D1290</f>
        <v/>
      </c>
      <c r="F1290" s="2">
        <f>C1290*INDEX(Products!$D$2:$D$201,MATCH(B1290,Products!$A$2:$A$201,0))</f>
        <v/>
      </c>
      <c r="G1290" s="2">
        <f>E1290-F1290</f>
        <v/>
      </c>
    </row>
    <row r="1291" ht="15" customHeight="1" s="1">
      <c r="A1291" s="2" t="n">
        <v>51289</v>
      </c>
      <c r="B1291" s="2" t="inlineStr">
        <is>
          <t>SKU-0127</t>
        </is>
      </c>
      <c r="C1291" s="2" t="n">
        <v>15</v>
      </c>
      <c r="D1291" s="2">
        <f>VLOOKUP(B1291,Products!$A$2:$D$201,3,FALSE())</f>
        <v/>
      </c>
      <c r="E1291" s="2">
        <f>C1291*D1291</f>
        <v/>
      </c>
      <c r="F1291" s="2">
        <f>C1291*INDEX(Products!$D$2:$D$201,MATCH(B1291,Products!$A$2:$A$201,0))</f>
        <v/>
      </c>
      <c r="G1291" s="2">
        <f>E1291-F1291</f>
        <v/>
      </c>
    </row>
    <row r="1292" ht="15" customHeight="1" s="1">
      <c r="A1292" s="2" t="n">
        <v>51290</v>
      </c>
      <c r="B1292" s="2" t="inlineStr">
        <is>
          <t>SKU-0019</t>
        </is>
      </c>
      <c r="C1292" s="2" t="n">
        <v>19</v>
      </c>
      <c r="D1292" s="2">
        <f>VLOOKUP(B1292,Products!$A$2:$D$201,3,FALSE())</f>
        <v/>
      </c>
      <c r="E1292" s="2">
        <f>C1292*D1292</f>
        <v/>
      </c>
      <c r="F1292" s="2">
        <f>C1292*INDEX(Products!$D$2:$D$201,MATCH(B1292,Products!$A$2:$A$201,0))</f>
        <v/>
      </c>
      <c r="G1292" s="2">
        <f>E1292-F1292</f>
        <v/>
      </c>
    </row>
    <row r="1293" ht="15" customHeight="1" s="1">
      <c r="A1293" s="2" t="n">
        <v>51291</v>
      </c>
      <c r="B1293" s="2" t="inlineStr">
        <is>
          <t>SKU-0037</t>
        </is>
      </c>
      <c r="C1293" s="2" t="n">
        <v>9</v>
      </c>
      <c r="D1293" s="2">
        <f>VLOOKUP(B1293,Products!$A$2:$D$201,3,FALSE())</f>
        <v/>
      </c>
      <c r="E1293" s="2">
        <f>C1293*D1293</f>
        <v/>
      </c>
      <c r="F1293" s="2">
        <f>C1293*INDEX(Products!$D$2:$D$201,MATCH(B1293,Products!$A$2:$A$201,0))</f>
        <v/>
      </c>
      <c r="G1293" s="2">
        <f>E1293-F1293</f>
        <v/>
      </c>
    </row>
    <row r="1294" ht="15" customHeight="1" s="1">
      <c r="A1294" s="2" t="n">
        <v>51292</v>
      </c>
      <c r="B1294" s="2" t="inlineStr">
        <is>
          <t>SKU-0181</t>
        </is>
      </c>
      <c r="C1294" s="2" t="n">
        <v>3</v>
      </c>
      <c r="D1294" s="2">
        <f>VLOOKUP(B1294,Products!$A$2:$D$201,3,FALSE())</f>
        <v/>
      </c>
      <c r="E1294" s="2">
        <f>C1294*D1294</f>
        <v/>
      </c>
      <c r="F1294" s="2">
        <f>C1294*INDEX(Products!$D$2:$D$201,MATCH(B1294,Products!$A$2:$A$201,0))</f>
        <v/>
      </c>
      <c r="G1294" s="2">
        <f>E1294-F1294</f>
        <v/>
      </c>
    </row>
    <row r="1295" ht="15" customHeight="1" s="1">
      <c r="A1295" s="2" t="n">
        <v>51293</v>
      </c>
      <c r="B1295" s="2" t="inlineStr">
        <is>
          <t>SKU-0037</t>
        </is>
      </c>
      <c r="C1295" s="2" t="n">
        <v>3</v>
      </c>
      <c r="D1295" s="2">
        <f>VLOOKUP(B1295,Products!$A$2:$D$201,3,FALSE())</f>
        <v/>
      </c>
      <c r="E1295" s="2">
        <f>C1295*D1295</f>
        <v/>
      </c>
      <c r="F1295" s="2">
        <f>C1295*INDEX(Products!$D$2:$D$201,MATCH(B1295,Products!$A$2:$A$201,0))</f>
        <v/>
      </c>
      <c r="G1295" s="2">
        <f>E1295-F1295</f>
        <v/>
      </c>
    </row>
    <row r="1296" ht="15" customHeight="1" s="1">
      <c r="A1296" s="2" t="n">
        <v>51294</v>
      </c>
      <c r="B1296" s="2" t="inlineStr">
        <is>
          <t>SKU-0026</t>
        </is>
      </c>
      <c r="C1296" s="2" t="n">
        <v>3</v>
      </c>
      <c r="D1296" s="2">
        <f>VLOOKUP(B1296,Products!$A$2:$D$201,3,FALSE())</f>
        <v/>
      </c>
      <c r="E1296" s="2">
        <f>C1296*D1296</f>
        <v/>
      </c>
      <c r="F1296" s="2">
        <f>C1296*INDEX(Products!$D$2:$D$201,MATCH(B1296,Products!$A$2:$A$201,0))</f>
        <v/>
      </c>
      <c r="G1296" s="2">
        <f>E1296-F1296</f>
        <v/>
      </c>
    </row>
    <row r="1297" ht="15" customHeight="1" s="1">
      <c r="A1297" s="2" t="n">
        <v>51295</v>
      </c>
      <c r="B1297" s="2" t="inlineStr">
        <is>
          <t>SKU-0174</t>
        </is>
      </c>
      <c r="C1297" s="2" t="n">
        <v>9</v>
      </c>
      <c r="D1297" s="2">
        <f>VLOOKUP(B1297,Products!$A$2:$D$201,3,FALSE())</f>
        <v/>
      </c>
      <c r="E1297" s="2">
        <f>C1297*D1297</f>
        <v/>
      </c>
      <c r="F1297" s="2">
        <f>C1297*INDEX(Products!$D$2:$D$201,MATCH(B1297,Products!$A$2:$A$201,0))</f>
        <v/>
      </c>
      <c r="G1297" s="2">
        <f>E1297-F1297</f>
        <v/>
      </c>
    </row>
    <row r="1298" ht="15" customHeight="1" s="1">
      <c r="A1298" s="2" t="n">
        <v>51296</v>
      </c>
      <c r="B1298" s="2" t="inlineStr">
        <is>
          <t>SKU-0109</t>
        </is>
      </c>
      <c r="C1298" s="2" t="n">
        <v>15</v>
      </c>
      <c r="D1298" s="2">
        <f>VLOOKUP(B1298,Products!$A$2:$D$201,3,FALSE())</f>
        <v/>
      </c>
      <c r="E1298" s="2">
        <f>C1298*D1298</f>
        <v/>
      </c>
      <c r="F1298" s="2">
        <f>C1298*INDEX(Products!$D$2:$D$201,MATCH(B1298,Products!$A$2:$A$201,0))</f>
        <v/>
      </c>
      <c r="G1298" s="2">
        <f>E1298-F1298</f>
        <v/>
      </c>
    </row>
    <row r="1299" ht="15" customHeight="1" s="1">
      <c r="A1299" s="2" t="n">
        <v>51297</v>
      </c>
      <c r="B1299" s="2" t="inlineStr">
        <is>
          <t>SKU-0057</t>
        </is>
      </c>
      <c r="C1299" s="2" t="n">
        <v>8</v>
      </c>
      <c r="D1299" s="2">
        <f>VLOOKUP(B1299,Products!$A$2:$D$201,3,FALSE())</f>
        <v/>
      </c>
      <c r="E1299" s="2">
        <f>C1299*D1299</f>
        <v/>
      </c>
      <c r="F1299" s="2">
        <f>C1299*INDEX(Products!$D$2:$D$201,MATCH(B1299,Products!$A$2:$A$201,0))</f>
        <v/>
      </c>
      <c r="G1299" s="2">
        <f>E1299-F1299</f>
        <v/>
      </c>
    </row>
    <row r="1300" ht="15" customHeight="1" s="1">
      <c r="A1300" s="2" t="n">
        <v>51298</v>
      </c>
      <c r="B1300" s="2" t="inlineStr">
        <is>
          <t>SKU-0195</t>
        </is>
      </c>
      <c r="C1300" s="2" t="n">
        <v>16</v>
      </c>
      <c r="D1300" s="2">
        <f>VLOOKUP(B1300,Products!$A$2:$D$201,3,FALSE())</f>
        <v/>
      </c>
      <c r="E1300" s="2">
        <f>C1300*D1300</f>
        <v/>
      </c>
      <c r="F1300" s="2">
        <f>C1300*INDEX(Products!$D$2:$D$201,MATCH(B1300,Products!$A$2:$A$201,0))</f>
        <v/>
      </c>
      <c r="G1300" s="2">
        <f>E1300-F1300</f>
        <v/>
      </c>
    </row>
    <row r="1301" ht="15" customHeight="1" s="1">
      <c r="A1301" s="2" t="n">
        <v>51299</v>
      </c>
      <c r="B1301" s="2" t="inlineStr">
        <is>
          <t>SKU-0110</t>
        </is>
      </c>
      <c r="C1301" s="2" t="n">
        <v>16</v>
      </c>
      <c r="D1301" s="2">
        <f>VLOOKUP(B1301,Products!$A$2:$D$201,3,FALSE())</f>
        <v/>
      </c>
      <c r="E1301" s="2">
        <f>C1301*D1301</f>
        <v/>
      </c>
      <c r="F1301" s="2">
        <f>C1301*INDEX(Products!$D$2:$D$201,MATCH(B1301,Products!$A$2:$A$201,0))</f>
        <v/>
      </c>
      <c r="G1301" s="2">
        <f>E1301-F1301</f>
        <v/>
      </c>
    </row>
    <row r="1302" ht="15" customHeight="1" s="1">
      <c r="A1302" s="2" t="n">
        <v>51300</v>
      </c>
      <c r="B1302" s="2" t="inlineStr">
        <is>
          <t>SKU-0017</t>
        </is>
      </c>
      <c r="C1302" s="2" t="n">
        <v>13</v>
      </c>
      <c r="D1302" s="2">
        <f>VLOOKUP(B1302,Products!$A$2:$D$201,3,FALSE())</f>
        <v/>
      </c>
      <c r="E1302" s="2">
        <f>C1302*D1302</f>
        <v/>
      </c>
      <c r="F1302" s="2">
        <f>C1302*INDEX(Products!$D$2:$D$201,MATCH(B1302,Products!$A$2:$A$201,0))</f>
        <v/>
      </c>
      <c r="G1302" s="2">
        <f>E1302-F1302</f>
        <v/>
      </c>
    </row>
    <row r="1303" ht="15" customHeight="1" s="1">
      <c r="A1303" s="2" t="n">
        <v>51301</v>
      </c>
      <c r="B1303" s="2" t="inlineStr">
        <is>
          <t>SKU-0119</t>
        </is>
      </c>
      <c r="C1303" s="2" t="n">
        <v>10</v>
      </c>
      <c r="D1303" s="2">
        <f>VLOOKUP(B1303,Products!$A$2:$D$201,3,FALSE())</f>
        <v/>
      </c>
      <c r="E1303" s="2">
        <f>C1303*D1303</f>
        <v/>
      </c>
      <c r="F1303" s="2">
        <f>C1303*INDEX(Products!$D$2:$D$201,MATCH(B1303,Products!$A$2:$A$201,0))</f>
        <v/>
      </c>
      <c r="G1303" s="2">
        <f>E1303-F1303</f>
        <v/>
      </c>
    </row>
    <row r="1304" ht="15" customHeight="1" s="1">
      <c r="A1304" s="2" t="n">
        <v>51302</v>
      </c>
      <c r="B1304" s="2" t="inlineStr">
        <is>
          <t>SKU-0083</t>
        </is>
      </c>
      <c r="C1304" s="2" t="n">
        <v>8</v>
      </c>
      <c r="D1304" s="2">
        <f>VLOOKUP(B1304,Products!$A$2:$D$201,3,FALSE())</f>
        <v/>
      </c>
      <c r="E1304" s="2">
        <f>C1304*D1304</f>
        <v/>
      </c>
      <c r="F1304" s="2">
        <f>C1304*INDEX(Products!$D$2:$D$201,MATCH(B1304,Products!$A$2:$A$201,0))</f>
        <v/>
      </c>
      <c r="G1304" s="2">
        <f>E1304-F1304</f>
        <v/>
      </c>
    </row>
    <row r="1305" ht="15" customHeight="1" s="1">
      <c r="A1305" s="2" t="n">
        <v>51303</v>
      </c>
      <c r="B1305" s="2" t="inlineStr">
        <is>
          <t>SKU-0120</t>
        </is>
      </c>
      <c r="C1305" s="2" t="n">
        <v>1</v>
      </c>
      <c r="D1305" s="2">
        <f>VLOOKUP(B1305,Products!$A$2:$D$201,3,FALSE())</f>
        <v/>
      </c>
      <c r="E1305" s="2">
        <f>C1305*D1305</f>
        <v/>
      </c>
      <c r="F1305" s="2">
        <f>C1305*INDEX(Products!$D$2:$D$201,MATCH(B1305,Products!$A$2:$A$201,0))</f>
        <v/>
      </c>
      <c r="G1305" s="2">
        <f>E1305-F1305</f>
        <v/>
      </c>
    </row>
    <row r="1306" ht="15" customHeight="1" s="1">
      <c r="A1306" s="2" t="n">
        <v>51304</v>
      </c>
      <c r="B1306" s="2" t="inlineStr">
        <is>
          <t>SKU-0034</t>
        </is>
      </c>
      <c r="C1306" s="2" t="n">
        <v>1</v>
      </c>
      <c r="D1306" s="2">
        <f>VLOOKUP(B1306,Products!$A$2:$D$201,3,FALSE())</f>
        <v/>
      </c>
      <c r="E1306" s="2">
        <f>C1306*D1306</f>
        <v/>
      </c>
      <c r="F1306" s="2">
        <f>C1306*INDEX(Products!$D$2:$D$201,MATCH(B1306,Products!$A$2:$A$201,0))</f>
        <v/>
      </c>
      <c r="G1306" s="2">
        <f>E1306-F1306</f>
        <v/>
      </c>
    </row>
    <row r="1307" ht="15" customHeight="1" s="1">
      <c r="A1307" s="2" t="n">
        <v>51305</v>
      </c>
      <c r="B1307" s="2" t="inlineStr">
        <is>
          <t>SKU-0171</t>
        </is>
      </c>
      <c r="C1307" s="2" t="n">
        <v>9</v>
      </c>
      <c r="D1307" s="2">
        <f>VLOOKUP(B1307,Products!$A$2:$D$201,3,FALSE())</f>
        <v/>
      </c>
      <c r="E1307" s="2">
        <f>C1307*D1307</f>
        <v/>
      </c>
      <c r="F1307" s="2">
        <f>C1307*INDEX(Products!$D$2:$D$201,MATCH(B1307,Products!$A$2:$A$201,0))</f>
        <v/>
      </c>
      <c r="G1307" s="2">
        <f>E1307-F1307</f>
        <v/>
      </c>
    </row>
    <row r="1308" ht="15" customHeight="1" s="1">
      <c r="A1308" s="2" t="n">
        <v>51306</v>
      </c>
      <c r="B1308" s="2" t="inlineStr">
        <is>
          <t>SKU-0088</t>
        </is>
      </c>
      <c r="C1308" s="2" t="n">
        <v>20</v>
      </c>
      <c r="D1308" s="2">
        <f>VLOOKUP(B1308,Products!$A$2:$D$201,3,FALSE())</f>
        <v/>
      </c>
      <c r="E1308" s="2">
        <f>C1308*D1308</f>
        <v/>
      </c>
      <c r="F1308" s="2">
        <f>C1308*INDEX(Products!$D$2:$D$201,MATCH(B1308,Products!$A$2:$A$201,0))</f>
        <v/>
      </c>
      <c r="G1308" s="2">
        <f>E1308-F1308</f>
        <v/>
      </c>
    </row>
    <row r="1309" ht="15" customHeight="1" s="1">
      <c r="A1309" s="2" t="n">
        <v>51307</v>
      </c>
      <c r="B1309" s="2" t="inlineStr">
        <is>
          <t>SKU-0150</t>
        </is>
      </c>
      <c r="C1309" s="2" t="n">
        <v>3</v>
      </c>
      <c r="D1309" s="2">
        <f>VLOOKUP(B1309,Products!$A$2:$D$201,3,FALSE())</f>
        <v/>
      </c>
      <c r="E1309" s="2">
        <f>C1309*D1309</f>
        <v/>
      </c>
      <c r="F1309" s="2">
        <f>C1309*INDEX(Products!$D$2:$D$201,MATCH(B1309,Products!$A$2:$A$201,0))</f>
        <v/>
      </c>
      <c r="G1309" s="2">
        <f>E1309-F1309</f>
        <v/>
      </c>
    </row>
    <row r="1310" ht="15" customHeight="1" s="1">
      <c r="A1310" s="2" t="n">
        <v>51308</v>
      </c>
      <c r="B1310" s="2" t="inlineStr">
        <is>
          <t>SKU-0114</t>
        </is>
      </c>
      <c r="C1310" s="2" t="n">
        <v>18</v>
      </c>
      <c r="D1310" s="2">
        <f>VLOOKUP(B1310,Products!$A$2:$D$201,3,FALSE())</f>
        <v/>
      </c>
      <c r="E1310" s="2">
        <f>C1310*D1310</f>
        <v/>
      </c>
      <c r="F1310" s="2">
        <f>C1310*INDEX(Products!$D$2:$D$201,MATCH(B1310,Products!$A$2:$A$201,0))</f>
        <v/>
      </c>
      <c r="G1310" s="2">
        <f>E1310-F1310</f>
        <v/>
      </c>
    </row>
    <row r="1311" ht="15" customHeight="1" s="1">
      <c r="A1311" s="2" t="n">
        <v>51309</v>
      </c>
      <c r="B1311" s="2" t="inlineStr">
        <is>
          <t>SKU-0097</t>
        </is>
      </c>
      <c r="C1311" s="2" t="n">
        <v>8</v>
      </c>
      <c r="D1311" s="2">
        <f>VLOOKUP(B1311,Products!$A$2:$D$201,3,FALSE())</f>
        <v/>
      </c>
      <c r="E1311" s="2">
        <f>C1311*D1311</f>
        <v/>
      </c>
      <c r="F1311" s="2">
        <f>C1311*INDEX(Products!$D$2:$D$201,MATCH(B1311,Products!$A$2:$A$201,0))</f>
        <v/>
      </c>
      <c r="G1311" s="2">
        <f>E1311-F1311</f>
        <v/>
      </c>
    </row>
    <row r="1312" ht="15" customHeight="1" s="1">
      <c r="A1312" s="2" t="n">
        <v>51310</v>
      </c>
      <c r="B1312" s="2" t="inlineStr">
        <is>
          <t>SKU-0119</t>
        </is>
      </c>
      <c r="C1312" s="2" t="n">
        <v>3</v>
      </c>
      <c r="D1312" s="2">
        <f>VLOOKUP(B1312,Products!$A$2:$D$201,3,FALSE())</f>
        <v/>
      </c>
      <c r="E1312" s="2">
        <f>C1312*D1312</f>
        <v/>
      </c>
      <c r="F1312" s="2">
        <f>C1312*INDEX(Products!$D$2:$D$201,MATCH(B1312,Products!$A$2:$A$201,0))</f>
        <v/>
      </c>
      <c r="G1312" s="2">
        <f>E1312-F1312</f>
        <v/>
      </c>
    </row>
    <row r="1313" ht="15" customHeight="1" s="1">
      <c r="A1313" s="2" t="n">
        <v>51311</v>
      </c>
      <c r="B1313" s="2" t="inlineStr">
        <is>
          <t>SKU-0140</t>
        </is>
      </c>
      <c r="C1313" s="2" t="n">
        <v>18</v>
      </c>
      <c r="D1313" s="2">
        <f>VLOOKUP(B1313,Products!$A$2:$D$201,3,FALSE())</f>
        <v/>
      </c>
      <c r="E1313" s="2">
        <f>C1313*D1313</f>
        <v/>
      </c>
      <c r="F1313" s="2">
        <f>C1313*INDEX(Products!$D$2:$D$201,MATCH(B1313,Products!$A$2:$A$201,0))</f>
        <v/>
      </c>
      <c r="G1313" s="2">
        <f>E1313-F1313</f>
        <v/>
      </c>
    </row>
    <row r="1314" ht="15" customHeight="1" s="1">
      <c r="A1314" s="2" t="n">
        <v>51312</v>
      </c>
      <c r="B1314" s="2" t="inlineStr">
        <is>
          <t>SKU-0153</t>
        </is>
      </c>
      <c r="C1314" s="2" t="n">
        <v>16</v>
      </c>
      <c r="D1314" s="2">
        <f>VLOOKUP(B1314,Products!$A$2:$D$201,3,FALSE())</f>
        <v/>
      </c>
      <c r="E1314" s="2">
        <f>C1314*D1314</f>
        <v/>
      </c>
      <c r="F1314" s="2">
        <f>C1314*INDEX(Products!$D$2:$D$201,MATCH(B1314,Products!$A$2:$A$201,0))</f>
        <v/>
      </c>
      <c r="G1314" s="2">
        <f>E1314-F1314</f>
        <v/>
      </c>
    </row>
    <row r="1315" ht="15" customHeight="1" s="1">
      <c r="A1315" s="2" t="n">
        <v>51313</v>
      </c>
      <c r="B1315" s="2" t="inlineStr">
        <is>
          <t>SKU-0063</t>
        </is>
      </c>
      <c r="C1315" s="2" t="n">
        <v>11</v>
      </c>
      <c r="D1315" s="2">
        <f>VLOOKUP(B1315,Products!$A$2:$D$201,3,FALSE())</f>
        <v/>
      </c>
      <c r="E1315" s="2">
        <f>C1315*D1315</f>
        <v/>
      </c>
      <c r="F1315" s="2">
        <f>C1315*INDEX(Products!$D$2:$D$201,MATCH(B1315,Products!$A$2:$A$201,0))</f>
        <v/>
      </c>
      <c r="G1315" s="2">
        <f>E1315-F1315</f>
        <v/>
      </c>
    </row>
    <row r="1316" ht="15" customHeight="1" s="1">
      <c r="A1316" s="2" t="n">
        <v>51314</v>
      </c>
      <c r="B1316" s="2" t="inlineStr">
        <is>
          <t>SKU-0111</t>
        </is>
      </c>
      <c r="C1316" s="2" t="n">
        <v>13</v>
      </c>
      <c r="D1316" s="2">
        <f>VLOOKUP(B1316,Products!$A$2:$D$201,3,FALSE())</f>
        <v/>
      </c>
      <c r="E1316" s="2">
        <f>C1316*D1316</f>
        <v/>
      </c>
      <c r="F1316" s="2">
        <f>C1316*INDEX(Products!$D$2:$D$201,MATCH(B1316,Products!$A$2:$A$201,0))</f>
        <v/>
      </c>
      <c r="G1316" s="2">
        <f>E1316-F1316</f>
        <v/>
      </c>
    </row>
    <row r="1317" ht="15" customHeight="1" s="1">
      <c r="A1317" s="2" t="n">
        <v>51315</v>
      </c>
      <c r="B1317" s="2" t="inlineStr">
        <is>
          <t>SKU-0054</t>
        </is>
      </c>
      <c r="C1317" s="2" t="n">
        <v>6</v>
      </c>
      <c r="D1317" s="2">
        <f>VLOOKUP(B1317,Products!$A$2:$D$201,3,FALSE())</f>
        <v/>
      </c>
      <c r="E1317" s="2">
        <f>C1317*D1317</f>
        <v/>
      </c>
      <c r="F1317" s="2">
        <f>C1317*INDEX(Products!$D$2:$D$201,MATCH(B1317,Products!$A$2:$A$201,0))</f>
        <v/>
      </c>
      <c r="G1317" s="2">
        <f>E1317-F1317</f>
        <v/>
      </c>
    </row>
    <row r="1318" ht="15" customHeight="1" s="1">
      <c r="A1318" s="2" t="n">
        <v>51316</v>
      </c>
      <c r="B1318" s="2" t="inlineStr">
        <is>
          <t>SKU-0089</t>
        </is>
      </c>
      <c r="C1318" s="2" t="n">
        <v>11</v>
      </c>
      <c r="D1318" s="2">
        <f>VLOOKUP(B1318,Products!$A$2:$D$201,3,FALSE())</f>
        <v/>
      </c>
      <c r="E1318" s="2">
        <f>C1318*D1318</f>
        <v/>
      </c>
      <c r="F1318" s="2">
        <f>C1318*INDEX(Products!$D$2:$D$201,MATCH(B1318,Products!$A$2:$A$201,0))</f>
        <v/>
      </c>
      <c r="G1318" s="2">
        <f>E1318-F1318</f>
        <v/>
      </c>
    </row>
    <row r="1319" ht="15" customHeight="1" s="1">
      <c r="A1319" s="2" t="n">
        <v>51317</v>
      </c>
      <c r="B1319" s="2" t="inlineStr">
        <is>
          <t>SKU-0147</t>
        </is>
      </c>
      <c r="C1319" s="2" t="n">
        <v>8</v>
      </c>
      <c r="D1319" s="2">
        <f>VLOOKUP(B1319,Products!$A$2:$D$201,3,FALSE())</f>
        <v/>
      </c>
      <c r="E1319" s="2">
        <f>C1319*D1319</f>
        <v/>
      </c>
      <c r="F1319" s="2">
        <f>C1319*INDEX(Products!$D$2:$D$201,MATCH(B1319,Products!$A$2:$A$201,0))</f>
        <v/>
      </c>
      <c r="G1319" s="2">
        <f>E1319-F1319</f>
        <v/>
      </c>
    </row>
    <row r="1320" ht="15" customHeight="1" s="1">
      <c r="A1320" s="2" t="n">
        <v>51318</v>
      </c>
      <c r="B1320" s="2" t="inlineStr">
        <is>
          <t>SKU-0051</t>
        </is>
      </c>
      <c r="C1320" s="2" t="n">
        <v>16</v>
      </c>
      <c r="D1320" s="2">
        <f>VLOOKUP(B1320,Products!$A$2:$D$201,3,FALSE())</f>
        <v/>
      </c>
      <c r="E1320" s="2">
        <f>C1320*D1320</f>
        <v/>
      </c>
      <c r="F1320" s="2">
        <f>C1320*INDEX(Products!$D$2:$D$201,MATCH(B1320,Products!$A$2:$A$201,0))</f>
        <v/>
      </c>
      <c r="G1320" s="2">
        <f>E1320-F1320</f>
        <v/>
      </c>
    </row>
    <row r="1321" ht="15" customHeight="1" s="1">
      <c r="A1321" s="2" t="n">
        <v>51319</v>
      </c>
      <c r="B1321" s="2" t="inlineStr">
        <is>
          <t>SKU-0135</t>
        </is>
      </c>
      <c r="C1321" s="2" t="n">
        <v>3</v>
      </c>
      <c r="D1321" s="2">
        <f>VLOOKUP(B1321,Products!$A$2:$D$201,3,FALSE())</f>
        <v/>
      </c>
      <c r="E1321" s="2">
        <f>C1321*D1321</f>
        <v/>
      </c>
      <c r="F1321" s="2">
        <f>C1321*INDEX(Products!$D$2:$D$201,MATCH(B1321,Products!$A$2:$A$201,0))</f>
        <v/>
      </c>
      <c r="G1321" s="2">
        <f>E1321-F1321</f>
        <v/>
      </c>
    </row>
    <row r="1322" ht="15" customHeight="1" s="1">
      <c r="A1322" s="2" t="n">
        <v>51320</v>
      </c>
      <c r="B1322" s="2" t="inlineStr">
        <is>
          <t>SKU-0083</t>
        </is>
      </c>
      <c r="C1322" s="2" t="n">
        <v>18</v>
      </c>
      <c r="D1322" s="2">
        <f>VLOOKUP(B1322,Products!$A$2:$D$201,3,FALSE())</f>
        <v/>
      </c>
      <c r="E1322" s="2">
        <f>C1322*D1322</f>
        <v/>
      </c>
      <c r="F1322" s="2">
        <f>C1322*INDEX(Products!$D$2:$D$201,MATCH(B1322,Products!$A$2:$A$201,0))</f>
        <v/>
      </c>
      <c r="G1322" s="2">
        <f>E1322-F1322</f>
        <v/>
      </c>
    </row>
    <row r="1323" ht="15" customHeight="1" s="1">
      <c r="A1323" s="2" t="n">
        <v>51321</v>
      </c>
      <c r="B1323" s="2" t="inlineStr">
        <is>
          <t>SKU-0110</t>
        </is>
      </c>
      <c r="C1323" s="2" t="n">
        <v>18</v>
      </c>
      <c r="D1323" s="2">
        <f>VLOOKUP(B1323,Products!$A$2:$D$201,3,FALSE())</f>
        <v/>
      </c>
      <c r="E1323" s="2">
        <f>C1323*D1323</f>
        <v/>
      </c>
      <c r="F1323" s="2">
        <f>C1323*INDEX(Products!$D$2:$D$201,MATCH(B1323,Products!$A$2:$A$201,0))</f>
        <v/>
      </c>
      <c r="G1323" s="2">
        <f>E1323-F1323</f>
        <v/>
      </c>
    </row>
    <row r="1324" ht="15" customHeight="1" s="1">
      <c r="A1324" s="2" t="n">
        <v>51322</v>
      </c>
      <c r="B1324" s="2" t="inlineStr">
        <is>
          <t>SKU-0073</t>
        </is>
      </c>
      <c r="C1324" s="2" t="n">
        <v>5</v>
      </c>
      <c r="D1324" s="2">
        <f>VLOOKUP(B1324,Products!$A$2:$D$201,3,FALSE())</f>
        <v/>
      </c>
      <c r="E1324" s="2">
        <f>C1324*D1324</f>
        <v/>
      </c>
      <c r="F1324" s="2">
        <f>C1324*INDEX(Products!$D$2:$D$201,MATCH(B1324,Products!$A$2:$A$201,0))</f>
        <v/>
      </c>
      <c r="G1324" s="2">
        <f>E1324-F1324</f>
        <v/>
      </c>
    </row>
    <row r="1325" ht="15" customHeight="1" s="1">
      <c r="A1325" s="2" t="n">
        <v>51323</v>
      </c>
      <c r="B1325" s="2" t="inlineStr">
        <is>
          <t>SKU-0136</t>
        </is>
      </c>
      <c r="C1325" s="2" t="n">
        <v>9</v>
      </c>
      <c r="D1325" s="2">
        <f>VLOOKUP(B1325,Products!$A$2:$D$201,3,FALSE())</f>
        <v/>
      </c>
      <c r="E1325" s="2">
        <f>C1325*D1325</f>
        <v/>
      </c>
      <c r="F1325" s="2">
        <f>C1325*INDEX(Products!$D$2:$D$201,MATCH(B1325,Products!$A$2:$A$201,0))</f>
        <v/>
      </c>
      <c r="G1325" s="2">
        <f>E1325-F1325</f>
        <v/>
      </c>
    </row>
    <row r="1326" ht="15" customHeight="1" s="1">
      <c r="A1326" s="2" t="n">
        <v>51324</v>
      </c>
      <c r="B1326" s="2" t="inlineStr">
        <is>
          <t>SKU-0186</t>
        </is>
      </c>
      <c r="C1326" s="2" t="n">
        <v>12</v>
      </c>
      <c r="D1326" s="2">
        <f>VLOOKUP(B1326,Products!$A$2:$D$201,3,FALSE())</f>
        <v/>
      </c>
      <c r="E1326" s="2">
        <f>C1326*D1326</f>
        <v/>
      </c>
      <c r="F1326" s="2">
        <f>C1326*INDEX(Products!$D$2:$D$201,MATCH(B1326,Products!$A$2:$A$201,0))</f>
        <v/>
      </c>
      <c r="G1326" s="2">
        <f>E1326-F1326</f>
        <v/>
      </c>
    </row>
    <row r="1327" ht="15" customHeight="1" s="1">
      <c r="A1327" s="2" t="n">
        <v>51325</v>
      </c>
      <c r="B1327" s="2" t="inlineStr">
        <is>
          <t>SKU-0067</t>
        </is>
      </c>
      <c r="C1327" s="2" t="n">
        <v>12</v>
      </c>
      <c r="D1327" s="2">
        <f>VLOOKUP(B1327,Products!$A$2:$D$201,3,FALSE())</f>
        <v/>
      </c>
      <c r="E1327" s="2">
        <f>C1327*D1327</f>
        <v/>
      </c>
      <c r="F1327" s="2">
        <f>C1327*INDEX(Products!$D$2:$D$201,MATCH(B1327,Products!$A$2:$A$201,0))</f>
        <v/>
      </c>
      <c r="G1327" s="2">
        <f>E1327-F1327</f>
        <v/>
      </c>
    </row>
    <row r="1328" ht="15" customHeight="1" s="1">
      <c r="A1328" s="2" t="n">
        <v>51326</v>
      </c>
      <c r="B1328" s="2" t="inlineStr">
        <is>
          <t>SKU-0174</t>
        </is>
      </c>
      <c r="C1328" s="2" t="n">
        <v>20</v>
      </c>
      <c r="D1328" s="2">
        <f>VLOOKUP(B1328,Products!$A$2:$D$201,3,FALSE())</f>
        <v/>
      </c>
      <c r="E1328" s="2">
        <f>C1328*D1328</f>
        <v/>
      </c>
      <c r="F1328" s="2">
        <f>C1328*INDEX(Products!$D$2:$D$201,MATCH(B1328,Products!$A$2:$A$201,0))</f>
        <v/>
      </c>
      <c r="G1328" s="2">
        <f>E1328-F1328</f>
        <v/>
      </c>
    </row>
    <row r="1329" ht="15" customHeight="1" s="1">
      <c r="A1329" s="2" t="n">
        <v>51327</v>
      </c>
      <c r="B1329" s="2" t="inlineStr">
        <is>
          <t>SKU-0145</t>
        </is>
      </c>
      <c r="C1329" s="2" t="n">
        <v>12</v>
      </c>
      <c r="D1329" s="2">
        <f>VLOOKUP(B1329,Products!$A$2:$D$201,3,FALSE())</f>
        <v/>
      </c>
      <c r="E1329" s="2">
        <f>C1329*D1329</f>
        <v/>
      </c>
      <c r="F1329" s="2">
        <f>C1329*INDEX(Products!$D$2:$D$201,MATCH(B1329,Products!$A$2:$A$201,0))</f>
        <v/>
      </c>
      <c r="G1329" s="2">
        <f>E1329-F1329</f>
        <v/>
      </c>
    </row>
    <row r="1330" ht="15" customHeight="1" s="1">
      <c r="A1330" s="2" t="n">
        <v>51328</v>
      </c>
      <c r="B1330" s="2" t="inlineStr">
        <is>
          <t>SKU-0048</t>
        </is>
      </c>
      <c r="C1330" s="2" t="n">
        <v>2</v>
      </c>
      <c r="D1330" s="2">
        <f>VLOOKUP(B1330,Products!$A$2:$D$201,3,FALSE())</f>
        <v/>
      </c>
      <c r="E1330" s="2">
        <f>C1330*D1330</f>
        <v/>
      </c>
      <c r="F1330" s="2">
        <f>C1330*INDEX(Products!$D$2:$D$201,MATCH(B1330,Products!$A$2:$A$201,0))</f>
        <v/>
      </c>
      <c r="G1330" s="2">
        <f>E1330-F1330</f>
        <v/>
      </c>
    </row>
    <row r="1331" ht="15" customHeight="1" s="1">
      <c r="A1331" s="2" t="n">
        <v>51329</v>
      </c>
      <c r="B1331" s="2" t="inlineStr">
        <is>
          <t>SKU-0096</t>
        </is>
      </c>
      <c r="C1331" s="2" t="n">
        <v>5</v>
      </c>
      <c r="D1331" s="2">
        <f>VLOOKUP(B1331,Products!$A$2:$D$201,3,FALSE())</f>
        <v/>
      </c>
      <c r="E1331" s="2">
        <f>C1331*D1331</f>
        <v/>
      </c>
      <c r="F1331" s="2">
        <f>C1331*INDEX(Products!$D$2:$D$201,MATCH(B1331,Products!$A$2:$A$201,0))</f>
        <v/>
      </c>
      <c r="G1331" s="2">
        <f>E1331-F1331</f>
        <v/>
      </c>
    </row>
    <row r="1332" ht="15" customHeight="1" s="1">
      <c r="A1332" s="2" t="n">
        <v>51330</v>
      </c>
      <c r="B1332" s="2" t="inlineStr">
        <is>
          <t>SKU-0199</t>
        </is>
      </c>
      <c r="C1332" s="2" t="n">
        <v>13</v>
      </c>
      <c r="D1332" s="2">
        <f>VLOOKUP(B1332,Products!$A$2:$D$201,3,FALSE())</f>
        <v/>
      </c>
      <c r="E1332" s="2">
        <f>C1332*D1332</f>
        <v/>
      </c>
      <c r="F1332" s="2">
        <f>C1332*INDEX(Products!$D$2:$D$201,MATCH(B1332,Products!$A$2:$A$201,0))</f>
        <v/>
      </c>
      <c r="G1332" s="2">
        <f>E1332-F1332</f>
        <v/>
      </c>
    </row>
    <row r="1333" ht="15" customHeight="1" s="1">
      <c r="A1333" s="2" t="n">
        <v>51331</v>
      </c>
      <c r="B1333" s="2" t="inlineStr">
        <is>
          <t>SKU-0147</t>
        </is>
      </c>
      <c r="C1333" s="2" t="n">
        <v>10</v>
      </c>
      <c r="D1333" s="2">
        <f>VLOOKUP(B1333,Products!$A$2:$D$201,3,FALSE())</f>
        <v/>
      </c>
      <c r="E1333" s="2">
        <f>C1333*D1333</f>
        <v/>
      </c>
      <c r="F1333" s="2">
        <f>C1333*INDEX(Products!$D$2:$D$201,MATCH(B1333,Products!$A$2:$A$201,0))</f>
        <v/>
      </c>
      <c r="G1333" s="2">
        <f>E1333-F1333</f>
        <v/>
      </c>
    </row>
    <row r="1334" ht="15" customHeight="1" s="1">
      <c r="A1334" s="2" t="n">
        <v>51332</v>
      </c>
      <c r="B1334" s="2" t="inlineStr">
        <is>
          <t>SKU-0043</t>
        </is>
      </c>
      <c r="C1334" s="2" t="n">
        <v>1</v>
      </c>
      <c r="D1334" s="2">
        <f>VLOOKUP(B1334,Products!$A$2:$D$201,3,FALSE())</f>
        <v/>
      </c>
      <c r="E1334" s="2">
        <f>C1334*D1334</f>
        <v/>
      </c>
      <c r="F1334" s="2">
        <f>C1334*INDEX(Products!$D$2:$D$201,MATCH(B1334,Products!$A$2:$A$201,0))</f>
        <v/>
      </c>
      <c r="G1334" s="2">
        <f>E1334-F1334</f>
        <v/>
      </c>
    </row>
    <row r="1335" ht="15" customHeight="1" s="1">
      <c r="A1335" s="2" t="n">
        <v>51333</v>
      </c>
      <c r="B1335" s="2" t="inlineStr">
        <is>
          <t>SKU-0084</t>
        </is>
      </c>
      <c r="C1335" s="2" t="n">
        <v>11</v>
      </c>
      <c r="D1335" s="2">
        <f>VLOOKUP(B1335,Products!$A$2:$D$201,3,FALSE())</f>
        <v/>
      </c>
      <c r="E1335" s="2">
        <f>C1335*D1335</f>
        <v/>
      </c>
      <c r="F1335" s="2">
        <f>C1335*INDEX(Products!$D$2:$D$201,MATCH(B1335,Products!$A$2:$A$201,0))</f>
        <v/>
      </c>
      <c r="G1335" s="2">
        <f>E1335-F1335</f>
        <v/>
      </c>
    </row>
    <row r="1336" ht="15" customHeight="1" s="1">
      <c r="A1336" s="2" t="n">
        <v>51334</v>
      </c>
      <c r="B1336" s="2" t="inlineStr">
        <is>
          <t>SKU-0032</t>
        </is>
      </c>
      <c r="C1336" s="2" t="n">
        <v>5</v>
      </c>
      <c r="D1336" s="2">
        <f>VLOOKUP(B1336,Products!$A$2:$D$201,3,FALSE())</f>
        <v/>
      </c>
      <c r="E1336" s="2">
        <f>C1336*D1336</f>
        <v/>
      </c>
      <c r="F1336" s="2">
        <f>C1336*INDEX(Products!$D$2:$D$201,MATCH(B1336,Products!$A$2:$A$201,0))</f>
        <v/>
      </c>
      <c r="G1336" s="2">
        <f>E1336-F1336</f>
        <v/>
      </c>
    </row>
    <row r="1337" ht="15" customHeight="1" s="1">
      <c r="A1337" s="2" t="n">
        <v>51335</v>
      </c>
      <c r="B1337" s="2" t="inlineStr">
        <is>
          <t>SKU-0086</t>
        </is>
      </c>
      <c r="C1337" s="2" t="n">
        <v>14</v>
      </c>
      <c r="D1337" s="2">
        <f>VLOOKUP(B1337,Products!$A$2:$D$201,3,FALSE())</f>
        <v/>
      </c>
      <c r="E1337" s="2">
        <f>C1337*D1337</f>
        <v/>
      </c>
      <c r="F1337" s="2">
        <f>C1337*INDEX(Products!$D$2:$D$201,MATCH(B1337,Products!$A$2:$A$201,0))</f>
        <v/>
      </c>
      <c r="G1337" s="2">
        <f>E1337-F1337</f>
        <v/>
      </c>
    </row>
    <row r="1338" ht="15" customHeight="1" s="1">
      <c r="A1338" s="2" t="n">
        <v>51336</v>
      </c>
      <c r="B1338" s="2" t="inlineStr">
        <is>
          <t>SKU-0198</t>
        </is>
      </c>
      <c r="C1338" s="2" t="n">
        <v>8</v>
      </c>
      <c r="D1338" s="2">
        <f>VLOOKUP(B1338,Products!$A$2:$D$201,3,FALSE())</f>
        <v/>
      </c>
      <c r="E1338" s="2">
        <f>C1338*D1338</f>
        <v/>
      </c>
      <c r="F1338" s="2">
        <f>C1338*INDEX(Products!$D$2:$D$201,MATCH(B1338,Products!$A$2:$A$201,0))</f>
        <v/>
      </c>
      <c r="G1338" s="2">
        <f>E1338-F1338</f>
        <v/>
      </c>
    </row>
    <row r="1339" ht="15" customHeight="1" s="1">
      <c r="A1339" s="2" t="n">
        <v>51337</v>
      </c>
      <c r="B1339" s="2" t="inlineStr">
        <is>
          <t>SKU-0086</t>
        </is>
      </c>
      <c r="C1339" s="2" t="n">
        <v>13</v>
      </c>
      <c r="D1339" s="2">
        <f>VLOOKUP(B1339,Products!$A$2:$D$201,3,FALSE())</f>
        <v/>
      </c>
      <c r="E1339" s="2">
        <f>C1339*D1339</f>
        <v/>
      </c>
      <c r="F1339" s="2">
        <f>C1339*INDEX(Products!$D$2:$D$201,MATCH(B1339,Products!$A$2:$A$201,0))</f>
        <v/>
      </c>
      <c r="G1339" s="2">
        <f>E1339-F1339</f>
        <v/>
      </c>
    </row>
    <row r="1340" ht="15" customHeight="1" s="1">
      <c r="A1340" s="2" t="n">
        <v>51338</v>
      </c>
      <c r="B1340" s="2" t="inlineStr">
        <is>
          <t>SKU-0063</t>
        </is>
      </c>
      <c r="C1340" s="2" t="n">
        <v>8</v>
      </c>
      <c r="D1340" s="2">
        <f>VLOOKUP(B1340,Products!$A$2:$D$201,3,FALSE())</f>
        <v/>
      </c>
      <c r="E1340" s="2">
        <f>C1340*D1340</f>
        <v/>
      </c>
      <c r="F1340" s="2">
        <f>C1340*INDEX(Products!$D$2:$D$201,MATCH(B1340,Products!$A$2:$A$201,0))</f>
        <v/>
      </c>
      <c r="G1340" s="2">
        <f>E1340-F1340</f>
        <v/>
      </c>
    </row>
    <row r="1341" ht="15" customHeight="1" s="1">
      <c r="A1341" s="2" t="n">
        <v>51339</v>
      </c>
      <c r="B1341" s="2" t="inlineStr">
        <is>
          <t>SKU-0145</t>
        </is>
      </c>
      <c r="C1341" s="2" t="n">
        <v>10</v>
      </c>
      <c r="D1341" s="2">
        <f>VLOOKUP(B1341,Products!$A$2:$D$201,3,FALSE())</f>
        <v/>
      </c>
      <c r="E1341" s="2">
        <f>C1341*D1341</f>
        <v/>
      </c>
      <c r="F1341" s="2">
        <f>C1341*INDEX(Products!$D$2:$D$201,MATCH(B1341,Products!$A$2:$A$201,0))</f>
        <v/>
      </c>
      <c r="G1341" s="2">
        <f>E1341-F1341</f>
        <v/>
      </c>
    </row>
    <row r="1342" ht="15" customHeight="1" s="1">
      <c r="A1342" s="2" t="n">
        <v>51340</v>
      </c>
      <c r="B1342" s="2" t="inlineStr">
        <is>
          <t>SKU-0127</t>
        </is>
      </c>
      <c r="C1342" s="2" t="n">
        <v>5</v>
      </c>
      <c r="D1342" s="2">
        <f>VLOOKUP(B1342,Products!$A$2:$D$201,3,FALSE())</f>
        <v/>
      </c>
      <c r="E1342" s="2">
        <f>C1342*D1342</f>
        <v/>
      </c>
      <c r="F1342" s="2">
        <f>C1342*INDEX(Products!$D$2:$D$201,MATCH(B1342,Products!$A$2:$A$201,0))</f>
        <v/>
      </c>
      <c r="G1342" s="2">
        <f>E1342-F1342</f>
        <v/>
      </c>
    </row>
    <row r="1343" ht="15" customHeight="1" s="1">
      <c r="A1343" s="2" t="n">
        <v>51341</v>
      </c>
      <c r="B1343" s="2" t="inlineStr">
        <is>
          <t>SKU-0134</t>
        </is>
      </c>
      <c r="C1343" s="2" t="n">
        <v>7</v>
      </c>
      <c r="D1343" s="2">
        <f>VLOOKUP(B1343,Products!$A$2:$D$201,3,FALSE())</f>
        <v/>
      </c>
      <c r="E1343" s="2">
        <f>C1343*D1343</f>
        <v/>
      </c>
      <c r="F1343" s="2">
        <f>C1343*INDEX(Products!$D$2:$D$201,MATCH(B1343,Products!$A$2:$A$201,0))</f>
        <v/>
      </c>
      <c r="G1343" s="2">
        <f>E1343-F1343</f>
        <v/>
      </c>
    </row>
    <row r="1344" ht="15" customHeight="1" s="1">
      <c r="A1344" s="2" t="n">
        <v>51342</v>
      </c>
      <c r="B1344" s="2" t="inlineStr">
        <is>
          <t>SKU-0167</t>
        </is>
      </c>
      <c r="C1344" s="2" t="n">
        <v>13</v>
      </c>
      <c r="D1344" s="2">
        <f>VLOOKUP(B1344,Products!$A$2:$D$201,3,FALSE())</f>
        <v/>
      </c>
      <c r="E1344" s="2">
        <f>C1344*D1344</f>
        <v/>
      </c>
      <c r="F1344" s="2">
        <f>C1344*INDEX(Products!$D$2:$D$201,MATCH(B1344,Products!$A$2:$A$201,0))</f>
        <v/>
      </c>
      <c r="G1344" s="2">
        <f>E1344-F1344</f>
        <v/>
      </c>
    </row>
    <row r="1345" ht="15" customHeight="1" s="1">
      <c r="A1345" s="2" t="n">
        <v>51343</v>
      </c>
      <c r="B1345" s="2" t="inlineStr">
        <is>
          <t>SKU-0172</t>
        </is>
      </c>
      <c r="C1345" s="2" t="n">
        <v>4</v>
      </c>
      <c r="D1345" s="2">
        <f>VLOOKUP(B1345,Products!$A$2:$D$201,3,FALSE())</f>
        <v/>
      </c>
      <c r="E1345" s="2">
        <f>C1345*D1345</f>
        <v/>
      </c>
      <c r="F1345" s="2">
        <f>C1345*INDEX(Products!$D$2:$D$201,MATCH(B1345,Products!$A$2:$A$201,0))</f>
        <v/>
      </c>
      <c r="G1345" s="2">
        <f>E1345-F1345</f>
        <v/>
      </c>
    </row>
    <row r="1346" ht="15" customHeight="1" s="1">
      <c r="A1346" s="2" t="n">
        <v>51344</v>
      </c>
      <c r="B1346" s="2" t="inlineStr">
        <is>
          <t>SKU-0036</t>
        </is>
      </c>
      <c r="C1346" s="2" t="n">
        <v>20</v>
      </c>
      <c r="D1346" s="2">
        <f>VLOOKUP(B1346,Products!$A$2:$D$201,3,FALSE())</f>
        <v/>
      </c>
      <c r="E1346" s="2">
        <f>C1346*D1346</f>
        <v/>
      </c>
      <c r="F1346" s="2">
        <f>C1346*INDEX(Products!$D$2:$D$201,MATCH(B1346,Products!$A$2:$A$201,0))</f>
        <v/>
      </c>
      <c r="G1346" s="2">
        <f>E1346-F1346</f>
        <v/>
      </c>
    </row>
    <row r="1347" ht="15" customHeight="1" s="1">
      <c r="A1347" s="2" t="n">
        <v>51345</v>
      </c>
      <c r="B1347" s="2" t="inlineStr">
        <is>
          <t>SKU-0129</t>
        </is>
      </c>
      <c r="C1347" s="2" t="n">
        <v>10</v>
      </c>
      <c r="D1347" s="2">
        <f>VLOOKUP(B1347,Products!$A$2:$D$201,3,FALSE())</f>
        <v/>
      </c>
      <c r="E1347" s="2">
        <f>C1347*D1347</f>
        <v/>
      </c>
      <c r="F1347" s="2">
        <f>C1347*INDEX(Products!$D$2:$D$201,MATCH(B1347,Products!$A$2:$A$201,0))</f>
        <v/>
      </c>
      <c r="G1347" s="2">
        <f>E1347-F1347</f>
        <v/>
      </c>
    </row>
    <row r="1348" ht="15" customHeight="1" s="1">
      <c r="A1348" s="2" t="n">
        <v>51346</v>
      </c>
      <c r="B1348" s="2" t="inlineStr">
        <is>
          <t>SKU-0109</t>
        </is>
      </c>
      <c r="C1348" s="2" t="n">
        <v>2</v>
      </c>
      <c r="D1348" s="2">
        <f>VLOOKUP(B1348,Products!$A$2:$D$201,3,FALSE())</f>
        <v/>
      </c>
      <c r="E1348" s="2">
        <f>C1348*D1348</f>
        <v/>
      </c>
      <c r="F1348" s="2">
        <f>C1348*INDEX(Products!$D$2:$D$201,MATCH(B1348,Products!$A$2:$A$201,0))</f>
        <v/>
      </c>
      <c r="G1348" s="2">
        <f>E1348-F1348</f>
        <v/>
      </c>
    </row>
    <row r="1349" ht="15" customHeight="1" s="1">
      <c r="A1349" s="2" t="n">
        <v>51347</v>
      </c>
      <c r="B1349" s="2" t="inlineStr">
        <is>
          <t>SKU-0171</t>
        </is>
      </c>
      <c r="C1349" s="2" t="n">
        <v>3</v>
      </c>
      <c r="D1349" s="2">
        <f>VLOOKUP(B1349,Products!$A$2:$D$201,3,FALSE())</f>
        <v/>
      </c>
      <c r="E1349" s="2">
        <f>C1349*D1349</f>
        <v/>
      </c>
      <c r="F1349" s="2">
        <f>C1349*INDEX(Products!$D$2:$D$201,MATCH(B1349,Products!$A$2:$A$201,0))</f>
        <v/>
      </c>
      <c r="G1349" s="2">
        <f>E1349-F1349</f>
        <v/>
      </c>
    </row>
    <row r="1350" ht="15" customHeight="1" s="1">
      <c r="A1350" s="2" t="n">
        <v>51348</v>
      </c>
      <c r="B1350" s="2" t="inlineStr">
        <is>
          <t>SKU-0070</t>
        </is>
      </c>
      <c r="C1350" s="2" t="n">
        <v>19</v>
      </c>
      <c r="D1350" s="2">
        <f>VLOOKUP(B1350,Products!$A$2:$D$201,3,FALSE())</f>
        <v/>
      </c>
      <c r="E1350" s="2">
        <f>C1350*D1350</f>
        <v/>
      </c>
      <c r="F1350" s="2">
        <f>C1350*INDEX(Products!$D$2:$D$201,MATCH(B1350,Products!$A$2:$A$201,0))</f>
        <v/>
      </c>
      <c r="G1350" s="2">
        <f>E1350-F1350</f>
        <v/>
      </c>
    </row>
    <row r="1351" ht="15" customHeight="1" s="1">
      <c r="A1351" s="2" t="n">
        <v>51349</v>
      </c>
      <c r="B1351" s="2" t="inlineStr">
        <is>
          <t>SKU-0086</t>
        </is>
      </c>
      <c r="C1351" s="2" t="n">
        <v>5</v>
      </c>
      <c r="D1351" s="2">
        <f>VLOOKUP(B1351,Products!$A$2:$D$201,3,FALSE())</f>
        <v/>
      </c>
      <c r="E1351" s="2">
        <f>C1351*D1351</f>
        <v/>
      </c>
      <c r="F1351" s="2">
        <f>C1351*INDEX(Products!$D$2:$D$201,MATCH(B1351,Products!$A$2:$A$201,0))</f>
        <v/>
      </c>
      <c r="G1351" s="2">
        <f>E1351-F1351</f>
        <v/>
      </c>
    </row>
    <row r="1352" ht="15" customHeight="1" s="1">
      <c r="A1352" s="2" t="n">
        <v>51350</v>
      </c>
      <c r="B1352" s="2" t="inlineStr">
        <is>
          <t>SKU-0108</t>
        </is>
      </c>
      <c r="C1352" s="2" t="n">
        <v>7</v>
      </c>
      <c r="D1352" s="2">
        <f>VLOOKUP(B1352,Products!$A$2:$D$201,3,FALSE())</f>
        <v/>
      </c>
      <c r="E1352" s="2">
        <f>C1352*D1352</f>
        <v/>
      </c>
      <c r="F1352" s="2">
        <f>C1352*INDEX(Products!$D$2:$D$201,MATCH(B1352,Products!$A$2:$A$201,0))</f>
        <v/>
      </c>
      <c r="G1352" s="2">
        <f>E1352-F1352</f>
        <v/>
      </c>
    </row>
    <row r="1353" ht="15" customHeight="1" s="1">
      <c r="A1353" s="2" t="n">
        <v>51351</v>
      </c>
      <c r="B1353" s="2" t="inlineStr">
        <is>
          <t>SKU-0177</t>
        </is>
      </c>
      <c r="C1353" s="2" t="n">
        <v>1</v>
      </c>
      <c r="D1353" s="2">
        <f>VLOOKUP(B1353,Products!$A$2:$D$201,3,FALSE())</f>
        <v/>
      </c>
      <c r="E1353" s="2">
        <f>C1353*D1353</f>
        <v/>
      </c>
      <c r="F1353" s="2">
        <f>C1353*INDEX(Products!$D$2:$D$201,MATCH(B1353,Products!$A$2:$A$201,0))</f>
        <v/>
      </c>
      <c r="G1353" s="2">
        <f>E1353-F1353</f>
        <v/>
      </c>
    </row>
    <row r="1354" ht="15" customHeight="1" s="1">
      <c r="A1354" s="2" t="n">
        <v>51352</v>
      </c>
      <c r="B1354" s="2" t="inlineStr">
        <is>
          <t>SKU-0179</t>
        </is>
      </c>
      <c r="C1354" s="2" t="n">
        <v>16</v>
      </c>
      <c r="D1354" s="2">
        <f>VLOOKUP(B1354,Products!$A$2:$D$201,3,FALSE())</f>
        <v/>
      </c>
      <c r="E1354" s="2">
        <f>C1354*D1354</f>
        <v/>
      </c>
      <c r="F1354" s="2">
        <f>C1354*INDEX(Products!$D$2:$D$201,MATCH(B1354,Products!$A$2:$A$201,0))</f>
        <v/>
      </c>
      <c r="G1354" s="2">
        <f>E1354-F1354</f>
        <v/>
      </c>
    </row>
    <row r="1355" ht="15" customHeight="1" s="1">
      <c r="A1355" s="2" t="n">
        <v>51353</v>
      </c>
      <c r="B1355" s="2" t="inlineStr">
        <is>
          <t>SKU-0192</t>
        </is>
      </c>
      <c r="C1355" s="2" t="n">
        <v>11</v>
      </c>
      <c r="D1355" s="2">
        <f>VLOOKUP(B1355,Products!$A$2:$D$201,3,FALSE())</f>
        <v/>
      </c>
      <c r="E1355" s="2">
        <f>C1355*D1355</f>
        <v/>
      </c>
      <c r="F1355" s="2">
        <f>C1355*INDEX(Products!$D$2:$D$201,MATCH(B1355,Products!$A$2:$A$201,0))</f>
        <v/>
      </c>
      <c r="G1355" s="2">
        <f>E1355-F1355</f>
        <v/>
      </c>
    </row>
    <row r="1356" ht="15" customHeight="1" s="1">
      <c r="A1356" s="2" t="n">
        <v>51354</v>
      </c>
      <c r="B1356" s="2" t="inlineStr">
        <is>
          <t>SKU-0038</t>
        </is>
      </c>
      <c r="C1356" s="2" t="n">
        <v>17</v>
      </c>
      <c r="D1356" s="2">
        <f>VLOOKUP(B1356,Products!$A$2:$D$201,3,FALSE())</f>
        <v/>
      </c>
      <c r="E1356" s="2">
        <f>C1356*D1356</f>
        <v/>
      </c>
      <c r="F1356" s="2">
        <f>C1356*INDEX(Products!$D$2:$D$201,MATCH(B1356,Products!$A$2:$A$201,0))</f>
        <v/>
      </c>
      <c r="G1356" s="2">
        <f>E1356-F1356</f>
        <v/>
      </c>
    </row>
    <row r="1357" ht="15" customHeight="1" s="1">
      <c r="A1357" s="2" t="n">
        <v>51355</v>
      </c>
      <c r="B1357" s="2" t="inlineStr">
        <is>
          <t>SKU-0094</t>
        </is>
      </c>
      <c r="C1357" s="2" t="n">
        <v>13</v>
      </c>
      <c r="D1357" s="2">
        <f>VLOOKUP(B1357,Products!$A$2:$D$201,3,FALSE())</f>
        <v/>
      </c>
      <c r="E1357" s="2">
        <f>C1357*D1357</f>
        <v/>
      </c>
      <c r="F1357" s="2">
        <f>C1357*INDEX(Products!$D$2:$D$201,MATCH(B1357,Products!$A$2:$A$201,0))</f>
        <v/>
      </c>
      <c r="G1357" s="2">
        <f>E1357-F1357</f>
        <v/>
      </c>
    </row>
    <row r="1358" ht="15" customHeight="1" s="1">
      <c r="A1358" s="2" t="n">
        <v>51356</v>
      </c>
      <c r="B1358" s="2" t="inlineStr">
        <is>
          <t>SKU-0009</t>
        </is>
      </c>
      <c r="C1358" s="2" t="n">
        <v>6</v>
      </c>
      <c r="D1358" s="2">
        <f>VLOOKUP(B1358,Products!$A$2:$D$201,3,FALSE())</f>
        <v/>
      </c>
      <c r="E1358" s="2">
        <f>C1358*D1358</f>
        <v/>
      </c>
      <c r="F1358" s="2">
        <f>C1358*INDEX(Products!$D$2:$D$201,MATCH(B1358,Products!$A$2:$A$201,0))</f>
        <v/>
      </c>
      <c r="G1358" s="2">
        <f>E1358-F1358</f>
        <v/>
      </c>
    </row>
    <row r="1359" ht="15" customHeight="1" s="1">
      <c r="A1359" s="2" t="n">
        <v>51357</v>
      </c>
      <c r="B1359" s="2" t="inlineStr">
        <is>
          <t>SKU-0072</t>
        </is>
      </c>
      <c r="C1359" s="2" t="n">
        <v>10</v>
      </c>
      <c r="D1359" s="2">
        <f>VLOOKUP(B1359,Products!$A$2:$D$201,3,FALSE())</f>
        <v/>
      </c>
      <c r="E1359" s="2">
        <f>C1359*D1359</f>
        <v/>
      </c>
      <c r="F1359" s="2">
        <f>C1359*INDEX(Products!$D$2:$D$201,MATCH(B1359,Products!$A$2:$A$201,0))</f>
        <v/>
      </c>
      <c r="G1359" s="2">
        <f>E1359-F1359</f>
        <v/>
      </c>
    </row>
    <row r="1360" ht="15" customHeight="1" s="1">
      <c r="A1360" s="2" t="n">
        <v>51358</v>
      </c>
      <c r="B1360" s="2" t="inlineStr">
        <is>
          <t>SKU-0112</t>
        </is>
      </c>
      <c r="C1360" s="2" t="n">
        <v>3</v>
      </c>
      <c r="D1360" s="2">
        <f>VLOOKUP(B1360,Products!$A$2:$D$201,3,FALSE())</f>
        <v/>
      </c>
      <c r="E1360" s="2">
        <f>C1360*D1360</f>
        <v/>
      </c>
      <c r="F1360" s="2">
        <f>C1360*INDEX(Products!$D$2:$D$201,MATCH(B1360,Products!$A$2:$A$201,0))</f>
        <v/>
      </c>
      <c r="G1360" s="2">
        <f>E1360-F1360</f>
        <v/>
      </c>
    </row>
    <row r="1361" ht="15" customHeight="1" s="1">
      <c r="A1361" s="2" t="n">
        <v>51359</v>
      </c>
      <c r="B1361" s="2" t="inlineStr">
        <is>
          <t>SKU-0006</t>
        </is>
      </c>
      <c r="C1361" s="2" t="n">
        <v>6</v>
      </c>
      <c r="D1361" s="2">
        <f>VLOOKUP(B1361,Products!$A$2:$D$201,3,FALSE())</f>
        <v/>
      </c>
      <c r="E1361" s="2">
        <f>C1361*D1361</f>
        <v/>
      </c>
      <c r="F1361" s="2">
        <f>C1361*INDEX(Products!$D$2:$D$201,MATCH(B1361,Products!$A$2:$A$201,0))</f>
        <v/>
      </c>
      <c r="G1361" s="2">
        <f>E1361-F1361</f>
        <v/>
      </c>
    </row>
    <row r="1362" ht="15" customHeight="1" s="1">
      <c r="A1362" s="2" t="n">
        <v>51360</v>
      </c>
      <c r="B1362" s="2" t="inlineStr">
        <is>
          <t>SKU-0148</t>
        </is>
      </c>
      <c r="C1362" s="2" t="n">
        <v>4</v>
      </c>
      <c r="D1362" s="2">
        <f>VLOOKUP(B1362,Products!$A$2:$D$201,3,FALSE())</f>
        <v/>
      </c>
      <c r="E1362" s="2">
        <f>C1362*D1362</f>
        <v/>
      </c>
      <c r="F1362" s="2">
        <f>C1362*INDEX(Products!$D$2:$D$201,MATCH(B1362,Products!$A$2:$A$201,0))</f>
        <v/>
      </c>
      <c r="G1362" s="2">
        <f>E1362-F1362</f>
        <v/>
      </c>
    </row>
    <row r="1363" ht="15" customHeight="1" s="1">
      <c r="A1363" s="2" t="n">
        <v>51361</v>
      </c>
      <c r="B1363" s="2" t="inlineStr">
        <is>
          <t>SKU-0020</t>
        </is>
      </c>
      <c r="C1363" s="2" t="n">
        <v>1</v>
      </c>
      <c r="D1363" s="2">
        <f>VLOOKUP(B1363,Products!$A$2:$D$201,3,FALSE())</f>
        <v/>
      </c>
      <c r="E1363" s="2">
        <f>C1363*D1363</f>
        <v/>
      </c>
      <c r="F1363" s="2">
        <f>C1363*INDEX(Products!$D$2:$D$201,MATCH(B1363,Products!$A$2:$A$201,0))</f>
        <v/>
      </c>
      <c r="G1363" s="2">
        <f>E1363-F1363</f>
        <v/>
      </c>
    </row>
    <row r="1364" ht="15" customHeight="1" s="1">
      <c r="A1364" s="2" t="n">
        <v>51362</v>
      </c>
      <c r="B1364" s="2" t="inlineStr">
        <is>
          <t>SKU-0010</t>
        </is>
      </c>
      <c r="C1364" s="2" t="n">
        <v>11</v>
      </c>
      <c r="D1364" s="2">
        <f>VLOOKUP(B1364,Products!$A$2:$D$201,3,FALSE())</f>
        <v/>
      </c>
      <c r="E1364" s="2">
        <f>C1364*D1364</f>
        <v/>
      </c>
      <c r="F1364" s="2">
        <f>C1364*INDEX(Products!$D$2:$D$201,MATCH(B1364,Products!$A$2:$A$201,0))</f>
        <v/>
      </c>
      <c r="G1364" s="2">
        <f>E1364-F1364</f>
        <v/>
      </c>
    </row>
    <row r="1365" ht="15" customHeight="1" s="1">
      <c r="A1365" s="2" t="n">
        <v>51363</v>
      </c>
      <c r="B1365" s="2" t="inlineStr">
        <is>
          <t>SKU-0152</t>
        </is>
      </c>
      <c r="C1365" s="2" t="n">
        <v>14</v>
      </c>
      <c r="D1365" s="2">
        <f>VLOOKUP(B1365,Products!$A$2:$D$201,3,FALSE())</f>
        <v/>
      </c>
      <c r="E1365" s="2">
        <f>C1365*D1365</f>
        <v/>
      </c>
      <c r="F1365" s="2">
        <f>C1365*INDEX(Products!$D$2:$D$201,MATCH(B1365,Products!$A$2:$A$201,0))</f>
        <v/>
      </c>
      <c r="G1365" s="2">
        <f>E1365-F1365</f>
        <v/>
      </c>
    </row>
    <row r="1366" ht="15" customHeight="1" s="1">
      <c r="A1366" s="2" t="n">
        <v>51364</v>
      </c>
      <c r="B1366" s="2" t="inlineStr">
        <is>
          <t>SKU-0115</t>
        </is>
      </c>
      <c r="C1366" s="2" t="n">
        <v>18</v>
      </c>
      <c r="D1366" s="2">
        <f>VLOOKUP(B1366,Products!$A$2:$D$201,3,FALSE())</f>
        <v/>
      </c>
      <c r="E1366" s="2">
        <f>C1366*D1366</f>
        <v/>
      </c>
      <c r="F1366" s="2">
        <f>C1366*INDEX(Products!$D$2:$D$201,MATCH(B1366,Products!$A$2:$A$201,0))</f>
        <v/>
      </c>
      <c r="G1366" s="2">
        <f>E1366-F1366</f>
        <v/>
      </c>
    </row>
    <row r="1367" ht="15" customHeight="1" s="1">
      <c r="A1367" s="2" t="n">
        <v>51365</v>
      </c>
      <c r="B1367" s="2" t="inlineStr">
        <is>
          <t>SKU-0165</t>
        </is>
      </c>
      <c r="C1367" s="2" t="n">
        <v>9</v>
      </c>
      <c r="D1367" s="2">
        <f>VLOOKUP(B1367,Products!$A$2:$D$201,3,FALSE())</f>
        <v/>
      </c>
      <c r="E1367" s="2">
        <f>C1367*D1367</f>
        <v/>
      </c>
      <c r="F1367" s="2">
        <f>C1367*INDEX(Products!$D$2:$D$201,MATCH(B1367,Products!$A$2:$A$201,0))</f>
        <v/>
      </c>
      <c r="G1367" s="2">
        <f>E1367-F1367</f>
        <v/>
      </c>
    </row>
    <row r="1368" ht="15" customHeight="1" s="1">
      <c r="A1368" s="2" t="n">
        <v>51366</v>
      </c>
      <c r="B1368" s="2" t="inlineStr">
        <is>
          <t>SKU-0131</t>
        </is>
      </c>
      <c r="C1368" s="2" t="n">
        <v>19</v>
      </c>
      <c r="D1368" s="2">
        <f>VLOOKUP(B1368,Products!$A$2:$D$201,3,FALSE())</f>
        <v/>
      </c>
      <c r="E1368" s="2">
        <f>C1368*D1368</f>
        <v/>
      </c>
      <c r="F1368" s="2">
        <f>C1368*INDEX(Products!$D$2:$D$201,MATCH(B1368,Products!$A$2:$A$201,0))</f>
        <v/>
      </c>
      <c r="G1368" s="2">
        <f>E1368-F1368</f>
        <v/>
      </c>
    </row>
    <row r="1369" ht="15" customHeight="1" s="1">
      <c r="A1369" s="2" t="n">
        <v>51367</v>
      </c>
      <c r="B1369" s="2" t="inlineStr">
        <is>
          <t>SKU-0092</t>
        </is>
      </c>
      <c r="C1369" s="2" t="n">
        <v>13</v>
      </c>
      <c r="D1369" s="2">
        <f>VLOOKUP(B1369,Products!$A$2:$D$201,3,FALSE())</f>
        <v/>
      </c>
      <c r="E1369" s="2">
        <f>C1369*D1369</f>
        <v/>
      </c>
      <c r="F1369" s="2">
        <f>C1369*INDEX(Products!$D$2:$D$201,MATCH(B1369,Products!$A$2:$A$201,0))</f>
        <v/>
      </c>
      <c r="G1369" s="2">
        <f>E1369-F1369</f>
        <v/>
      </c>
    </row>
    <row r="1370" ht="15" customHeight="1" s="1">
      <c r="A1370" s="2" t="n">
        <v>51368</v>
      </c>
      <c r="B1370" s="2" t="inlineStr">
        <is>
          <t>SKU-0104</t>
        </is>
      </c>
      <c r="C1370" s="2" t="n">
        <v>2</v>
      </c>
      <c r="D1370" s="2">
        <f>VLOOKUP(B1370,Products!$A$2:$D$201,3,FALSE())</f>
        <v/>
      </c>
      <c r="E1370" s="2">
        <f>C1370*D1370</f>
        <v/>
      </c>
      <c r="F1370" s="2">
        <f>C1370*INDEX(Products!$D$2:$D$201,MATCH(B1370,Products!$A$2:$A$201,0))</f>
        <v/>
      </c>
      <c r="G1370" s="2">
        <f>E1370-F1370</f>
        <v/>
      </c>
    </row>
    <row r="1371" ht="15" customHeight="1" s="1">
      <c r="A1371" s="2" t="n">
        <v>51369</v>
      </c>
      <c r="B1371" s="2" t="inlineStr">
        <is>
          <t>SKU-0071</t>
        </is>
      </c>
      <c r="C1371" s="2" t="n">
        <v>4</v>
      </c>
      <c r="D1371" s="2">
        <f>VLOOKUP(B1371,Products!$A$2:$D$201,3,FALSE())</f>
        <v/>
      </c>
      <c r="E1371" s="2">
        <f>C1371*D1371</f>
        <v/>
      </c>
      <c r="F1371" s="2">
        <f>C1371*INDEX(Products!$D$2:$D$201,MATCH(B1371,Products!$A$2:$A$201,0))</f>
        <v/>
      </c>
      <c r="G1371" s="2">
        <f>E1371-F1371</f>
        <v/>
      </c>
    </row>
    <row r="1372" ht="15" customHeight="1" s="1">
      <c r="A1372" s="2" t="n">
        <v>51370</v>
      </c>
      <c r="B1372" s="2" t="inlineStr">
        <is>
          <t>SKU-0042</t>
        </is>
      </c>
      <c r="C1372" s="2" t="n">
        <v>7</v>
      </c>
      <c r="D1372" s="2">
        <f>VLOOKUP(B1372,Products!$A$2:$D$201,3,FALSE())</f>
        <v/>
      </c>
      <c r="E1372" s="2">
        <f>C1372*D1372</f>
        <v/>
      </c>
      <c r="F1372" s="2">
        <f>C1372*INDEX(Products!$D$2:$D$201,MATCH(B1372,Products!$A$2:$A$201,0))</f>
        <v/>
      </c>
      <c r="G1372" s="2">
        <f>E1372-F1372</f>
        <v/>
      </c>
    </row>
    <row r="1373" ht="15" customHeight="1" s="1">
      <c r="A1373" s="2" t="n">
        <v>51371</v>
      </c>
      <c r="B1373" s="2" t="inlineStr">
        <is>
          <t>SKU-0097</t>
        </is>
      </c>
      <c r="C1373" s="2" t="n">
        <v>17</v>
      </c>
      <c r="D1373" s="2">
        <f>VLOOKUP(B1373,Products!$A$2:$D$201,3,FALSE())</f>
        <v/>
      </c>
      <c r="E1373" s="2">
        <f>C1373*D1373</f>
        <v/>
      </c>
      <c r="F1373" s="2">
        <f>C1373*INDEX(Products!$D$2:$D$201,MATCH(B1373,Products!$A$2:$A$201,0))</f>
        <v/>
      </c>
      <c r="G1373" s="2">
        <f>E1373-F1373</f>
        <v/>
      </c>
    </row>
    <row r="1374" ht="15" customHeight="1" s="1">
      <c r="A1374" s="2" t="n">
        <v>51372</v>
      </c>
      <c r="B1374" s="2" t="inlineStr">
        <is>
          <t>SKU-0088</t>
        </is>
      </c>
      <c r="C1374" s="2" t="n">
        <v>1</v>
      </c>
      <c r="D1374" s="2">
        <f>VLOOKUP(B1374,Products!$A$2:$D$201,3,FALSE())</f>
        <v/>
      </c>
      <c r="E1374" s="2">
        <f>C1374*D1374</f>
        <v/>
      </c>
      <c r="F1374" s="2">
        <f>C1374*INDEX(Products!$D$2:$D$201,MATCH(B1374,Products!$A$2:$A$201,0))</f>
        <v/>
      </c>
      <c r="G1374" s="2">
        <f>E1374-F1374</f>
        <v/>
      </c>
    </row>
    <row r="1375" ht="15" customHeight="1" s="1">
      <c r="A1375" s="2" t="n">
        <v>51373</v>
      </c>
      <c r="B1375" s="2" t="inlineStr">
        <is>
          <t>SKU-0192</t>
        </is>
      </c>
      <c r="C1375" s="2" t="n">
        <v>7</v>
      </c>
      <c r="D1375" s="2">
        <f>VLOOKUP(B1375,Products!$A$2:$D$201,3,FALSE())</f>
        <v/>
      </c>
      <c r="E1375" s="2">
        <f>C1375*D1375</f>
        <v/>
      </c>
      <c r="F1375" s="2">
        <f>C1375*INDEX(Products!$D$2:$D$201,MATCH(B1375,Products!$A$2:$A$201,0))</f>
        <v/>
      </c>
      <c r="G1375" s="2">
        <f>E1375-F1375</f>
        <v/>
      </c>
    </row>
    <row r="1376" ht="15" customHeight="1" s="1">
      <c r="A1376" s="2" t="n">
        <v>51374</v>
      </c>
      <c r="B1376" s="2" t="inlineStr">
        <is>
          <t>SKU-0037</t>
        </is>
      </c>
      <c r="C1376" s="2" t="n">
        <v>19</v>
      </c>
      <c r="D1376" s="2">
        <f>VLOOKUP(B1376,Products!$A$2:$D$201,3,FALSE())</f>
        <v/>
      </c>
      <c r="E1376" s="2">
        <f>C1376*D1376</f>
        <v/>
      </c>
      <c r="F1376" s="2">
        <f>C1376*INDEX(Products!$D$2:$D$201,MATCH(B1376,Products!$A$2:$A$201,0))</f>
        <v/>
      </c>
      <c r="G1376" s="2">
        <f>E1376-F1376</f>
        <v/>
      </c>
    </row>
    <row r="1377" ht="15" customHeight="1" s="1">
      <c r="A1377" s="2" t="n">
        <v>51375</v>
      </c>
      <c r="B1377" s="2" t="inlineStr">
        <is>
          <t>SKU-0022</t>
        </is>
      </c>
      <c r="C1377" s="2" t="n">
        <v>7</v>
      </c>
      <c r="D1377" s="2">
        <f>VLOOKUP(B1377,Products!$A$2:$D$201,3,FALSE())</f>
        <v/>
      </c>
      <c r="E1377" s="2">
        <f>C1377*D1377</f>
        <v/>
      </c>
      <c r="F1377" s="2">
        <f>C1377*INDEX(Products!$D$2:$D$201,MATCH(B1377,Products!$A$2:$A$201,0))</f>
        <v/>
      </c>
      <c r="G1377" s="2">
        <f>E1377-F1377</f>
        <v/>
      </c>
    </row>
    <row r="1378" ht="15" customHeight="1" s="1">
      <c r="A1378" s="2" t="n">
        <v>51376</v>
      </c>
      <c r="B1378" s="2" t="inlineStr">
        <is>
          <t>SKU-0066</t>
        </is>
      </c>
      <c r="C1378" s="2" t="n">
        <v>5</v>
      </c>
      <c r="D1378" s="2">
        <f>VLOOKUP(B1378,Products!$A$2:$D$201,3,FALSE())</f>
        <v/>
      </c>
      <c r="E1378" s="2">
        <f>C1378*D1378</f>
        <v/>
      </c>
      <c r="F1378" s="2">
        <f>C1378*INDEX(Products!$D$2:$D$201,MATCH(B1378,Products!$A$2:$A$201,0))</f>
        <v/>
      </c>
      <c r="G1378" s="2">
        <f>E1378-F1378</f>
        <v/>
      </c>
    </row>
    <row r="1379" ht="15" customHeight="1" s="1">
      <c r="A1379" s="2" t="n">
        <v>51377</v>
      </c>
      <c r="B1379" s="2" t="inlineStr">
        <is>
          <t>SKU-0197</t>
        </is>
      </c>
      <c r="C1379" s="2" t="n">
        <v>18</v>
      </c>
      <c r="D1379" s="2">
        <f>VLOOKUP(B1379,Products!$A$2:$D$201,3,FALSE())</f>
        <v/>
      </c>
      <c r="E1379" s="2">
        <f>C1379*D1379</f>
        <v/>
      </c>
      <c r="F1379" s="2">
        <f>C1379*INDEX(Products!$D$2:$D$201,MATCH(B1379,Products!$A$2:$A$201,0))</f>
        <v/>
      </c>
      <c r="G1379" s="2">
        <f>E1379-F1379</f>
        <v/>
      </c>
    </row>
    <row r="1380" ht="15" customHeight="1" s="1">
      <c r="A1380" s="2" t="n">
        <v>51378</v>
      </c>
      <c r="B1380" s="2" t="inlineStr">
        <is>
          <t>SKU-0077</t>
        </is>
      </c>
      <c r="C1380" s="2" t="n">
        <v>13</v>
      </c>
      <c r="D1380" s="2">
        <f>VLOOKUP(B1380,Products!$A$2:$D$201,3,FALSE())</f>
        <v/>
      </c>
      <c r="E1380" s="2">
        <f>C1380*D1380</f>
        <v/>
      </c>
      <c r="F1380" s="2">
        <f>C1380*INDEX(Products!$D$2:$D$201,MATCH(B1380,Products!$A$2:$A$201,0))</f>
        <v/>
      </c>
      <c r="G1380" s="2">
        <f>E1380-F1380</f>
        <v/>
      </c>
    </row>
    <row r="1381" ht="15" customHeight="1" s="1">
      <c r="A1381" s="2" t="n">
        <v>51379</v>
      </c>
      <c r="B1381" s="2" t="inlineStr">
        <is>
          <t>SKU-0187</t>
        </is>
      </c>
      <c r="C1381" s="2" t="n">
        <v>10</v>
      </c>
      <c r="D1381" s="2">
        <f>VLOOKUP(B1381,Products!$A$2:$D$201,3,FALSE())</f>
        <v/>
      </c>
      <c r="E1381" s="2">
        <f>C1381*D1381</f>
        <v/>
      </c>
      <c r="F1381" s="2">
        <f>C1381*INDEX(Products!$D$2:$D$201,MATCH(B1381,Products!$A$2:$A$201,0))</f>
        <v/>
      </c>
      <c r="G1381" s="2">
        <f>E1381-F1381</f>
        <v/>
      </c>
    </row>
    <row r="1382" ht="15" customHeight="1" s="1">
      <c r="A1382" s="2" t="n">
        <v>51380</v>
      </c>
      <c r="B1382" s="2" t="inlineStr">
        <is>
          <t>SKU-0015</t>
        </is>
      </c>
      <c r="C1382" s="2" t="n">
        <v>15</v>
      </c>
      <c r="D1382" s="2">
        <f>VLOOKUP(B1382,Products!$A$2:$D$201,3,FALSE())</f>
        <v/>
      </c>
      <c r="E1382" s="2">
        <f>C1382*D1382</f>
        <v/>
      </c>
      <c r="F1382" s="2">
        <f>C1382*INDEX(Products!$D$2:$D$201,MATCH(B1382,Products!$A$2:$A$201,0))</f>
        <v/>
      </c>
      <c r="G1382" s="2">
        <f>E1382-F1382</f>
        <v/>
      </c>
    </row>
    <row r="1383" ht="15" customHeight="1" s="1">
      <c r="A1383" s="2" t="n">
        <v>51381</v>
      </c>
      <c r="B1383" s="2" t="inlineStr">
        <is>
          <t>SKU-0046</t>
        </is>
      </c>
      <c r="C1383" s="2" t="n">
        <v>5</v>
      </c>
      <c r="D1383" s="2">
        <f>VLOOKUP(B1383,Products!$A$2:$D$201,3,FALSE())</f>
        <v/>
      </c>
      <c r="E1383" s="2">
        <f>C1383*D1383</f>
        <v/>
      </c>
      <c r="F1383" s="2">
        <f>C1383*INDEX(Products!$D$2:$D$201,MATCH(B1383,Products!$A$2:$A$201,0))</f>
        <v/>
      </c>
      <c r="G1383" s="2">
        <f>E1383-F1383</f>
        <v/>
      </c>
    </row>
    <row r="1384" ht="15" customHeight="1" s="1">
      <c r="A1384" s="2" t="n">
        <v>51382</v>
      </c>
      <c r="B1384" s="2" t="inlineStr">
        <is>
          <t>SKU-0074</t>
        </is>
      </c>
      <c r="C1384" s="2" t="n">
        <v>5</v>
      </c>
      <c r="D1384" s="2">
        <f>VLOOKUP(B1384,Products!$A$2:$D$201,3,FALSE())</f>
        <v/>
      </c>
      <c r="E1384" s="2">
        <f>C1384*D1384</f>
        <v/>
      </c>
      <c r="F1384" s="2">
        <f>C1384*INDEX(Products!$D$2:$D$201,MATCH(B1384,Products!$A$2:$A$201,0))</f>
        <v/>
      </c>
      <c r="G1384" s="2">
        <f>E1384-F1384</f>
        <v/>
      </c>
    </row>
    <row r="1385" ht="15" customHeight="1" s="1">
      <c r="A1385" s="2" t="n">
        <v>51383</v>
      </c>
      <c r="B1385" s="2" t="inlineStr">
        <is>
          <t>SKU-0088</t>
        </is>
      </c>
      <c r="C1385" s="2" t="n">
        <v>8</v>
      </c>
      <c r="D1385" s="2">
        <f>VLOOKUP(B1385,Products!$A$2:$D$201,3,FALSE())</f>
        <v/>
      </c>
      <c r="E1385" s="2">
        <f>C1385*D1385</f>
        <v/>
      </c>
      <c r="F1385" s="2">
        <f>C1385*INDEX(Products!$D$2:$D$201,MATCH(B1385,Products!$A$2:$A$201,0))</f>
        <v/>
      </c>
      <c r="G1385" s="2">
        <f>E1385-F1385</f>
        <v/>
      </c>
    </row>
    <row r="1386" ht="15" customHeight="1" s="1">
      <c r="A1386" s="2" t="n">
        <v>51384</v>
      </c>
      <c r="B1386" s="2" t="inlineStr">
        <is>
          <t>SKU-0146</t>
        </is>
      </c>
      <c r="C1386" s="2" t="n">
        <v>7</v>
      </c>
      <c r="D1386" s="2">
        <f>VLOOKUP(B1386,Products!$A$2:$D$201,3,FALSE())</f>
        <v/>
      </c>
      <c r="E1386" s="2">
        <f>C1386*D1386</f>
        <v/>
      </c>
      <c r="F1386" s="2">
        <f>C1386*INDEX(Products!$D$2:$D$201,MATCH(B1386,Products!$A$2:$A$201,0))</f>
        <v/>
      </c>
      <c r="G1386" s="2">
        <f>E1386-F1386</f>
        <v/>
      </c>
    </row>
    <row r="1387" ht="15" customHeight="1" s="1">
      <c r="A1387" s="2" t="n">
        <v>51385</v>
      </c>
      <c r="B1387" s="2" t="inlineStr">
        <is>
          <t>SKU-0186</t>
        </is>
      </c>
      <c r="C1387" s="2" t="n">
        <v>15</v>
      </c>
      <c r="D1387" s="2">
        <f>VLOOKUP(B1387,Products!$A$2:$D$201,3,FALSE())</f>
        <v/>
      </c>
      <c r="E1387" s="2">
        <f>C1387*D1387</f>
        <v/>
      </c>
      <c r="F1387" s="2">
        <f>C1387*INDEX(Products!$D$2:$D$201,MATCH(B1387,Products!$A$2:$A$201,0))</f>
        <v/>
      </c>
      <c r="G1387" s="2">
        <f>E1387-F1387</f>
        <v/>
      </c>
    </row>
    <row r="1388" ht="15" customHeight="1" s="1">
      <c r="A1388" s="2" t="n">
        <v>51386</v>
      </c>
      <c r="B1388" s="2" t="inlineStr">
        <is>
          <t>SKU-0180</t>
        </is>
      </c>
      <c r="C1388" s="2" t="n">
        <v>6</v>
      </c>
      <c r="D1388" s="2">
        <f>VLOOKUP(B1388,Products!$A$2:$D$201,3,FALSE())</f>
        <v/>
      </c>
      <c r="E1388" s="2">
        <f>C1388*D1388</f>
        <v/>
      </c>
      <c r="F1388" s="2">
        <f>C1388*INDEX(Products!$D$2:$D$201,MATCH(B1388,Products!$A$2:$A$201,0))</f>
        <v/>
      </c>
      <c r="G1388" s="2">
        <f>E1388-F1388</f>
        <v/>
      </c>
    </row>
    <row r="1389" ht="15" customHeight="1" s="1">
      <c r="A1389" s="2" t="n">
        <v>51387</v>
      </c>
      <c r="B1389" s="2" t="inlineStr">
        <is>
          <t>SKU-0061</t>
        </is>
      </c>
      <c r="C1389" s="2" t="n">
        <v>19</v>
      </c>
      <c r="D1389" s="2">
        <f>VLOOKUP(B1389,Products!$A$2:$D$201,3,FALSE())</f>
        <v/>
      </c>
      <c r="E1389" s="2">
        <f>C1389*D1389</f>
        <v/>
      </c>
      <c r="F1389" s="2">
        <f>C1389*INDEX(Products!$D$2:$D$201,MATCH(B1389,Products!$A$2:$A$201,0))</f>
        <v/>
      </c>
      <c r="G1389" s="2">
        <f>E1389-F1389</f>
        <v/>
      </c>
    </row>
    <row r="1390" ht="15" customHeight="1" s="1">
      <c r="A1390" s="2" t="n">
        <v>51388</v>
      </c>
      <c r="B1390" s="2" t="inlineStr">
        <is>
          <t>SKU-0152</t>
        </is>
      </c>
      <c r="C1390" s="2" t="n">
        <v>19</v>
      </c>
      <c r="D1390" s="2">
        <f>VLOOKUP(B1390,Products!$A$2:$D$201,3,FALSE())</f>
        <v/>
      </c>
      <c r="E1390" s="2">
        <f>C1390*D1390</f>
        <v/>
      </c>
      <c r="F1390" s="2">
        <f>C1390*INDEX(Products!$D$2:$D$201,MATCH(B1390,Products!$A$2:$A$201,0))</f>
        <v/>
      </c>
      <c r="G1390" s="2">
        <f>E1390-F1390</f>
        <v/>
      </c>
    </row>
    <row r="1391" ht="15" customHeight="1" s="1">
      <c r="A1391" s="2" t="n">
        <v>51389</v>
      </c>
      <c r="B1391" s="2" t="inlineStr">
        <is>
          <t>SKU-0125</t>
        </is>
      </c>
      <c r="C1391" s="2" t="n">
        <v>16</v>
      </c>
      <c r="D1391" s="2">
        <f>VLOOKUP(B1391,Products!$A$2:$D$201,3,FALSE())</f>
        <v/>
      </c>
      <c r="E1391" s="2">
        <f>C1391*D1391</f>
        <v/>
      </c>
      <c r="F1391" s="2">
        <f>C1391*INDEX(Products!$D$2:$D$201,MATCH(B1391,Products!$A$2:$A$201,0))</f>
        <v/>
      </c>
      <c r="G1391" s="2">
        <f>E1391-F1391</f>
        <v/>
      </c>
    </row>
    <row r="1392" ht="15" customHeight="1" s="1">
      <c r="A1392" s="2" t="n">
        <v>51390</v>
      </c>
      <c r="B1392" s="2" t="inlineStr">
        <is>
          <t>SKU-0128</t>
        </is>
      </c>
      <c r="C1392" s="2" t="n">
        <v>5</v>
      </c>
      <c r="D1392" s="2">
        <f>VLOOKUP(B1392,Products!$A$2:$D$201,3,FALSE())</f>
        <v/>
      </c>
      <c r="E1392" s="2">
        <f>C1392*D1392</f>
        <v/>
      </c>
      <c r="F1392" s="2">
        <f>C1392*INDEX(Products!$D$2:$D$201,MATCH(B1392,Products!$A$2:$A$201,0))</f>
        <v/>
      </c>
      <c r="G1392" s="2">
        <f>E1392-F1392</f>
        <v/>
      </c>
    </row>
    <row r="1393" ht="15" customHeight="1" s="1">
      <c r="A1393" s="2" t="n">
        <v>51391</v>
      </c>
      <c r="B1393" s="2" t="inlineStr">
        <is>
          <t>SKU-0056</t>
        </is>
      </c>
      <c r="C1393" s="2" t="n">
        <v>8</v>
      </c>
      <c r="D1393" s="2">
        <f>VLOOKUP(B1393,Products!$A$2:$D$201,3,FALSE())</f>
        <v/>
      </c>
      <c r="E1393" s="2">
        <f>C1393*D1393</f>
        <v/>
      </c>
      <c r="F1393" s="2">
        <f>C1393*INDEX(Products!$D$2:$D$201,MATCH(B1393,Products!$A$2:$A$201,0))</f>
        <v/>
      </c>
      <c r="G1393" s="2">
        <f>E1393-F1393</f>
        <v/>
      </c>
    </row>
    <row r="1394" ht="15" customHeight="1" s="1">
      <c r="A1394" s="2" t="n">
        <v>51392</v>
      </c>
      <c r="B1394" s="2" t="inlineStr">
        <is>
          <t>SKU-0150</t>
        </is>
      </c>
      <c r="C1394" s="2" t="n">
        <v>5</v>
      </c>
      <c r="D1394" s="2">
        <f>VLOOKUP(B1394,Products!$A$2:$D$201,3,FALSE())</f>
        <v/>
      </c>
      <c r="E1394" s="2">
        <f>C1394*D1394</f>
        <v/>
      </c>
      <c r="F1394" s="2">
        <f>C1394*INDEX(Products!$D$2:$D$201,MATCH(B1394,Products!$A$2:$A$201,0))</f>
        <v/>
      </c>
      <c r="G1394" s="2">
        <f>E1394-F1394</f>
        <v/>
      </c>
    </row>
    <row r="1395" ht="15" customHeight="1" s="1">
      <c r="A1395" s="2" t="n">
        <v>51393</v>
      </c>
      <c r="B1395" s="2" t="inlineStr">
        <is>
          <t>SKU-0185</t>
        </is>
      </c>
      <c r="C1395" s="2" t="n">
        <v>20</v>
      </c>
      <c r="D1395" s="2">
        <f>VLOOKUP(B1395,Products!$A$2:$D$201,3,FALSE())</f>
        <v/>
      </c>
      <c r="E1395" s="2">
        <f>C1395*D1395</f>
        <v/>
      </c>
      <c r="F1395" s="2">
        <f>C1395*INDEX(Products!$D$2:$D$201,MATCH(B1395,Products!$A$2:$A$201,0))</f>
        <v/>
      </c>
      <c r="G1395" s="2">
        <f>E1395-F1395</f>
        <v/>
      </c>
    </row>
    <row r="1396" ht="15" customHeight="1" s="1">
      <c r="A1396" s="2" t="n">
        <v>51394</v>
      </c>
      <c r="B1396" s="2" t="inlineStr">
        <is>
          <t>SKU-0192</t>
        </is>
      </c>
      <c r="C1396" s="2" t="n">
        <v>10</v>
      </c>
      <c r="D1396" s="2">
        <f>VLOOKUP(B1396,Products!$A$2:$D$201,3,FALSE())</f>
        <v/>
      </c>
      <c r="E1396" s="2">
        <f>C1396*D1396</f>
        <v/>
      </c>
      <c r="F1396" s="2">
        <f>C1396*INDEX(Products!$D$2:$D$201,MATCH(B1396,Products!$A$2:$A$201,0))</f>
        <v/>
      </c>
      <c r="G1396" s="2">
        <f>E1396-F1396</f>
        <v/>
      </c>
    </row>
    <row r="1397" ht="15" customHeight="1" s="1">
      <c r="A1397" s="2" t="n">
        <v>51395</v>
      </c>
      <c r="B1397" s="2" t="inlineStr">
        <is>
          <t>SKU-0136</t>
        </is>
      </c>
      <c r="C1397" s="2" t="n">
        <v>17</v>
      </c>
      <c r="D1397" s="2">
        <f>VLOOKUP(B1397,Products!$A$2:$D$201,3,FALSE())</f>
        <v/>
      </c>
      <c r="E1397" s="2">
        <f>C1397*D1397</f>
        <v/>
      </c>
      <c r="F1397" s="2">
        <f>C1397*INDEX(Products!$D$2:$D$201,MATCH(B1397,Products!$A$2:$A$201,0))</f>
        <v/>
      </c>
      <c r="G1397" s="2">
        <f>E1397-F1397</f>
        <v/>
      </c>
    </row>
    <row r="1398" ht="15" customHeight="1" s="1">
      <c r="A1398" s="2" t="n">
        <v>51396</v>
      </c>
      <c r="B1398" s="2" t="inlineStr">
        <is>
          <t>SKU-0056</t>
        </is>
      </c>
      <c r="C1398" s="2" t="n">
        <v>11</v>
      </c>
      <c r="D1398" s="2">
        <f>VLOOKUP(B1398,Products!$A$2:$D$201,3,FALSE())</f>
        <v/>
      </c>
      <c r="E1398" s="2">
        <f>C1398*D1398</f>
        <v/>
      </c>
      <c r="F1398" s="2">
        <f>C1398*INDEX(Products!$D$2:$D$201,MATCH(B1398,Products!$A$2:$A$201,0))</f>
        <v/>
      </c>
      <c r="G1398" s="2">
        <f>E1398-F1398</f>
        <v/>
      </c>
    </row>
    <row r="1399" ht="15" customHeight="1" s="1">
      <c r="A1399" s="2" t="n">
        <v>51397</v>
      </c>
      <c r="B1399" s="2" t="inlineStr">
        <is>
          <t>SKU-0137</t>
        </is>
      </c>
      <c r="C1399" s="2" t="n">
        <v>14</v>
      </c>
      <c r="D1399" s="2">
        <f>VLOOKUP(B1399,Products!$A$2:$D$201,3,FALSE())</f>
        <v/>
      </c>
      <c r="E1399" s="2">
        <f>C1399*D1399</f>
        <v/>
      </c>
      <c r="F1399" s="2">
        <f>C1399*INDEX(Products!$D$2:$D$201,MATCH(B1399,Products!$A$2:$A$201,0))</f>
        <v/>
      </c>
      <c r="G1399" s="2">
        <f>E1399-F1399</f>
        <v/>
      </c>
    </row>
    <row r="1400" ht="15" customHeight="1" s="1">
      <c r="A1400" s="2" t="n">
        <v>51398</v>
      </c>
      <c r="B1400" s="2" t="inlineStr">
        <is>
          <t>SKU-0134</t>
        </is>
      </c>
      <c r="C1400" s="2" t="n">
        <v>6</v>
      </c>
      <c r="D1400" s="2">
        <f>VLOOKUP(B1400,Products!$A$2:$D$201,3,FALSE())</f>
        <v/>
      </c>
      <c r="E1400" s="2">
        <f>C1400*D1400</f>
        <v/>
      </c>
      <c r="F1400" s="2">
        <f>C1400*INDEX(Products!$D$2:$D$201,MATCH(B1400,Products!$A$2:$A$201,0))</f>
        <v/>
      </c>
      <c r="G1400" s="2">
        <f>E1400-F1400</f>
        <v/>
      </c>
    </row>
    <row r="1401" ht="15" customHeight="1" s="1">
      <c r="A1401" s="2" t="n">
        <v>51399</v>
      </c>
      <c r="B1401" s="2" t="inlineStr">
        <is>
          <t>SKU-0008</t>
        </is>
      </c>
      <c r="C1401" s="2" t="n">
        <v>6</v>
      </c>
      <c r="D1401" s="2">
        <f>VLOOKUP(B1401,Products!$A$2:$D$201,3,FALSE())</f>
        <v/>
      </c>
      <c r="E1401" s="2">
        <f>C1401*D1401</f>
        <v/>
      </c>
      <c r="F1401" s="2">
        <f>C1401*INDEX(Products!$D$2:$D$201,MATCH(B1401,Products!$A$2:$A$201,0))</f>
        <v/>
      </c>
      <c r="G1401" s="2">
        <f>E1401-F1401</f>
        <v/>
      </c>
    </row>
    <row r="1402" ht="15" customHeight="1" s="1">
      <c r="A1402" s="2" t="n">
        <v>51400</v>
      </c>
      <c r="B1402" s="2" t="inlineStr">
        <is>
          <t>SKU-0152</t>
        </is>
      </c>
      <c r="C1402" s="2" t="n">
        <v>10</v>
      </c>
      <c r="D1402" s="2">
        <f>VLOOKUP(B1402,Products!$A$2:$D$201,3,FALSE())</f>
        <v/>
      </c>
      <c r="E1402" s="2">
        <f>C1402*D1402</f>
        <v/>
      </c>
      <c r="F1402" s="2">
        <f>C1402*INDEX(Products!$D$2:$D$201,MATCH(B1402,Products!$A$2:$A$201,0))</f>
        <v/>
      </c>
      <c r="G1402" s="2">
        <f>E1402-F1402</f>
        <v/>
      </c>
    </row>
    <row r="1403" ht="15" customHeight="1" s="1">
      <c r="A1403" s="2" t="n">
        <v>51401</v>
      </c>
      <c r="B1403" s="2" t="inlineStr">
        <is>
          <t>SKU-0125</t>
        </is>
      </c>
      <c r="C1403" s="2" t="n">
        <v>15</v>
      </c>
      <c r="D1403" s="2">
        <f>VLOOKUP(B1403,Products!$A$2:$D$201,3,FALSE())</f>
        <v/>
      </c>
      <c r="E1403" s="2">
        <f>C1403*D1403</f>
        <v/>
      </c>
      <c r="F1403" s="2">
        <f>C1403*INDEX(Products!$D$2:$D$201,MATCH(B1403,Products!$A$2:$A$201,0))</f>
        <v/>
      </c>
      <c r="G1403" s="2">
        <f>E1403-F1403</f>
        <v/>
      </c>
    </row>
    <row r="1404" ht="15" customHeight="1" s="1">
      <c r="A1404" s="2" t="n">
        <v>51402</v>
      </c>
      <c r="B1404" s="2" t="inlineStr">
        <is>
          <t>SKU-0014</t>
        </is>
      </c>
      <c r="C1404" s="2" t="n">
        <v>9</v>
      </c>
      <c r="D1404" s="2">
        <f>VLOOKUP(B1404,Products!$A$2:$D$201,3,FALSE())</f>
        <v/>
      </c>
      <c r="E1404" s="2">
        <f>C1404*D1404</f>
        <v/>
      </c>
      <c r="F1404" s="2">
        <f>C1404*INDEX(Products!$D$2:$D$201,MATCH(B1404,Products!$A$2:$A$201,0))</f>
        <v/>
      </c>
      <c r="G1404" s="2">
        <f>E1404-F1404</f>
        <v/>
      </c>
    </row>
    <row r="1405" ht="15" customHeight="1" s="1">
      <c r="A1405" s="2" t="n">
        <v>51403</v>
      </c>
      <c r="B1405" s="2" t="inlineStr">
        <is>
          <t>SKU-0157</t>
        </is>
      </c>
      <c r="C1405" s="2" t="n">
        <v>9</v>
      </c>
      <c r="D1405" s="2">
        <f>VLOOKUP(B1405,Products!$A$2:$D$201,3,FALSE())</f>
        <v/>
      </c>
      <c r="E1405" s="2">
        <f>C1405*D1405</f>
        <v/>
      </c>
      <c r="F1405" s="2">
        <f>C1405*INDEX(Products!$D$2:$D$201,MATCH(B1405,Products!$A$2:$A$201,0))</f>
        <v/>
      </c>
      <c r="G1405" s="2">
        <f>E1405-F1405</f>
        <v/>
      </c>
    </row>
    <row r="1406" ht="15" customHeight="1" s="1">
      <c r="A1406" s="2" t="n">
        <v>51404</v>
      </c>
      <c r="B1406" s="2" t="inlineStr">
        <is>
          <t>SKU-0125</t>
        </is>
      </c>
      <c r="C1406" s="2" t="n">
        <v>10</v>
      </c>
      <c r="D1406" s="2">
        <f>VLOOKUP(B1406,Products!$A$2:$D$201,3,FALSE())</f>
        <v/>
      </c>
      <c r="E1406" s="2">
        <f>C1406*D1406</f>
        <v/>
      </c>
      <c r="F1406" s="2">
        <f>C1406*INDEX(Products!$D$2:$D$201,MATCH(B1406,Products!$A$2:$A$201,0))</f>
        <v/>
      </c>
      <c r="G1406" s="2">
        <f>E1406-F1406</f>
        <v/>
      </c>
    </row>
    <row r="1407" ht="15" customHeight="1" s="1">
      <c r="A1407" s="2" t="n">
        <v>51405</v>
      </c>
      <c r="B1407" s="2" t="inlineStr">
        <is>
          <t>SKU-0164</t>
        </is>
      </c>
      <c r="C1407" s="2" t="n">
        <v>2</v>
      </c>
      <c r="D1407" s="2">
        <f>VLOOKUP(B1407,Products!$A$2:$D$201,3,FALSE())</f>
        <v/>
      </c>
      <c r="E1407" s="2">
        <f>C1407*D1407</f>
        <v/>
      </c>
      <c r="F1407" s="2">
        <f>C1407*INDEX(Products!$D$2:$D$201,MATCH(B1407,Products!$A$2:$A$201,0))</f>
        <v/>
      </c>
      <c r="G1407" s="2">
        <f>E1407-F1407</f>
        <v/>
      </c>
    </row>
    <row r="1408" ht="15" customHeight="1" s="1">
      <c r="A1408" s="2" t="n">
        <v>51406</v>
      </c>
      <c r="B1408" s="2" t="inlineStr">
        <is>
          <t>SKU-0002</t>
        </is>
      </c>
      <c r="C1408" s="2" t="n">
        <v>3</v>
      </c>
      <c r="D1408" s="2">
        <f>VLOOKUP(B1408,Products!$A$2:$D$201,3,FALSE())</f>
        <v/>
      </c>
      <c r="E1408" s="2">
        <f>C1408*D1408</f>
        <v/>
      </c>
      <c r="F1408" s="2">
        <f>C1408*INDEX(Products!$D$2:$D$201,MATCH(B1408,Products!$A$2:$A$201,0))</f>
        <v/>
      </c>
      <c r="G1408" s="2">
        <f>E1408-F1408</f>
        <v/>
      </c>
    </row>
    <row r="1409" ht="15" customHeight="1" s="1">
      <c r="A1409" s="2" t="n">
        <v>51407</v>
      </c>
      <c r="B1409" s="2" t="inlineStr">
        <is>
          <t>SKU-0184</t>
        </is>
      </c>
      <c r="C1409" s="2" t="n">
        <v>8</v>
      </c>
      <c r="D1409" s="2">
        <f>VLOOKUP(B1409,Products!$A$2:$D$201,3,FALSE())</f>
        <v/>
      </c>
      <c r="E1409" s="2">
        <f>C1409*D1409</f>
        <v/>
      </c>
      <c r="F1409" s="2">
        <f>C1409*INDEX(Products!$D$2:$D$201,MATCH(B1409,Products!$A$2:$A$201,0))</f>
        <v/>
      </c>
      <c r="G1409" s="2">
        <f>E1409-F1409</f>
        <v/>
      </c>
    </row>
    <row r="1410" ht="15" customHeight="1" s="1">
      <c r="A1410" s="2" t="n">
        <v>51408</v>
      </c>
      <c r="B1410" s="2" t="inlineStr">
        <is>
          <t>SKU-0050</t>
        </is>
      </c>
      <c r="C1410" s="2" t="n">
        <v>7</v>
      </c>
      <c r="D1410" s="2">
        <f>VLOOKUP(B1410,Products!$A$2:$D$201,3,FALSE())</f>
        <v/>
      </c>
      <c r="E1410" s="2">
        <f>C1410*D1410</f>
        <v/>
      </c>
      <c r="F1410" s="2">
        <f>C1410*INDEX(Products!$D$2:$D$201,MATCH(B1410,Products!$A$2:$A$201,0))</f>
        <v/>
      </c>
      <c r="G1410" s="2">
        <f>E1410-F1410</f>
        <v/>
      </c>
    </row>
    <row r="1411" ht="15" customHeight="1" s="1">
      <c r="A1411" s="2" t="n">
        <v>51409</v>
      </c>
      <c r="B1411" s="2" t="inlineStr">
        <is>
          <t>SKU-0125</t>
        </is>
      </c>
      <c r="C1411" s="2" t="n">
        <v>9</v>
      </c>
      <c r="D1411" s="2">
        <f>VLOOKUP(B1411,Products!$A$2:$D$201,3,FALSE())</f>
        <v/>
      </c>
      <c r="E1411" s="2">
        <f>C1411*D1411</f>
        <v/>
      </c>
      <c r="F1411" s="2">
        <f>C1411*INDEX(Products!$D$2:$D$201,MATCH(B1411,Products!$A$2:$A$201,0))</f>
        <v/>
      </c>
      <c r="G1411" s="2">
        <f>E1411-F1411</f>
        <v/>
      </c>
    </row>
    <row r="1412" ht="15" customHeight="1" s="1">
      <c r="A1412" s="2" t="n">
        <v>51410</v>
      </c>
      <c r="B1412" s="2" t="inlineStr">
        <is>
          <t>SKU-0052</t>
        </is>
      </c>
      <c r="C1412" s="2" t="n">
        <v>6</v>
      </c>
      <c r="D1412" s="2">
        <f>VLOOKUP(B1412,Products!$A$2:$D$201,3,FALSE())</f>
        <v/>
      </c>
      <c r="E1412" s="2">
        <f>C1412*D1412</f>
        <v/>
      </c>
      <c r="F1412" s="2">
        <f>C1412*INDEX(Products!$D$2:$D$201,MATCH(B1412,Products!$A$2:$A$201,0))</f>
        <v/>
      </c>
      <c r="G1412" s="2">
        <f>E1412-F1412</f>
        <v/>
      </c>
    </row>
    <row r="1413" ht="15" customHeight="1" s="1">
      <c r="A1413" s="2" t="n">
        <v>51411</v>
      </c>
      <c r="B1413" s="2" t="inlineStr">
        <is>
          <t>SKU-0192</t>
        </is>
      </c>
      <c r="C1413" s="2" t="n">
        <v>8</v>
      </c>
      <c r="D1413" s="2">
        <f>VLOOKUP(B1413,Products!$A$2:$D$201,3,FALSE())</f>
        <v/>
      </c>
      <c r="E1413" s="2">
        <f>C1413*D1413</f>
        <v/>
      </c>
      <c r="F1413" s="2">
        <f>C1413*INDEX(Products!$D$2:$D$201,MATCH(B1413,Products!$A$2:$A$201,0))</f>
        <v/>
      </c>
      <c r="G1413" s="2">
        <f>E1413-F1413</f>
        <v/>
      </c>
    </row>
    <row r="1414" ht="15" customHeight="1" s="1">
      <c r="A1414" s="2" t="n">
        <v>51412</v>
      </c>
      <c r="B1414" s="2" t="inlineStr">
        <is>
          <t>SKU-0050</t>
        </is>
      </c>
      <c r="C1414" s="2" t="n">
        <v>11</v>
      </c>
      <c r="D1414" s="2">
        <f>VLOOKUP(B1414,Products!$A$2:$D$201,3,FALSE())</f>
        <v/>
      </c>
      <c r="E1414" s="2">
        <f>C1414*D1414</f>
        <v/>
      </c>
      <c r="F1414" s="2">
        <f>C1414*INDEX(Products!$D$2:$D$201,MATCH(B1414,Products!$A$2:$A$201,0))</f>
        <v/>
      </c>
      <c r="G1414" s="2">
        <f>E1414-F1414</f>
        <v/>
      </c>
    </row>
    <row r="1415" ht="15" customHeight="1" s="1">
      <c r="A1415" s="2" t="n">
        <v>51413</v>
      </c>
      <c r="B1415" s="2" t="inlineStr">
        <is>
          <t>SKU-0047</t>
        </is>
      </c>
      <c r="C1415" s="2" t="n">
        <v>13</v>
      </c>
      <c r="D1415" s="2">
        <f>VLOOKUP(B1415,Products!$A$2:$D$201,3,FALSE())</f>
        <v/>
      </c>
      <c r="E1415" s="2">
        <f>C1415*D1415</f>
        <v/>
      </c>
      <c r="F1415" s="2">
        <f>C1415*INDEX(Products!$D$2:$D$201,MATCH(B1415,Products!$A$2:$A$201,0))</f>
        <v/>
      </c>
      <c r="G1415" s="2">
        <f>E1415-F1415</f>
        <v/>
      </c>
    </row>
    <row r="1416" ht="15" customHeight="1" s="1">
      <c r="A1416" s="2" t="n">
        <v>51414</v>
      </c>
      <c r="B1416" s="2" t="inlineStr">
        <is>
          <t>SKU-0118</t>
        </is>
      </c>
      <c r="C1416" s="2" t="n">
        <v>1</v>
      </c>
      <c r="D1416" s="2">
        <f>VLOOKUP(B1416,Products!$A$2:$D$201,3,FALSE())</f>
        <v/>
      </c>
      <c r="E1416" s="2">
        <f>C1416*D1416</f>
        <v/>
      </c>
      <c r="F1416" s="2">
        <f>C1416*INDEX(Products!$D$2:$D$201,MATCH(B1416,Products!$A$2:$A$201,0))</f>
        <v/>
      </c>
      <c r="G1416" s="2">
        <f>E1416-F1416</f>
        <v/>
      </c>
    </row>
    <row r="1417" ht="15" customHeight="1" s="1">
      <c r="A1417" s="2" t="n">
        <v>51415</v>
      </c>
      <c r="B1417" s="2" t="inlineStr">
        <is>
          <t>SKU-0089</t>
        </is>
      </c>
      <c r="C1417" s="2" t="n">
        <v>6</v>
      </c>
      <c r="D1417" s="2">
        <f>VLOOKUP(B1417,Products!$A$2:$D$201,3,FALSE())</f>
        <v/>
      </c>
      <c r="E1417" s="2">
        <f>C1417*D1417</f>
        <v/>
      </c>
      <c r="F1417" s="2">
        <f>C1417*INDEX(Products!$D$2:$D$201,MATCH(B1417,Products!$A$2:$A$201,0))</f>
        <v/>
      </c>
      <c r="G1417" s="2">
        <f>E1417-F1417</f>
        <v/>
      </c>
    </row>
    <row r="1418" ht="15" customHeight="1" s="1">
      <c r="A1418" s="2" t="n">
        <v>51416</v>
      </c>
      <c r="B1418" s="2" t="inlineStr">
        <is>
          <t>SKU-0031</t>
        </is>
      </c>
      <c r="C1418" s="2" t="n">
        <v>6</v>
      </c>
      <c r="D1418" s="2">
        <f>VLOOKUP(B1418,Products!$A$2:$D$201,3,FALSE())</f>
        <v/>
      </c>
      <c r="E1418" s="2">
        <f>C1418*D1418</f>
        <v/>
      </c>
      <c r="F1418" s="2">
        <f>C1418*INDEX(Products!$D$2:$D$201,MATCH(B1418,Products!$A$2:$A$201,0))</f>
        <v/>
      </c>
      <c r="G1418" s="2">
        <f>E1418-F1418</f>
        <v/>
      </c>
    </row>
    <row r="1419" ht="15" customHeight="1" s="1">
      <c r="A1419" s="2" t="n">
        <v>51417</v>
      </c>
      <c r="B1419" s="2" t="inlineStr">
        <is>
          <t>SKU-0181</t>
        </is>
      </c>
      <c r="C1419" s="2" t="n">
        <v>12</v>
      </c>
      <c r="D1419" s="2">
        <f>VLOOKUP(B1419,Products!$A$2:$D$201,3,FALSE())</f>
        <v/>
      </c>
      <c r="E1419" s="2">
        <f>C1419*D1419</f>
        <v/>
      </c>
      <c r="F1419" s="2">
        <f>C1419*INDEX(Products!$D$2:$D$201,MATCH(B1419,Products!$A$2:$A$201,0))</f>
        <v/>
      </c>
      <c r="G1419" s="2">
        <f>E1419-F1419</f>
        <v/>
      </c>
    </row>
    <row r="1420" ht="15" customHeight="1" s="1">
      <c r="A1420" s="2" t="n">
        <v>51418</v>
      </c>
      <c r="B1420" s="2" t="inlineStr">
        <is>
          <t>SKU-0178</t>
        </is>
      </c>
      <c r="C1420" s="2" t="n">
        <v>20</v>
      </c>
      <c r="D1420" s="2">
        <f>VLOOKUP(B1420,Products!$A$2:$D$201,3,FALSE())</f>
        <v/>
      </c>
      <c r="E1420" s="2">
        <f>C1420*D1420</f>
        <v/>
      </c>
      <c r="F1420" s="2">
        <f>C1420*INDEX(Products!$D$2:$D$201,MATCH(B1420,Products!$A$2:$A$201,0))</f>
        <v/>
      </c>
      <c r="G1420" s="2">
        <f>E1420-F1420</f>
        <v/>
      </c>
    </row>
    <row r="1421" ht="15" customHeight="1" s="1">
      <c r="A1421" s="2" t="n">
        <v>51419</v>
      </c>
      <c r="B1421" s="2" t="inlineStr">
        <is>
          <t>SKU-0101</t>
        </is>
      </c>
      <c r="C1421" s="2" t="n">
        <v>6</v>
      </c>
      <c r="D1421" s="2">
        <f>VLOOKUP(B1421,Products!$A$2:$D$201,3,FALSE())</f>
        <v/>
      </c>
      <c r="E1421" s="2">
        <f>C1421*D1421</f>
        <v/>
      </c>
      <c r="F1421" s="2">
        <f>C1421*INDEX(Products!$D$2:$D$201,MATCH(B1421,Products!$A$2:$A$201,0))</f>
        <v/>
      </c>
      <c r="G1421" s="2">
        <f>E1421-F1421</f>
        <v/>
      </c>
    </row>
    <row r="1422" ht="15" customHeight="1" s="1">
      <c r="A1422" s="2" t="n">
        <v>51420</v>
      </c>
      <c r="B1422" s="2" t="inlineStr">
        <is>
          <t>SKU-0106</t>
        </is>
      </c>
      <c r="C1422" s="2" t="n">
        <v>8</v>
      </c>
      <c r="D1422" s="2">
        <f>VLOOKUP(B1422,Products!$A$2:$D$201,3,FALSE())</f>
        <v/>
      </c>
      <c r="E1422" s="2">
        <f>C1422*D1422</f>
        <v/>
      </c>
      <c r="F1422" s="2">
        <f>C1422*INDEX(Products!$D$2:$D$201,MATCH(B1422,Products!$A$2:$A$201,0))</f>
        <v/>
      </c>
      <c r="G1422" s="2">
        <f>E1422-F1422</f>
        <v/>
      </c>
    </row>
    <row r="1423" ht="15" customHeight="1" s="1">
      <c r="A1423" s="2" t="n">
        <v>51421</v>
      </c>
      <c r="B1423" s="2" t="inlineStr">
        <is>
          <t>SKU-0160</t>
        </is>
      </c>
      <c r="C1423" s="2" t="n">
        <v>19</v>
      </c>
      <c r="D1423" s="2">
        <f>VLOOKUP(B1423,Products!$A$2:$D$201,3,FALSE())</f>
        <v/>
      </c>
      <c r="E1423" s="2">
        <f>C1423*D1423</f>
        <v/>
      </c>
      <c r="F1423" s="2">
        <f>C1423*INDEX(Products!$D$2:$D$201,MATCH(B1423,Products!$A$2:$A$201,0))</f>
        <v/>
      </c>
      <c r="G1423" s="2">
        <f>E1423-F1423</f>
        <v/>
      </c>
    </row>
    <row r="1424" ht="15" customHeight="1" s="1">
      <c r="A1424" s="2" t="n">
        <v>51422</v>
      </c>
      <c r="B1424" s="2" t="inlineStr">
        <is>
          <t>SKU-0135</t>
        </is>
      </c>
      <c r="C1424" s="2" t="n">
        <v>19</v>
      </c>
      <c r="D1424" s="2">
        <f>VLOOKUP(B1424,Products!$A$2:$D$201,3,FALSE())</f>
        <v/>
      </c>
      <c r="E1424" s="2">
        <f>C1424*D1424</f>
        <v/>
      </c>
      <c r="F1424" s="2">
        <f>C1424*INDEX(Products!$D$2:$D$201,MATCH(B1424,Products!$A$2:$A$201,0))</f>
        <v/>
      </c>
      <c r="G1424" s="2">
        <f>E1424-F1424</f>
        <v/>
      </c>
    </row>
    <row r="1425" ht="15" customHeight="1" s="1">
      <c r="A1425" s="2" t="n">
        <v>51423</v>
      </c>
      <c r="B1425" s="2" t="inlineStr">
        <is>
          <t>SKU-0000</t>
        </is>
      </c>
      <c r="C1425" s="2" t="n">
        <v>15</v>
      </c>
      <c r="D1425" s="2">
        <f>VLOOKUP(B1425,Products!$A$2:$D$201,3,FALSE())</f>
        <v/>
      </c>
      <c r="E1425" s="2">
        <f>C1425*D1425</f>
        <v/>
      </c>
      <c r="F1425" s="2">
        <f>C1425*INDEX(Products!$D$2:$D$201,MATCH(B1425,Products!$A$2:$A$201,0))</f>
        <v/>
      </c>
      <c r="G1425" s="2">
        <f>E1425-F1425</f>
        <v/>
      </c>
    </row>
    <row r="1426" ht="15" customHeight="1" s="1">
      <c r="A1426" s="2" t="n">
        <v>51424</v>
      </c>
      <c r="B1426" s="2" t="inlineStr">
        <is>
          <t>SKU-0068</t>
        </is>
      </c>
      <c r="C1426" s="2" t="n">
        <v>8</v>
      </c>
      <c r="D1426" s="2">
        <f>VLOOKUP(B1426,Products!$A$2:$D$201,3,FALSE())</f>
        <v/>
      </c>
      <c r="E1426" s="2">
        <f>C1426*D1426</f>
        <v/>
      </c>
      <c r="F1426" s="2">
        <f>C1426*INDEX(Products!$D$2:$D$201,MATCH(B1426,Products!$A$2:$A$201,0))</f>
        <v/>
      </c>
      <c r="G1426" s="2">
        <f>E1426-F1426</f>
        <v/>
      </c>
    </row>
    <row r="1427" ht="15" customHeight="1" s="1">
      <c r="A1427" s="2" t="n">
        <v>51425</v>
      </c>
      <c r="B1427" s="2" t="inlineStr">
        <is>
          <t>SKU-0104</t>
        </is>
      </c>
      <c r="C1427" s="2" t="n">
        <v>3</v>
      </c>
      <c r="D1427" s="2">
        <f>VLOOKUP(B1427,Products!$A$2:$D$201,3,FALSE())</f>
        <v/>
      </c>
      <c r="E1427" s="2">
        <f>C1427*D1427</f>
        <v/>
      </c>
      <c r="F1427" s="2">
        <f>C1427*INDEX(Products!$D$2:$D$201,MATCH(B1427,Products!$A$2:$A$201,0))</f>
        <v/>
      </c>
      <c r="G1427" s="2">
        <f>E1427-F1427</f>
        <v/>
      </c>
    </row>
    <row r="1428" ht="15" customHeight="1" s="1">
      <c r="A1428" s="2" t="n">
        <v>51426</v>
      </c>
      <c r="B1428" s="2" t="inlineStr">
        <is>
          <t>SKU-0195</t>
        </is>
      </c>
      <c r="C1428" s="2" t="n">
        <v>3</v>
      </c>
      <c r="D1428" s="2">
        <f>VLOOKUP(B1428,Products!$A$2:$D$201,3,FALSE())</f>
        <v/>
      </c>
      <c r="E1428" s="2">
        <f>C1428*D1428</f>
        <v/>
      </c>
      <c r="F1428" s="2">
        <f>C1428*INDEX(Products!$D$2:$D$201,MATCH(B1428,Products!$A$2:$A$201,0))</f>
        <v/>
      </c>
      <c r="G1428" s="2">
        <f>E1428-F1428</f>
        <v/>
      </c>
    </row>
    <row r="1429" ht="15" customHeight="1" s="1">
      <c r="A1429" s="2" t="n">
        <v>51427</v>
      </c>
      <c r="B1429" s="2" t="inlineStr">
        <is>
          <t>SKU-0036</t>
        </is>
      </c>
      <c r="C1429" s="2" t="n">
        <v>20</v>
      </c>
      <c r="D1429" s="2">
        <f>VLOOKUP(B1429,Products!$A$2:$D$201,3,FALSE())</f>
        <v/>
      </c>
      <c r="E1429" s="2">
        <f>C1429*D1429</f>
        <v/>
      </c>
      <c r="F1429" s="2">
        <f>C1429*INDEX(Products!$D$2:$D$201,MATCH(B1429,Products!$A$2:$A$201,0))</f>
        <v/>
      </c>
      <c r="G1429" s="2">
        <f>E1429-F1429</f>
        <v/>
      </c>
    </row>
    <row r="1430" ht="15" customHeight="1" s="1">
      <c r="A1430" s="2" t="n">
        <v>51428</v>
      </c>
      <c r="B1430" s="2" t="inlineStr">
        <is>
          <t>SKU-0174</t>
        </is>
      </c>
      <c r="C1430" s="2" t="n">
        <v>18</v>
      </c>
      <c r="D1430" s="2">
        <f>VLOOKUP(B1430,Products!$A$2:$D$201,3,FALSE())</f>
        <v/>
      </c>
      <c r="E1430" s="2">
        <f>C1430*D1430</f>
        <v/>
      </c>
      <c r="F1430" s="2">
        <f>C1430*INDEX(Products!$D$2:$D$201,MATCH(B1430,Products!$A$2:$A$201,0))</f>
        <v/>
      </c>
      <c r="G1430" s="2">
        <f>E1430-F1430</f>
        <v/>
      </c>
    </row>
    <row r="1431" ht="15" customHeight="1" s="1">
      <c r="A1431" s="2" t="n">
        <v>51429</v>
      </c>
      <c r="B1431" s="2" t="inlineStr">
        <is>
          <t>SKU-0054</t>
        </is>
      </c>
      <c r="C1431" s="2" t="n">
        <v>5</v>
      </c>
      <c r="D1431" s="2">
        <f>VLOOKUP(B1431,Products!$A$2:$D$201,3,FALSE())</f>
        <v/>
      </c>
      <c r="E1431" s="2">
        <f>C1431*D1431</f>
        <v/>
      </c>
      <c r="F1431" s="2">
        <f>C1431*INDEX(Products!$D$2:$D$201,MATCH(B1431,Products!$A$2:$A$201,0))</f>
        <v/>
      </c>
      <c r="G1431" s="2">
        <f>E1431-F1431</f>
        <v/>
      </c>
    </row>
    <row r="1432" ht="15" customHeight="1" s="1">
      <c r="A1432" s="2" t="n">
        <v>51430</v>
      </c>
      <c r="B1432" s="2" t="inlineStr">
        <is>
          <t>SKU-0162</t>
        </is>
      </c>
      <c r="C1432" s="2" t="n">
        <v>14</v>
      </c>
      <c r="D1432" s="2">
        <f>VLOOKUP(B1432,Products!$A$2:$D$201,3,FALSE())</f>
        <v/>
      </c>
      <c r="E1432" s="2">
        <f>C1432*D1432</f>
        <v/>
      </c>
      <c r="F1432" s="2">
        <f>C1432*INDEX(Products!$D$2:$D$201,MATCH(B1432,Products!$A$2:$A$201,0))</f>
        <v/>
      </c>
      <c r="G1432" s="2">
        <f>E1432-F1432</f>
        <v/>
      </c>
    </row>
    <row r="1433" ht="15" customHeight="1" s="1">
      <c r="A1433" s="2" t="n">
        <v>51431</v>
      </c>
      <c r="B1433" s="2" t="inlineStr">
        <is>
          <t>SKU-0053</t>
        </is>
      </c>
      <c r="C1433" s="2" t="n">
        <v>13</v>
      </c>
      <c r="D1433" s="2">
        <f>VLOOKUP(B1433,Products!$A$2:$D$201,3,FALSE())</f>
        <v/>
      </c>
      <c r="E1433" s="2">
        <f>C1433*D1433</f>
        <v/>
      </c>
      <c r="F1433" s="2">
        <f>C1433*INDEX(Products!$D$2:$D$201,MATCH(B1433,Products!$A$2:$A$201,0))</f>
        <v/>
      </c>
      <c r="G1433" s="2">
        <f>E1433-F1433</f>
        <v/>
      </c>
    </row>
    <row r="1434" ht="15" customHeight="1" s="1">
      <c r="A1434" s="2" t="n">
        <v>51432</v>
      </c>
      <c r="B1434" s="2" t="inlineStr">
        <is>
          <t>SKU-0111</t>
        </is>
      </c>
      <c r="C1434" s="2" t="n">
        <v>15</v>
      </c>
      <c r="D1434" s="2">
        <f>VLOOKUP(B1434,Products!$A$2:$D$201,3,FALSE())</f>
        <v/>
      </c>
      <c r="E1434" s="2">
        <f>C1434*D1434</f>
        <v/>
      </c>
      <c r="F1434" s="2">
        <f>C1434*INDEX(Products!$D$2:$D$201,MATCH(B1434,Products!$A$2:$A$201,0))</f>
        <v/>
      </c>
      <c r="G1434" s="2">
        <f>E1434-F1434</f>
        <v/>
      </c>
    </row>
    <row r="1435" ht="15" customHeight="1" s="1">
      <c r="A1435" s="2" t="n">
        <v>51433</v>
      </c>
      <c r="B1435" s="2" t="inlineStr">
        <is>
          <t>SKU-0038</t>
        </is>
      </c>
      <c r="C1435" s="2" t="n">
        <v>6</v>
      </c>
      <c r="D1435" s="2">
        <f>VLOOKUP(B1435,Products!$A$2:$D$201,3,FALSE())</f>
        <v/>
      </c>
      <c r="E1435" s="2">
        <f>C1435*D1435</f>
        <v/>
      </c>
      <c r="F1435" s="2">
        <f>C1435*INDEX(Products!$D$2:$D$201,MATCH(B1435,Products!$A$2:$A$201,0))</f>
        <v/>
      </c>
      <c r="G1435" s="2">
        <f>E1435-F1435</f>
        <v/>
      </c>
    </row>
    <row r="1436" ht="15" customHeight="1" s="1">
      <c r="A1436" s="2" t="n">
        <v>51434</v>
      </c>
      <c r="B1436" s="2" t="inlineStr">
        <is>
          <t>SKU-0115</t>
        </is>
      </c>
      <c r="C1436" s="2" t="n">
        <v>20</v>
      </c>
      <c r="D1436" s="2">
        <f>VLOOKUP(B1436,Products!$A$2:$D$201,3,FALSE())</f>
        <v/>
      </c>
      <c r="E1436" s="2">
        <f>C1436*D1436</f>
        <v/>
      </c>
      <c r="F1436" s="2">
        <f>C1436*INDEX(Products!$D$2:$D$201,MATCH(B1436,Products!$A$2:$A$201,0))</f>
        <v/>
      </c>
      <c r="G1436" s="2">
        <f>E1436-F1436</f>
        <v/>
      </c>
    </row>
    <row r="1437" ht="15" customHeight="1" s="1">
      <c r="A1437" s="2" t="n">
        <v>51435</v>
      </c>
      <c r="B1437" s="2" t="inlineStr">
        <is>
          <t>SKU-0087</t>
        </is>
      </c>
      <c r="C1437" s="2" t="n">
        <v>1</v>
      </c>
      <c r="D1437" s="2">
        <f>VLOOKUP(B1437,Products!$A$2:$D$201,3,FALSE())</f>
        <v/>
      </c>
      <c r="E1437" s="2">
        <f>C1437*D1437</f>
        <v/>
      </c>
      <c r="F1437" s="2">
        <f>C1437*INDEX(Products!$D$2:$D$201,MATCH(B1437,Products!$A$2:$A$201,0))</f>
        <v/>
      </c>
      <c r="G1437" s="2">
        <f>E1437-F1437</f>
        <v/>
      </c>
    </row>
    <row r="1438" ht="15" customHeight="1" s="1">
      <c r="A1438" s="2" t="n">
        <v>51436</v>
      </c>
      <c r="B1438" s="2" t="inlineStr">
        <is>
          <t>SKU-0177</t>
        </is>
      </c>
      <c r="C1438" s="2" t="n">
        <v>9</v>
      </c>
      <c r="D1438" s="2">
        <f>VLOOKUP(B1438,Products!$A$2:$D$201,3,FALSE())</f>
        <v/>
      </c>
      <c r="E1438" s="2">
        <f>C1438*D1438</f>
        <v/>
      </c>
      <c r="F1438" s="2">
        <f>C1438*INDEX(Products!$D$2:$D$201,MATCH(B1438,Products!$A$2:$A$201,0))</f>
        <v/>
      </c>
      <c r="G1438" s="2">
        <f>E1438-F1438</f>
        <v/>
      </c>
    </row>
    <row r="1439" ht="15" customHeight="1" s="1">
      <c r="A1439" s="2" t="n">
        <v>51437</v>
      </c>
      <c r="B1439" s="2" t="inlineStr">
        <is>
          <t>SKU-0070</t>
        </is>
      </c>
      <c r="C1439" s="2" t="n">
        <v>10</v>
      </c>
      <c r="D1439" s="2">
        <f>VLOOKUP(B1439,Products!$A$2:$D$201,3,FALSE())</f>
        <v/>
      </c>
      <c r="E1439" s="2">
        <f>C1439*D1439</f>
        <v/>
      </c>
      <c r="F1439" s="2">
        <f>C1439*INDEX(Products!$D$2:$D$201,MATCH(B1439,Products!$A$2:$A$201,0))</f>
        <v/>
      </c>
      <c r="G1439" s="2">
        <f>E1439-F1439</f>
        <v/>
      </c>
    </row>
    <row r="1440" ht="15" customHeight="1" s="1">
      <c r="A1440" s="2" t="n">
        <v>51438</v>
      </c>
      <c r="B1440" s="2" t="inlineStr">
        <is>
          <t>SKU-0143</t>
        </is>
      </c>
      <c r="C1440" s="2" t="n">
        <v>14</v>
      </c>
      <c r="D1440" s="2">
        <f>VLOOKUP(B1440,Products!$A$2:$D$201,3,FALSE())</f>
        <v/>
      </c>
      <c r="E1440" s="2">
        <f>C1440*D1440</f>
        <v/>
      </c>
      <c r="F1440" s="2">
        <f>C1440*INDEX(Products!$D$2:$D$201,MATCH(B1440,Products!$A$2:$A$201,0))</f>
        <v/>
      </c>
      <c r="G1440" s="2">
        <f>E1440-F1440</f>
        <v/>
      </c>
    </row>
    <row r="1441" ht="15" customHeight="1" s="1">
      <c r="A1441" s="2" t="n">
        <v>51439</v>
      </c>
      <c r="B1441" s="2" t="inlineStr">
        <is>
          <t>SKU-0149</t>
        </is>
      </c>
      <c r="C1441" s="2" t="n">
        <v>4</v>
      </c>
      <c r="D1441" s="2">
        <f>VLOOKUP(B1441,Products!$A$2:$D$201,3,FALSE())</f>
        <v/>
      </c>
      <c r="E1441" s="2">
        <f>C1441*D1441</f>
        <v/>
      </c>
      <c r="F1441" s="2">
        <f>C1441*INDEX(Products!$D$2:$D$201,MATCH(B1441,Products!$A$2:$A$201,0))</f>
        <v/>
      </c>
      <c r="G1441" s="2">
        <f>E1441-F1441</f>
        <v/>
      </c>
    </row>
    <row r="1442" ht="15" customHeight="1" s="1">
      <c r="A1442" s="2" t="n">
        <v>51440</v>
      </c>
      <c r="B1442" s="2" t="inlineStr">
        <is>
          <t>SKU-0014</t>
        </is>
      </c>
      <c r="C1442" s="2" t="n">
        <v>18</v>
      </c>
      <c r="D1442" s="2">
        <f>VLOOKUP(B1442,Products!$A$2:$D$201,3,FALSE())</f>
        <v/>
      </c>
      <c r="E1442" s="2">
        <f>C1442*D1442</f>
        <v/>
      </c>
      <c r="F1442" s="2">
        <f>C1442*INDEX(Products!$D$2:$D$201,MATCH(B1442,Products!$A$2:$A$201,0))</f>
        <v/>
      </c>
      <c r="G1442" s="2">
        <f>E1442-F1442</f>
        <v/>
      </c>
    </row>
    <row r="1443" ht="15" customHeight="1" s="1">
      <c r="A1443" s="2" t="n">
        <v>51441</v>
      </c>
      <c r="B1443" s="2" t="inlineStr">
        <is>
          <t>SKU-0197</t>
        </is>
      </c>
      <c r="C1443" s="2" t="n">
        <v>18</v>
      </c>
      <c r="D1443" s="2">
        <f>VLOOKUP(B1443,Products!$A$2:$D$201,3,FALSE())</f>
        <v/>
      </c>
      <c r="E1443" s="2">
        <f>C1443*D1443</f>
        <v/>
      </c>
      <c r="F1443" s="2">
        <f>C1443*INDEX(Products!$D$2:$D$201,MATCH(B1443,Products!$A$2:$A$201,0))</f>
        <v/>
      </c>
      <c r="G1443" s="2">
        <f>E1443-F1443</f>
        <v/>
      </c>
    </row>
    <row r="1444" ht="15" customHeight="1" s="1">
      <c r="A1444" s="2" t="n">
        <v>51442</v>
      </c>
      <c r="B1444" s="2" t="inlineStr">
        <is>
          <t>SKU-0194</t>
        </is>
      </c>
      <c r="C1444" s="2" t="n">
        <v>12</v>
      </c>
      <c r="D1444" s="2">
        <f>VLOOKUP(B1444,Products!$A$2:$D$201,3,FALSE())</f>
        <v/>
      </c>
      <c r="E1444" s="2">
        <f>C1444*D1444</f>
        <v/>
      </c>
      <c r="F1444" s="2">
        <f>C1444*INDEX(Products!$D$2:$D$201,MATCH(B1444,Products!$A$2:$A$201,0))</f>
        <v/>
      </c>
      <c r="G1444" s="2">
        <f>E1444-F1444</f>
        <v/>
      </c>
    </row>
    <row r="1445" ht="15" customHeight="1" s="1">
      <c r="A1445" s="2" t="n">
        <v>51443</v>
      </c>
      <c r="B1445" s="2" t="inlineStr">
        <is>
          <t>SKU-0075</t>
        </is>
      </c>
      <c r="C1445" s="2" t="n">
        <v>11</v>
      </c>
      <c r="D1445" s="2">
        <f>VLOOKUP(B1445,Products!$A$2:$D$201,3,FALSE())</f>
        <v/>
      </c>
      <c r="E1445" s="2">
        <f>C1445*D1445</f>
        <v/>
      </c>
      <c r="F1445" s="2">
        <f>C1445*INDEX(Products!$D$2:$D$201,MATCH(B1445,Products!$A$2:$A$201,0))</f>
        <v/>
      </c>
      <c r="G1445" s="2">
        <f>E1445-F1445</f>
        <v/>
      </c>
    </row>
    <row r="1446" ht="15" customHeight="1" s="1">
      <c r="A1446" s="2" t="n">
        <v>51444</v>
      </c>
      <c r="B1446" s="2" t="inlineStr">
        <is>
          <t>SKU-0184</t>
        </is>
      </c>
      <c r="C1446" s="2" t="n">
        <v>3</v>
      </c>
      <c r="D1446" s="2">
        <f>VLOOKUP(B1446,Products!$A$2:$D$201,3,FALSE())</f>
        <v/>
      </c>
      <c r="E1446" s="2">
        <f>C1446*D1446</f>
        <v/>
      </c>
      <c r="F1446" s="2">
        <f>C1446*INDEX(Products!$D$2:$D$201,MATCH(B1446,Products!$A$2:$A$201,0))</f>
        <v/>
      </c>
      <c r="G1446" s="2">
        <f>E1446-F1446</f>
        <v/>
      </c>
    </row>
    <row r="1447" ht="15" customHeight="1" s="1">
      <c r="A1447" s="2" t="n">
        <v>51445</v>
      </c>
      <c r="B1447" s="2" t="inlineStr">
        <is>
          <t>SKU-0029</t>
        </is>
      </c>
      <c r="C1447" s="2" t="n">
        <v>5</v>
      </c>
      <c r="D1447" s="2">
        <f>VLOOKUP(B1447,Products!$A$2:$D$201,3,FALSE())</f>
        <v/>
      </c>
      <c r="E1447" s="2">
        <f>C1447*D1447</f>
        <v/>
      </c>
      <c r="F1447" s="2">
        <f>C1447*INDEX(Products!$D$2:$D$201,MATCH(B1447,Products!$A$2:$A$201,0))</f>
        <v/>
      </c>
      <c r="G1447" s="2">
        <f>E1447-F1447</f>
        <v/>
      </c>
    </row>
    <row r="1448" ht="15" customHeight="1" s="1">
      <c r="A1448" s="2" t="n">
        <v>51446</v>
      </c>
      <c r="B1448" s="2" t="inlineStr">
        <is>
          <t>SKU-0139</t>
        </is>
      </c>
      <c r="C1448" s="2" t="n">
        <v>12</v>
      </c>
      <c r="D1448" s="2">
        <f>VLOOKUP(B1448,Products!$A$2:$D$201,3,FALSE())</f>
        <v/>
      </c>
      <c r="E1448" s="2">
        <f>C1448*D1448</f>
        <v/>
      </c>
      <c r="F1448" s="2">
        <f>C1448*INDEX(Products!$D$2:$D$201,MATCH(B1448,Products!$A$2:$A$201,0))</f>
        <v/>
      </c>
      <c r="G1448" s="2">
        <f>E1448-F1448</f>
        <v/>
      </c>
    </row>
    <row r="1449" ht="15" customHeight="1" s="1">
      <c r="A1449" s="2" t="n">
        <v>51447</v>
      </c>
      <c r="B1449" s="2" t="inlineStr">
        <is>
          <t>SKU-0120</t>
        </is>
      </c>
      <c r="C1449" s="2" t="n">
        <v>10</v>
      </c>
      <c r="D1449" s="2">
        <f>VLOOKUP(B1449,Products!$A$2:$D$201,3,FALSE())</f>
        <v/>
      </c>
      <c r="E1449" s="2">
        <f>C1449*D1449</f>
        <v/>
      </c>
      <c r="F1449" s="2">
        <f>C1449*INDEX(Products!$D$2:$D$201,MATCH(B1449,Products!$A$2:$A$201,0))</f>
        <v/>
      </c>
      <c r="G1449" s="2">
        <f>E1449-F1449</f>
        <v/>
      </c>
    </row>
    <row r="1450" ht="15" customHeight="1" s="1">
      <c r="A1450" s="2" t="n">
        <v>51448</v>
      </c>
      <c r="B1450" s="2" t="inlineStr">
        <is>
          <t>SKU-0055</t>
        </is>
      </c>
      <c r="C1450" s="2" t="n">
        <v>3</v>
      </c>
      <c r="D1450" s="2">
        <f>VLOOKUP(B1450,Products!$A$2:$D$201,3,FALSE())</f>
        <v/>
      </c>
      <c r="E1450" s="2">
        <f>C1450*D1450</f>
        <v/>
      </c>
      <c r="F1450" s="2">
        <f>C1450*INDEX(Products!$D$2:$D$201,MATCH(B1450,Products!$A$2:$A$201,0))</f>
        <v/>
      </c>
      <c r="G1450" s="2">
        <f>E1450-F1450</f>
        <v/>
      </c>
    </row>
    <row r="1451" ht="15" customHeight="1" s="1">
      <c r="A1451" s="2" t="n">
        <v>51449</v>
      </c>
      <c r="B1451" s="2" t="inlineStr">
        <is>
          <t>SKU-0011</t>
        </is>
      </c>
      <c r="C1451" s="2" t="n">
        <v>14</v>
      </c>
      <c r="D1451" s="2">
        <f>VLOOKUP(B1451,Products!$A$2:$D$201,3,FALSE())</f>
        <v/>
      </c>
      <c r="E1451" s="2">
        <f>C1451*D1451</f>
        <v/>
      </c>
      <c r="F1451" s="2">
        <f>C1451*INDEX(Products!$D$2:$D$201,MATCH(B1451,Products!$A$2:$A$201,0))</f>
        <v/>
      </c>
      <c r="G1451" s="2">
        <f>E1451-F1451</f>
        <v/>
      </c>
    </row>
    <row r="1452" ht="15" customHeight="1" s="1">
      <c r="A1452" s="2" t="n">
        <v>51450</v>
      </c>
      <c r="B1452" s="2" t="inlineStr">
        <is>
          <t>SKU-0048</t>
        </is>
      </c>
      <c r="C1452" s="2" t="n">
        <v>8</v>
      </c>
      <c r="D1452" s="2">
        <f>VLOOKUP(B1452,Products!$A$2:$D$201,3,FALSE())</f>
        <v/>
      </c>
      <c r="E1452" s="2">
        <f>C1452*D1452</f>
        <v/>
      </c>
      <c r="F1452" s="2">
        <f>C1452*INDEX(Products!$D$2:$D$201,MATCH(B1452,Products!$A$2:$A$201,0))</f>
        <v/>
      </c>
      <c r="G1452" s="2">
        <f>E1452-F1452</f>
        <v/>
      </c>
    </row>
    <row r="1453" ht="15" customHeight="1" s="1">
      <c r="A1453" s="2" t="n">
        <v>51451</v>
      </c>
      <c r="B1453" s="2" t="inlineStr">
        <is>
          <t>SKU-0128</t>
        </is>
      </c>
      <c r="C1453" s="2" t="n">
        <v>6</v>
      </c>
      <c r="D1453" s="2">
        <f>VLOOKUP(B1453,Products!$A$2:$D$201,3,FALSE())</f>
        <v/>
      </c>
      <c r="E1453" s="2">
        <f>C1453*D1453</f>
        <v/>
      </c>
      <c r="F1453" s="2">
        <f>C1453*INDEX(Products!$D$2:$D$201,MATCH(B1453,Products!$A$2:$A$201,0))</f>
        <v/>
      </c>
      <c r="G1453" s="2">
        <f>E1453-F1453</f>
        <v/>
      </c>
    </row>
    <row r="1454" ht="15" customHeight="1" s="1">
      <c r="A1454" s="2" t="n">
        <v>51452</v>
      </c>
      <c r="B1454" s="2" t="inlineStr">
        <is>
          <t>SKU-0084</t>
        </is>
      </c>
      <c r="C1454" s="2" t="n">
        <v>4</v>
      </c>
      <c r="D1454" s="2">
        <f>VLOOKUP(B1454,Products!$A$2:$D$201,3,FALSE())</f>
        <v/>
      </c>
      <c r="E1454" s="2">
        <f>C1454*D1454</f>
        <v/>
      </c>
      <c r="F1454" s="2">
        <f>C1454*INDEX(Products!$D$2:$D$201,MATCH(B1454,Products!$A$2:$A$201,0))</f>
        <v/>
      </c>
      <c r="G1454" s="2">
        <f>E1454-F1454</f>
        <v/>
      </c>
    </row>
    <row r="1455" ht="15" customHeight="1" s="1">
      <c r="A1455" s="2" t="n">
        <v>51453</v>
      </c>
      <c r="B1455" s="2" t="inlineStr">
        <is>
          <t>SKU-0005</t>
        </is>
      </c>
      <c r="C1455" s="2" t="n">
        <v>1</v>
      </c>
      <c r="D1455" s="2">
        <f>VLOOKUP(B1455,Products!$A$2:$D$201,3,FALSE())</f>
        <v/>
      </c>
      <c r="E1455" s="2">
        <f>C1455*D1455</f>
        <v/>
      </c>
      <c r="F1455" s="2">
        <f>C1455*INDEX(Products!$D$2:$D$201,MATCH(B1455,Products!$A$2:$A$201,0))</f>
        <v/>
      </c>
      <c r="G1455" s="2">
        <f>E1455-F1455</f>
        <v/>
      </c>
    </row>
    <row r="1456" ht="15" customHeight="1" s="1">
      <c r="A1456" s="2" t="n">
        <v>51454</v>
      </c>
      <c r="B1456" s="2" t="inlineStr">
        <is>
          <t>SKU-0020</t>
        </is>
      </c>
      <c r="C1456" s="2" t="n">
        <v>2</v>
      </c>
      <c r="D1456" s="2">
        <f>VLOOKUP(B1456,Products!$A$2:$D$201,3,FALSE())</f>
        <v/>
      </c>
      <c r="E1456" s="2">
        <f>C1456*D1456</f>
        <v/>
      </c>
      <c r="F1456" s="2">
        <f>C1456*INDEX(Products!$D$2:$D$201,MATCH(B1456,Products!$A$2:$A$201,0))</f>
        <v/>
      </c>
      <c r="G1456" s="2">
        <f>E1456-F1456</f>
        <v/>
      </c>
    </row>
    <row r="1457" ht="15" customHeight="1" s="1">
      <c r="A1457" s="2" t="n">
        <v>51455</v>
      </c>
      <c r="B1457" s="2" t="inlineStr">
        <is>
          <t>SKU-0091</t>
        </is>
      </c>
      <c r="C1457" s="2" t="n">
        <v>9</v>
      </c>
      <c r="D1457" s="2">
        <f>VLOOKUP(B1457,Products!$A$2:$D$201,3,FALSE())</f>
        <v/>
      </c>
      <c r="E1457" s="2">
        <f>C1457*D1457</f>
        <v/>
      </c>
      <c r="F1457" s="2">
        <f>C1457*INDEX(Products!$D$2:$D$201,MATCH(B1457,Products!$A$2:$A$201,0))</f>
        <v/>
      </c>
      <c r="G1457" s="2">
        <f>E1457-F1457</f>
        <v/>
      </c>
    </row>
    <row r="1458" ht="15" customHeight="1" s="1">
      <c r="A1458" s="2" t="n">
        <v>51456</v>
      </c>
      <c r="B1458" s="2" t="inlineStr">
        <is>
          <t>SKU-0107</t>
        </is>
      </c>
      <c r="C1458" s="2" t="n">
        <v>10</v>
      </c>
      <c r="D1458" s="2">
        <f>VLOOKUP(B1458,Products!$A$2:$D$201,3,FALSE())</f>
        <v/>
      </c>
      <c r="E1458" s="2">
        <f>C1458*D1458</f>
        <v/>
      </c>
      <c r="F1458" s="2">
        <f>C1458*INDEX(Products!$D$2:$D$201,MATCH(B1458,Products!$A$2:$A$201,0))</f>
        <v/>
      </c>
      <c r="G1458" s="2">
        <f>E1458-F1458</f>
        <v/>
      </c>
    </row>
    <row r="1459" ht="15" customHeight="1" s="1">
      <c r="A1459" s="2" t="n">
        <v>51457</v>
      </c>
      <c r="B1459" s="2" t="inlineStr">
        <is>
          <t>SKU-0030</t>
        </is>
      </c>
      <c r="C1459" s="2" t="n">
        <v>1</v>
      </c>
      <c r="D1459" s="2">
        <f>VLOOKUP(B1459,Products!$A$2:$D$201,3,FALSE())</f>
        <v/>
      </c>
      <c r="E1459" s="2">
        <f>C1459*D1459</f>
        <v/>
      </c>
      <c r="F1459" s="2">
        <f>C1459*INDEX(Products!$D$2:$D$201,MATCH(B1459,Products!$A$2:$A$201,0))</f>
        <v/>
      </c>
      <c r="G1459" s="2">
        <f>E1459-F1459</f>
        <v/>
      </c>
    </row>
    <row r="1460" ht="15" customHeight="1" s="1">
      <c r="A1460" s="2" t="n">
        <v>51458</v>
      </c>
      <c r="B1460" s="2" t="inlineStr">
        <is>
          <t>SKU-0109</t>
        </is>
      </c>
      <c r="C1460" s="2" t="n">
        <v>20</v>
      </c>
      <c r="D1460" s="2">
        <f>VLOOKUP(B1460,Products!$A$2:$D$201,3,FALSE())</f>
        <v/>
      </c>
      <c r="E1460" s="2">
        <f>C1460*D1460</f>
        <v/>
      </c>
      <c r="F1460" s="2">
        <f>C1460*INDEX(Products!$D$2:$D$201,MATCH(B1460,Products!$A$2:$A$201,0))</f>
        <v/>
      </c>
      <c r="G1460" s="2">
        <f>E1460-F1460</f>
        <v/>
      </c>
    </row>
    <row r="1461" ht="15" customHeight="1" s="1">
      <c r="A1461" s="2" t="n">
        <v>51459</v>
      </c>
      <c r="B1461" s="2" t="inlineStr">
        <is>
          <t>SKU-0129</t>
        </is>
      </c>
      <c r="C1461" s="2" t="n">
        <v>11</v>
      </c>
      <c r="D1461" s="2">
        <f>VLOOKUP(B1461,Products!$A$2:$D$201,3,FALSE())</f>
        <v/>
      </c>
      <c r="E1461" s="2">
        <f>C1461*D1461</f>
        <v/>
      </c>
      <c r="F1461" s="2">
        <f>C1461*INDEX(Products!$D$2:$D$201,MATCH(B1461,Products!$A$2:$A$201,0))</f>
        <v/>
      </c>
      <c r="G1461" s="2">
        <f>E1461-F1461</f>
        <v/>
      </c>
    </row>
    <row r="1462" ht="15" customHeight="1" s="1">
      <c r="A1462" s="2" t="n">
        <v>51460</v>
      </c>
      <c r="B1462" s="2" t="inlineStr">
        <is>
          <t>SKU-0014</t>
        </is>
      </c>
      <c r="C1462" s="2" t="n">
        <v>20</v>
      </c>
      <c r="D1462" s="2">
        <f>VLOOKUP(B1462,Products!$A$2:$D$201,3,FALSE())</f>
        <v/>
      </c>
      <c r="E1462" s="2">
        <f>C1462*D1462</f>
        <v/>
      </c>
      <c r="F1462" s="2">
        <f>C1462*INDEX(Products!$D$2:$D$201,MATCH(B1462,Products!$A$2:$A$201,0))</f>
        <v/>
      </c>
      <c r="G1462" s="2">
        <f>E1462-F1462</f>
        <v/>
      </c>
    </row>
    <row r="1463" ht="15" customHeight="1" s="1">
      <c r="A1463" s="2" t="n">
        <v>51461</v>
      </c>
      <c r="B1463" s="2" t="inlineStr">
        <is>
          <t>SKU-0138</t>
        </is>
      </c>
      <c r="C1463" s="2" t="n">
        <v>1</v>
      </c>
      <c r="D1463" s="2">
        <f>VLOOKUP(B1463,Products!$A$2:$D$201,3,FALSE())</f>
        <v/>
      </c>
      <c r="E1463" s="2">
        <f>C1463*D1463</f>
        <v/>
      </c>
      <c r="F1463" s="2">
        <f>C1463*INDEX(Products!$D$2:$D$201,MATCH(B1463,Products!$A$2:$A$201,0))</f>
        <v/>
      </c>
      <c r="G1463" s="2">
        <f>E1463-F1463</f>
        <v/>
      </c>
    </row>
    <row r="1464" ht="15" customHeight="1" s="1">
      <c r="A1464" s="2" t="n">
        <v>51462</v>
      </c>
      <c r="B1464" s="2" t="inlineStr">
        <is>
          <t>SKU-0007</t>
        </is>
      </c>
      <c r="C1464" s="2" t="n">
        <v>10</v>
      </c>
      <c r="D1464" s="2">
        <f>VLOOKUP(B1464,Products!$A$2:$D$201,3,FALSE())</f>
        <v/>
      </c>
      <c r="E1464" s="2">
        <f>C1464*D1464</f>
        <v/>
      </c>
      <c r="F1464" s="2">
        <f>C1464*INDEX(Products!$D$2:$D$201,MATCH(B1464,Products!$A$2:$A$201,0))</f>
        <v/>
      </c>
      <c r="G1464" s="2">
        <f>E1464-F1464</f>
        <v/>
      </c>
    </row>
    <row r="1465" ht="15" customHeight="1" s="1">
      <c r="A1465" s="2" t="n">
        <v>51463</v>
      </c>
      <c r="B1465" s="2" t="inlineStr">
        <is>
          <t>SKU-0095</t>
        </is>
      </c>
      <c r="C1465" s="2" t="n">
        <v>6</v>
      </c>
      <c r="D1465" s="2">
        <f>VLOOKUP(B1465,Products!$A$2:$D$201,3,FALSE())</f>
        <v/>
      </c>
      <c r="E1465" s="2">
        <f>C1465*D1465</f>
        <v/>
      </c>
      <c r="F1465" s="2">
        <f>C1465*INDEX(Products!$D$2:$D$201,MATCH(B1465,Products!$A$2:$A$201,0))</f>
        <v/>
      </c>
      <c r="G1465" s="2">
        <f>E1465-F1465</f>
        <v/>
      </c>
    </row>
    <row r="1466" ht="15" customHeight="1" s="1">
      <c r="A1466" s="2" t="n">
        <v>51464</v>
      </c>
      <c r="B1466" s="2" t="inlineStr">
        <is>
          <t>SKU-0104</t>
        </is>
      </c>
      <c r="C1466" s="2" t="n">
        <v>12</v>
      </c>
      <c r="D1466" s="2">
        <f>VLOOKUP(B1466,Products!$A$2:$D$201,3,FALSE())</f>
        <v/>
      </c>
      <c r="E1466" s="2">
        <f>C1466*D1466</f>
        <v/>
      </c>
      <c r="F1466" s="2">
        <f>C1466*INDEX(Products!$D$2:$D$201,MATCH(B1466,Products!$A$2:$A$201,0))</f>
        <v/>
      </c>
      <c r="G1466" s="2">
        <f>E1466-F1466</f>
        <v/>
      </c>
    </row>
    <row r="1467" ht="15" customHeight="1" s="1">
      <c r="A1467" s="2" t="n">
        <v>51465</v>
      </c>
      <c r="B1467" s="2" t="inlineStr">
        <is>
          <t>SKU-0156</t>
        </is>
      </c>
      <c r="C1467" s="2" t="n">
        <v>11</v>
      </c>
      <c r="D1467" s="2">
        <f>VLOOKUP(B1467,Products!$A$2:$D$201,3,FALSE())</f>
        <v/>
      </c>
      <c r="E1467" s="2">
        <f>C1467*D1467</f>
        <v/>
      </c>
      <c r="F1467" s="2">
        <f>C1467*INDEX(Products!$D$2:$D$201,MATCH(B1467,Products!$A$2:$A$201,0))</f>
        <v/>
      </c>
      <c r="G1467" s="2">
        <f>E1467-F1467</f>
        <v/>
      </c>
    </row>
    <row r="1468" ht="15" customHeight="1" s="1">
      <c r="A1468" s="2" t="n">
        <v>51466</v>
      </c>
      <c r="B1468" s="2" t="inlineStr">
        <is>
          <t>SKU-0091</t>
        </is>
      </c>
      <c r="C1468" s="2" t="n">
        <v>4</v>
      </c>
      <c r="D1468" s="2">
        <f>VLOOKUP(B1468,Products!$A$2:$D$201,3,FALSE())</f>
        <v/>
      </c>
      <c r="E1468" s="2">
        <f>C1468*D1468</f>
        <v/>
      </c>
      <c r="F1468" s="2">
        <f>C1468*INDEX(Products!$D$2:$D$201,MATCH(B1468,Products!$A$2:$A$201,0))</f>
        <v/>
      </c>
      <c r="G1468" s="2">
        <f>E1468-F1468</f>
        <v/>
      </c>
    </row>
    <row r="1469" ht="15" customHeight="1" s="1">
      <c r="A1469" s="2" t="n">
        <v>51467</v>
      </c>
      <c r="B1469" s="2" t="inlineStr">
        <is>
          <t>SKU-0140</t>
        </is>
      </c>
      <c r="C1469" s="2" t="n">
        <v>8</v>
      </c>
      <c r="D1469" s="2">
        <f>VLOOKUP(B1469,Products!$A$2:$D$201,3,FALSE())</f>
        <v/>
      </c>
      <c r="E1469" s="2">
        <f>C1469*D1469</f>
        <v/>
      </c>
      <c r="F1469" s="2">
        <f>C1469*INDEX(Products!$D$2:$D$201,MATCH(B1469,Products!$A$2:$A$201,0))</f>
        <v/>
      </c>
      <c r="G1469" s="2">
        <f>E1469-F1469</f>
        <v/>
      </c>
    </row>
    <row r="1470" ht="15" customHeight="1" s="1">
      <c r="A1470" s="2" t="n">
        <v>51468</v>
      </c>
      <c r="B1470" s="2" t="inlineStr">
        <is>
          <t>SKU-0088</t>
        </is>
      </c>
      <c r="C1470" s="2" t="n">
        <v>6</v>
      </c>
      <c r="D1470" s="2">
        <f>VLOOKUP(B1470,Products!$A$2:$D$201,3,FALSE())</f>
        <v/>
      </c>
      <c r="E1470" s="2">
        <f>C1470*D1470</f>
        <v/>
      </c>
      <c r="F1470" s="2">
        <f>C1470*INDEX(Products!$D$2:$D$201,MATCH(B1470,Products!$A$2:$A$201,0))</f>
        <v/>
      </c>
      <c r="G1470" s="2">
        <f>E1470-F1470</f>
        <v/>
      </c>
    </row>
    <row r="1471" ht="15" customHeight="1" s="1">
      <c r="A1471" s="2" t="n">
        <v>51469</v>
      </c>
      <c r="B1471" s="2" t="inlineStr">
        <is>
          <t>SKU-0170</t>
        </is>
      </c>
      <c r="C1471" s="2" t="n">
        <v>14</v>
      </c>
      <c r="D1471" s="2">
        <f>VLOOKUP(B1471,Products!$A$2:$D$201,3,FALSE())</f>
        <v/>
      </c>
      <c r="E1471" s="2">
        <f>C1471*D1471</f>
        <v/>
      </c>
      <c r="F1471" s="2">
        <f>C1471*INDEX(Products!$D$2:$D$201,MATCH(B1471,Products!$A$2:$A$201,0))</f>
        <v/>
      </c>
      <c r="G1471" s="2">
        <f>E1471-F1471</f>
        <v/>
      </c>
    </row>
    <row r="1472" ht="15" customHeight="1" s="1">
      <c r="A1472" s="2" t="n">
        <v>51470</v>
      </c>
      <c r="B1472" s="2" t="inlineStr">
        <is>
          <t>SKU-0050</t>
        </is>
      </c>
      <c r="C1472" s="2" t="n">
        <v>20</v>
      </c>
      <c r="D1472" s="2">
        <f>VLOOKUP(B1472,Products!$A$2:$D$201,3,FALSE())</f>
        <v/>
      </c>
      <c r="E1472" s="2">
        <f>C1472*D1472</f>
        <v/>
      </c>
      <c r="F1472" s="2">
        <f>C1472*INDEX(Products!$D$2:$D$201,MATCH(B1472,Products!$A$2:$A$201,0))</f>
        <v/>
      </c>
      <c r="G1472" s="2">
        <f>E1472-F1472</f>
        <v/>
      </c>
    </row>
    <row r="1473" ht="15" customHeight="1" s="1">
      <c r="A1473" s="2" t="n">
        <v>51471</v>
      </c>
      <c r="B1473" s="2" t="inlineStr">
        <is>
          <t>SKU-0050</t>
        </is>
      </c>
      <c r="C1473" s="2" t="n">
        <v>17</v>
      </c>
      <c r="D1473" s="2">
        <f>VLOOKUP(B1473,Products!$A$2:$D$201,3,FALSE())</f>
        <v/>
      </c>
      <c r="E1473" s="2">
        <f>C1473*D1473</f>
        <v/>
      </c>
      <c r="F1473" s="2">
        <f>C1473*INDEX(Products!$D$2:$D$201,MATCH(B1473,Products!$A$2:$A$201,0))</f>
        <v/>
      </c>
      <c r="G1473" s="2">
        <f>E1473-F1473</f>
        <v/>
      </c>
    </row>
    <row r="1474" ht="15" customHeight="1" s="1">
      <c r="A1474" s="2" t="n">
        <v>51472</v>
      </c>
      <c r="B1474" s="2" t="inlineStr">
        <is>
          <t>SKU-0123</t>
        </is>
      </c>
      <c r="C1474" s="2" t="n">
        <v>9</v>
      </c>
      <c r="D1474" s="2">
        <f>VLOOKUP(B1474,Products!$A$2:$D$201,3,FALSE())</f>
        <v/>
      </c>
      <c r="E1474" s="2">
        <f>C1474*D1474</f>
        <v/>
      </c>
      <c r="F1474" s="2">
        <f>C1474*INDEX(Products!$D$2:$D$201,MATCH(B1474,Products!$A$2:$A$201,0))</f>
        <v/>
      </c>
      <c r="G1474" s="2">
        <f>E1474-F1474</f>
        <v/>
      </c>
    </row>
    <row r="1475" ht="15" customHeight="1" s="1">
      <c r="A1475" s="2" t="n">
        <v>51473</v>
      </c>
      <c r="B1475" s="2" t="inlineStr">
        <is>
          <t>SKU-0083</t>
        </is>
      </c>
      <c r="C1475" s="2" t="n">
        <v>15</v>
      </c>
      <c r="D1475" s="2">
        <f>VLOOKUP(B1475,Products!$A$2:$D$201,3,FALSE())</f>
        <v/>
      </c>
      <c r="E1475" s="2">
        <f>C1475*D1475</f>
        <v/>
      </c>
      <c r="F1475" s="2">
        <f>C1475*INDEX(Products!$D$2:$D$201,MATCH(B1475,Products!$A$2:$A$201,0))</f>
        <v/>
      </c>
      <c r="G1475" s="2">
        <f>E1475-F1475</f>
        <v/>
      </c>
    </row>
    <row r="1476" ht="15" customHeight="1" s="1">
      <c r="A1476" s="2" t="n">
        <v>51474</v>
      </c>
      <c r="B1476" s="2" t="inlineStr">
        <is>
          <t>SKU-0122</t>
        </is>
      </c>
      <c r="C1476" s="2" t="n">
        <v>20</v>
      </c>
      <c r="D1476" s="2">
        <f>VLOOKUP(B1476,Products!$A$2:$D$201,3,FALSE())</f>
        <v/>
      </c>
      <c r="E1476" s="2">
        <f>C1476*D1476</f>
        <v/>
      </c>
      <c r="F1476" s="2">
        <f>C1476*INDEX(Products!$D$2:$D$201,MATCH(B1476,Products!$A$2:$A$201,0))</f>
        <v/>
      </c>
      <c r="G1476" s="2">
        <f>E1476-F1476</f>
        <v/>
      </c>
    </row>
    <row r="1477" ht="15" customHeight="1" s="1">
      <c r="A1477" s="2" t="n">
        <v>51475</v>
      </c>
      <c r="B1477" s="2" t="inlineStr">
        <is>
          <t>SKU-0157</t>
        </is>
      </c>
      <c r="C1477" s="2" t="n">
        <v>14</v>
      </c>
      <c r="D1477" s="2">
        <f>VLOOKUP(B1477,Products!$A$2:$D$201,3,FALSE())</f>
        <v/>
      </c>
      <c r="E1477" s="2">
        <f>C1477*D1477</f>
        <v/>
      </c>
      <c r="F1477" s="2">
        <f>C1477*INDEX(Products!$D$2:$D$201,MATCH(B1477,Products!$A$2:$A$201,0))</f>
        <v/>
      </c>
      <c r="G1477" s="2">
        <f>E1477-F1477</f>
        <v/>
      </c>
    </row>
    <row r="1478" ht="15" customHeight="1" s="1">
      <c r="A1478" s="2" t="n">
        <v>51476</v>
      </c>
      <c r="B1478" s="2" t="inlineStr">
        <is>
          <t>SKU-0064</t>
        </is>
      </c>
      <c r="C1478" s="2" t="n">
        <v>9</v>
      </c>
      <c r="D1478" s="2">
        <f>VLOOKUP(B1478,Products!$A$2:$D$201,3,FALSE())</f>
        <v/>
      </c>
      <c r="E1478" s="2">
        <f>C1478*D1478</f>
        <v/>
      </c>
      <c r="F1478" s="2">
        <f>C1478*INDEX(Products!$D$2:$D$201,MATCH(B1478,Products!$A$2:$A$201,0))</f>
        <v/>
      </c>
      <c r="G1478" s="2">
        <f>E1478-F1478</f>
        <v/>
      </c>
    </row>
    <row r="1479" ht="15" customHeight="1" s="1">
      <c r="A1479" s="2" t="n">
        <v>51477</v>
      </c>
      <c r="B1479" s="2" t="inlineStr">
        <is>
          <t>SKU-0130</t>
        </is>
      </c>
      <c r="C1479" s="2" t="n">
        <v>10</v>
      </c>
      <c r="D1479" s="2">
        <f>VLOOKUP(B1479,Products!$A$2:$D$201,3,FALSE())</f>
        <v/>
      </c>
      <c r="E1479" s="2">
        <f>C1479*D1479</f>
        <v/>
      </c>
      <c r="F1479" s="2">
        <f>C1479*INDEX(Products!$D$2:$D$201,MATCH(B1479,Products!$A$2:$A$201,0))</f>
        <v/>
      </c>
      <c r="G1479" s="2">
        <f>E1479-F1479</f>
        <v/>
      </c>
    </row>
    <row r="1480" ht="15" customHeight="1" s="1">
      <c r="A1480" s="2" t="n">
        <v>51478</v>
      </c>
      <c r="B1480" s="2" t="inlineStr">
        <is>
          <t>SKU-0077</t>
        </is>
      </c>
      <c r="C1480" s="2" t="n">
        <v>17</v>
      </c>
      <c r="D1480" s="2">
        <f>VLOOKUP(B1480,Products!$A$2:$D$201,3,FALSE())</f>
        <v/>
      </c>
      <c r="E1480" s="2">
        <f>C1480*D1480</f>
        <v/>
      </c>
      <c r="F1480" s="2">
        <f>C1480*INDEX(Products!$D$2:$D$201,MATCH(B1480,Products!$A$2:$A$201,0))</f>
        <v/>
      </c>
      <c r="G1480" s="2">
        <f>E1480-F1480</f>
        <v/>
      </c>
    </row>
    <row r="1481" ht="15" customHeight="1" s="1">
      <c r="A1481" s="2" t="n">
        <v>51479</v>
      </c>
      <c r="B1481" s="2" t="inlineStr">
        <is>
          <t>SKU-0154</t>
        </is>
      </c>
      <c r="C1481" s="2" t="n">
        <v>7</v>
      </c>
      <c r="D1481" s="2">
        <f>VLOOKUP(B1481,Products!$A$2:$D$201,3,FALSE())</f>
        <v/>
      </c>
      <c r="E1481" s="2">
        <f>C1481*D1481</f>
        <v/>
      </c>
      <c r="F1481" s="2">
        <f>C1481*INDEX(Products!$D$2:$D$201,MATCH(B1481,Products!$A$2:$A$201,0))</f>
        <v/>
      </c>
      <c r="G1481" s="2">
        <f>E1481-F1481</f>
        <v/>
      </c>
    </row>
    <row r="1482" ht="15" customHeight="1" s="1">
      <c r="A1482" s="2" t="n">
        <v>51480</v>
      </c>
      <c r="B1482" s="2" t="inlineStr">
        <is>
          <t>SKU-0195</t>
        </is>
      </c>
      <c r="C1482" s="2" t="n">
        <v>9</v>
      </c>
      <c r="D1482" s="2">
        <f>VLOOKUP(B1482,Products!$A$2:$D$201,3,FALSE())</f>
        <v/>
      </c>
      <c r="E1482" s="2">
        <f>C1482*D1482</f>
        <v/>
      </c>
      <c r="F1482" s="2">
        <f>C1482*INDEX(Products!$D$2:$D$201,MATCH(B1482,Products!$A$2:$A$201,0))</f>
        <v/>
      </c>
      <c r="G1482" s="2">
        <f>E1482-F1482</f>
        <v/>
      </c>
    </row>
    <row r="1483" ht="15" customHeight="1" s="1">
      <c r="A1483" s="2" t="n">
        <v>51481</v>
      </c>
      <c r="B1483" s="2" t="inlineStr">
        <is>
          <t>SKU-0054</t>
        </is>
      </c>
      <c r="C1483" s="2" t="n">
        <v>13</v>
      </c>
      <c r="D1483" s="2">
        <f>VLOOKUP(B1483,Products!$A$2:$D$201,3,FALSE())</f>
        <v/>
      </c>
      <c r="E1483" s="2">
        <f>C1483*D1483</f>
        <v/>
      </c>
      <c r="F1483" s="2">
        <f>C1483*INDEX(Products!$D$2:$D$201,MATCH(B1483,Products!$A$2:$A$201,0))</f>
        <v/>
      </c>
      <c r="G1483" s="2">
        <f>E1483-F1483</f>
        <v/>
      </c>
    </row>
    <row r="1484" ht="15" customHeight="1" s="1">
      <c r="A1484" s="2" t="n">
        <v>51482</v>
      </c>
      <c r="B1484" s="2" t="inlineStr">
        <is>
          <t>SKU-0049</t>
        </is>
      </c>
      <c r="C1484" s="2" t="n">
        <v>16</v>
      </c>
      <c r="D1484" s="2">
        <f>VLOOKUP(B1484,Products!$A$2:$D$201,3,FALSE())</f>
        <v/>
      </c>
      <c r="E1484" s="2">
        <f>C1484*D1484</f>
        <v/>
      </c>
      <c r="F1484" s="2">
        <f>C1484*INDEX(Products!$D$2:$D$201,MATCH(B1484,Products!$A$2:$A$201,0))</f>
        <v/>
      </c>
      <c r="G1484" s="2">
        <f>E1484-F1484</f>
        <v/>
      </c>
    </row>
    <row r="1485" ht="15" customHeight="1" s="1">
      <c r="A1485" s="2" t="n">
        <v>51483</v>
      </c>
      <c r="B1485" s="2" t="inlineStr">
        <is>
          <t>SKU-0163</t>
        </is>
      </c>
      <c r="C1485" s="2" t="n">
        <v>2</v>
      </c>
      <c r="D1485" s="2">
        <f>VLOOKUP(B1485,Products!$A$2:$D$201,3,FALSE())</f>
        <v/>
      </c>
      <c r="E1485" s="2">
        <f>C1485*D1485</f>
        <v/>
      </c>
      <c r="F1485" s="2">
        <f>C1485*INDEX(Products!$D$2:$D$201,MATCH(B1485,Products!$A$2:$A$201,0))</f>
        <v/>
      </c>
      <c r="G1485" s="2">
        <f>E1485-F1485</f>
        <v/>
      </c>
    </row>
    <row r="1486" ht="15" customHeight="1" s="1">
      <c r="A1486" s="2" t="n">
        <v>51484</v>
      </c>
      <c r="B1486" s="2" t="inlineStr">
        <is>
          <t>SKU-0077</t>
        </is>
      </c>
      <c r="C1486" s="2" t="n">
        <v>12</v>
      </c>
      <c r="D1486" s="2">
        <f>VLOOKUP(B1486,Products!$A$2:$D$201,3,FALSE())</f>
        <v/>
      </c>
      <c r="E1486" s="2">
        <f>C1486*D1486</f>
        <v/>
      </c>
      <c r="F1486" s="2">
        <f>C1486*INDEX(Products!$D$2:$D$201,MATCH(B1486,Products!$A$2:$A$201,0))</f>
        <v/>
      </c>
      <c r="G1486" s="2">
        <f>E1486-F1486</f>
        <v/>
      </c>
    </row>
    <row r="1487" ht="15" customHeight="1" s="1">
      <c r="A1487" s="2" t="n">
        <v>51485</v>
      </c>
      <c r="B1487" s="2" t="inlineStr">
        <is>
          <t>SKU-0150</t>
        </is>
      </c>
      <c r="C1487" s="2" t="n">
        <v>17</v>
      </c>
      <c r="D1487" s="2">
        <f>VLOOKUP(B1487,Products!$A$2:$D$201,3,FALSE())</f>
        <v/>
      </c>
      <c r="E1487" s="2">
        <f>C1487*D1487</f>
        <v/>
      </c>
      <c r="F1487" s="2">
        <f>C1487*INDEX(Products!$D$2:$D$201,MATCH(B1487,Products!$A$2:$A$201,0))</f>
        <v/>
      </c>
      <c r="G1487" s="2">
        <f>E1487-F1487</f>
        <v/>
      </c>
    </row>
    <row r="1488" ht="15" customHeight="1" s="1">
      <c r="A1488" s="2" t="n">
        <v>51486</v>
      </c>
      <c r="B1488" s="2" t="inlineStr">
        <is>
          <t>SKU-0121</t>
        </is>
      </c>
      <c r="C1488" s="2" t="n">
        <v>12</v>
      </c>
      <c r="D1488" s="2">
        <f>VLOOKUP(B1488,Products!$A$2:$D$201,3,FALSE())</f>
        <v/>
      </c>
      <c r="E1488" s="2">
        <f>C1488*D1488</f>
        <v/>
      </c>
      <c r="F1488" s="2">
        <f>C1488*INDEX(Products!$D$2:$D$201,MATCH(B1488,Products!$A$2:$A$201,0))</f>
        <v/>
      </c>
      <c r="G1488" s="2">
        <f>E1488-F1488</f>
        <v/>
      </c>
    </row>
    <row r="1489" ht="15" customHeight="1" s="1">
      <c r="A1489" s="2" t="n">
        <v>51487</v>
      </c>
      <c r="B1489" s="2" t="inlineStr">
        <is>
          <t>SKU-0162</t>
        </is>
      </c>
      <c r="C1489" s="2" t="n">
        <v>15</v>
      </c>
      <c r="D1489" s="2">
        <f>VLOOKUP(B1489,Products!$A$2:$D$201,3,FALSE())</f>
        <v/>
      </c>
      <c r="E1489" s="2">
        <f>C1489*D1489</f>
        <v/>
      </c>
      <c r="F1489" s="2">
        <f>C1489*INDEX(Products!$D$2:$D$201,MATCH(B1489,Products!$A$2:$A$201,0))</f>
        <v/>
      </c>
      <c r="G1489" s="2">
        <f>E1489-F1489</f>
        <v/>
      </c>
    </row>
    <row r="1490" ht="15" customHeight="1" s="1">
      <c r="A1490" s="2" t="n">
        <v>51488</v>
      </c>
      <c r="B1490" s="2" t="inlineStr">
        <is>
          <t>SKU-0152</t>
        </is>
      </c>
      <c r="C1490" s="2" t="n">
        <v>17</v>
      </c>
      <c r="D1490" s="2">
        <f>VLOOKUP(B1490,Products!$A$2:$D$201,3,FALSE())</f>
        <v/>
      </c>
      <c r="E1490" s="2">
        <f>C1490*D1490</f>
        <v/>
      </c>
      <c r="F1490" s="2">
        <f>C1490*INDEX(Products!$D$2:$D$201,MATCH(B1490,Products!$A$2:$A$201,0))</f>
        <v/>
      </c>
      <c r="G1490" s="2">
        <f>E1490-F1490</f>
        <v/>
      </c>
    </row>
    <row r="1491" ht="15" customHeight="1" s="1">
      <c r="A1491" s="2" t="n">
        <v>51489</v>
      </c>
      <c r="B1491" s="2" t="inlineStr">
        <is>
          <t>SKU-0103</t>
        </is>
      </c>
      <c r="C1491" s="2" t="n">
        <v>19</v>
      </c>
      <c r="D1491" s="2">
        <f>VLOOKUP(B1491,Products!$A$2:$D$201,3,FALSE())</f>
        <v/>
      </c>
      <c r="E1491" s="2">
        <f>C1491*D1491</f>
        <v/>
      </c>
      <c r="F1491" s="2">
        <f>C1491*INDEX(Products!$D$2:$D$201,MATCH(B1491,Products!$A$2:$A$201,0))</f>
        <v/>
      </c>
      <c r="G1491" s="2">
        <f>E1491-F1491</f>
        <v/>
      </c>
    </row>
    <row r="1492" ht="15" customHeight="1" s="1">
      <c r="A1492" s="2" t="n">
        <v>51490</v>
      </c>
      <c r="B1492" s="2" t="inlineStr">
        <is>
          <t>SKU-0176</t>
        </is>
      </c>
      <c r="C1492" s="2" t="n">
        <v>9</v>
      </c>
      <c r="D1492" s="2">
        <f>VLOOKUP(B1492,Products!$A$2:$D$201,3,FALSE())</f>
        <v/>
      </c>
      <c r="E1492" s="2">
        <f>C1492*D1492</f>
        <v/>
      </c>
      <c r="F1492" s="2">
        <f>C1492*INDEX(Products!$D$2:$D$201,MATCH(B1492,Products!$A$2:$A$201,0))</f>
        <v/>
      </c>
      <c r="G1492" s="2">
        <f>E1492-F1492</f>
        <v/>
      </c>
    </row>
    <row r="1493" ht="15" customHeight="1" s="1">
      <c r="A1493" s="2" t="n">
        <v>51491</v>
      </c>
      <c r="B1493" s="2" t="inlineStr">
        <is>
          <t>SKU-0136</t>
        </is>
      </c>
      <c r="C1493" s="2" t="n">
        <v>17</v>
      </c>
      <c r="D1493" s="2">
        <f>VLOOKUP(B1493,Products!$A$2:$D$201,3,FALSE())</f>
        <v/>
      </c>
      <c r="E1493" s="2">
        <f>C1493*D1493</f>
        <v/>
      </c>
      <c r="F1493" s="2">
        <f>C1493*INDEX(Products!$D$2:$D$201,MATCH(B1493,Products!$A$2:$A$201,0))</f>
        <v/>
      </c>
      <c r="G1493" s="2">
        <f>E1493-F1493</f>
        <v/>
      </c>
    </row>
    <row r="1494" ht="15" customHeight="1" s="1">
      <c r="A1494" s="2" t="n">
        <v>51492</v>
      </c>
      <c r="B1494" s="2" t="inlineStr">
        <is>
          <t>SKU-0108</t>
        </is>
      </c>
      <c r="C1494" s="2" t="n">
        <v>18</v>
      </c>
      <c r="D1494" s="2">
        <f>VLOOKUP(B1494,Products!$A$2:$D$201,3,FALSE())</f>
        <v/>
      </c>
      <c r="E1494" s="2">
        <f>C1494*D1494</f>
        <v/>
      </c>
      <c r="F1494" s="2">
        <f>C1494*INDEX(Products!$D$2:$D$201,MATCH(B1494,Products!$A$2:$A$201,0))</f>
        <v/>
      </c>
      <c r="G1494" s="2">
        <f>E1494-F1494</f>
        <v/>
      </c>
    </row>
    <row r="1495" ht="15" customHeight="1" s="1">
      <c r="A1495" s="2" t="n">
        <v>51493</v>
      </c>
      <c r="B1495" s="2" t="inlineStr">
        <is>
          <t>SKU-0180</t>
        </is>
      </c>
      <c r="C1495" s="2" t="n">
        <v>10</v>
      </c>
      <c r="D1495" s="2">
        <f>VLOOKUP(B1495,Products!$A$2:$D$201,3,FALSE())</f>
        <v/>
      </c>
      <c r="E1495" s="2">
        <f>C1495*D1495</f>
        <v/>
      </c>
      <c r="F1495" s="2">
        <f>C1495*INDEX(Products!$D$2:$D$201,MATCH(B1495,Products!$A$2:$A$201,0))</f>
        <v/>
      </c>
      <c r="G1495" s="2">
        <f>E1495-F1495</f>
        <v/>
      </c>
    </row>
    <row r="1496" ht="15" customHeight="1" s="1">
      <c r="A1496" s="2" t="n">
        <v>51494</v>
      </c>
      <c r="B1496" s="2" t="inlineStr">
        <is>
          <t>SKU-0089</t>
        </is>
      </c>
      <c r="C1496" s="2" t="n">
        <v>7</v>
      </c>
      <c r="D1496" s="2">
        <f>VLOOKUP(B1496,Products!$A$2:$D$201,3,FALSE())</f>
        <v/>
      </c>
      <c r="E1496" s="2">
        <f>C1496*D1496</f>
        <v/>
      </c>
      <c r="F1496" s="2">
        <f>C1496*INDEX(Products!$D$2:$D$201,MATCH(B1496,Products!$A$2:$A$201,0))</f>
        <v/>
      </c>
      <c r="G1496" s="2">
        <f>E1496-F1496</f>
        <v/>
      </c>
    </row>
    <row r="1497" ht="15" customHeight="1" s="1">
      <c r="A1497" s="2" t="n">
        <v>51495</v>
      </c>
      <c r="B1497" s="2" t="inlineStr">
        <is>
          <t>SKU-0180</t>
        </is>
      </c>
      <c r="C1497" s="2" t="n">
        <v>16</v>
      </c>
      <c r="D1497" s="2">
        <f>VLOOKUP(B1497,Products!$A$2:$D$201,3,FALSE())</f>
        <v/>
      </c>
      <c r="E1497" s="2">
        <f>C1497*D1497</f>
        <v/>
      </c>
      <c r="F1497" s="2">
        <f>C1497*INDEX(Products!$D$2:$D$201,MATCH(B1497,Products!$A$2:$A$201,0))</f>
        <v/>
      </c>
      <c r="G1497" s="2">
        <f>E1497-F1497</f>
        <v/>
      </c>
    </row>
    <row r="1498" ht="15" customHeight="1" s="1">
      <c r="A1498" s="2" t="n">
        <v>51496</v>
      </c>
      <c r="B1498" s="2" t="inlineStr">
        <is>
          <t>SKU-0168</t>
        </is>
      </c>
      <c r="C1498" s="2" t="n">
        <v>16</v>
      </c>
      <c r="D1498" s="2">
        <f>VLOOKUP(B1498,Products!$A$2:$D$201,3,FALSE())</f>
        <v/>
      </c>
      <c r="E1498" s="2">
        <f>C1498*D1498</f>
        <v/>
      </c>
      <c r="F1498" s="2">
        <f>C1498*INDEX(Products!$D$2:$D$201,MATCH(B1498,Products!$A$2:$A$201,0))</f>
        <v/>
      </c>
      <c r="G1498" s="2">
        <f>E1498-F1498</f>
        <v/>
      </c>
    </row>
    <row r="1499" ht="15" customHeight="1" s="1">
      <c r="A1499" s="2" t="n">
        <v>51497</v>
      </c>
      <c r="B1499" s="2" t="inlineStr">
        <is>
          <t>SKU-0094</t>
        </is>
      </c>
      <c r="C1499" s="2" t="n">
        <v>1</v>
      </c>
      <c r="D1499" s="2">
        <f>VLOOKUP(B1499,Products!$A$2:$D$201,3,FALSE())</f>
        <v/>
      </c>
      <c r="E1499" s="2">
        <f>C1499*D1499</f>
        <v/>
      </c>
      <c r="F1499" s="2">
        <f>C1499*INDEX(Products!$D$2:$D$201,MATCH(B1499,Products!$A$2:$A$201,0))</f>
        <v/>
      </c>
      <c r="G1499" s="2">
        <f>E1499-F1499</f>
        <v/>
      </c>
    </row>
    <row r="1500" ht="15" customHeight="1" s="1">
      <c r="A1500" s="2" t="n">
        <v>51498</v>
      </c>
      <c r="B1500" s="2" t="inlineStr">
        <is>
          <t>SKU-0011</t>
        </is>
      </c>
      <c r="C1500" s="2" t="n">
        <v>5</v>
      </c>
      <c r="D1500" s="2">
        <f>VLOOKUP(B1500,Products!$A$2:$D$201,3,FALSE())</f>
        <v/>
      </c>
      <c r="E1500" s="2">
        <f>C1500*D1500</f>
        <v/>
      </c>
      <c r="F1500" s="2">
        <f>C1500*INDEX(Products!$D$2:$D$201,MATCH(B1500,Products!$A$2:$A$201,0))</f>
        <v/>
      </c>
      <c r="G1500" s="2">
        <f>E1500-F1500</f>
        <v/>
      </c>
    </row>
    <row r="1501" ht="15" customHeight="1" s="1">
      <c r="A1501" s="2" t="n">
        <v>51499</v>
      </c>
      <c r="B1501" s="2" t="inlineStr">
        <is>
          <t>SKU-0071</t>
        </is>
      </c>
      <c r="C1501" s="2" t="n">
        <v>15</v>
      </c>
      <c r="D1501" s="2">
        <f>VLOOKUP(B1501,Products!$A$2:$D$201,3,FALSE())</f>
        <v/>
      </c>
      <c r="E1501" s="2">
        <f>C1501*D1501</f>
        <v/>
      </c>
      <c r="F1501" s="2">
        <f>C1501*INDEX(Products!$D$2:$D$201,MATCH(B1501,Products!$A$2:$A$201,0))</f>
        <v/>
      </c>
      <c r="G1501" s="2">
        <f>E1501-F1501</f>
        <v/>
      </c>
    </row>
    <row r="1502" ht="15" customHeight="1" s="1">
      <c r="A1502" s="2" t="n">
        <v>51500</v>
      </c>
      <c r="B1502" s="2" t="inlineStr">
        <is>
          <t>SKU-0162</t>
        </is>
      </c>
      <c r="C1502" s="2" t="n">
        <v>13</v>
      </c>
      <c r="D1502" s="2">
        <f>VLOOKUP(B1502,Products!$A$2:$D$201,3,FALSE())</f>
        <v/>
      </c>
      <c r="E1502" s="2">
        <f>C1502*D1502</f>
        <v/>
      </c>
      <c r="F1502" s="2">
        <f>C1502*INDEX(Products!$D$2:$D$201,MATCH(B1502,Products!$A$2:$A$201,0))</f>
        <v/>
      </c>
      <c r="G1502" s="2">
        <f>E1502-F1502</f>
        <v/>
      </c>
    </row>
    <row r="1503" ht="15" customHeight="1" s="1">
      <c r="A1503" s="2" t="n">
        <v>51501</v>
      </c>
      <c r="B1503" s="2" t="inlineStr">
        <is>
          <t>SKU-0025</t>
        </is>
      </c>
      <c r="C1503" s="2" t="n">
        <v>19</v>
      </c>
      <c r="D1503" s="2">
        <f>VLOOKUP(B1503,Products!$A$2:$D$201,3,FALSE())</f>
        <v/>
      </c>
      <c r="E1503" s="2">
        <f>C1503*D1503</f>
        <v/>
      </c>
      <c r="F1503" s="2">
        <f>C1503*INDEX(Products!$D$2:$D$201,MATCH(B1503,Products!$A$2:$A$201,0))</f>
        <v/>
      </c>
      <c r="G1503" s="2">
        <f>E1503-F1503</f>
        <v/>
      </c>
    </row>
    <row r="1504" ht="15" customHeight="1" s="1">
      <c r="A1504" s="2" t="n">
        <v>51502</v>
      </c>
      <c r="B1504" s="2" t="inlineStr">
        <is>
          <t>SKU-0079</t>
        </is>
      </c>
      <c r="C1504" s="2" t="n">
        <v>7</v>
      </c>
      <c r="D1504" s="2">
        <f>VLOOKUP(B1504,Products!$A$2:$D$201,3,FALSE())</f>
        <v/>
      </c>
      <c r="E1504" s="2">
        <f>C1504*D1504</f>
        <v/>
      </c>
      <c r="F1504" s="2">
        <f>C1504*INDEX(Products!$D$2:$D$201,MATCH(B1504,Products!$A$2:$A$201,0))</f>
        <v/>
      </c>
      <c r="G1504" s="2">
        <f>E1504-F1504</f>
        <v/>
      </c>
    </row>
    <row r="1505" ht="15" customHeight="1" s="1">
      <c r="A1505" s="2" t="n">
        <v>51503</v>
      </c>
      <c r="B1505" s="2" t="inlineStr">
        <is>
          <t>SKU-0028</t>
        </is>
      </c>
      <c r="C1505" s="2" t="n">
        <v>5</v>
      </c>
      <c r="D1505" s="2">
        <f>VLOOKUP(B1505,Products!$A$2:$D$201,3,FALSE())</f>
        <v/>
      </c>
      <c r="E1505" s="2">
        <f>C1505*D1505</f>
        <v/>
      </c>
      <c r="F1505" s="2">
        <f>C1505*INDEX(Products!$D$2:$D$201,MATCH(B1505,Products!$A$2:$A$201,0))</f>
        <v/>
      </c>
      <c r="G1505" s="2">
        <f>E1505-F1505</f>
        <v/>
      </c>
    </row>
    <row r="1506" ht="15" customHeight="1" s="1">
      <c r="A1506" s="2" t="n">
        <v>51504</v>
      </c>
      <c r="B1506" s="2" t="inlineStr">
        <is>
          <t>SKU-0035</t>
        </is>
      </c>
      <c r="C1506" s="2" t="n">
        <v>14</v>
      </c>
      <c r="D1506" s="2">
        <f>VLOOKUP(B1506,Products!$A$2:$D$201,3,FALSE())</f>
        <v/>
      </c>
      <c r="E1506" s="2">
        <f>C1506*D1506</f>
        <v/>
      </c>
      <c r="F1506" s="2">
        <f>C1506*INDEX(Products!$D$2:$D$201,MATCH(B1506,Products!$A$2:$A$201,0))</f>
        <v/>
      </c>
      <c r="G1506" s="2">
        <f>E1506-F1506</f>
        <v/>
      </c>
    </row>
    <row r="1507" ht="15" customHeight="1" s="1">
      <c r="A1507" s="2" t="n">
        <v>51505</v>
      </c>
      <c r="B1507" s="2" t="inlineStr">
        <is>
          <t>SKU-0161</t>
        </is>
      </c>
      <c r="C1507" s="2" t="n">
        <v>7</v>
      </c>
      <c r="D1507" s="2">
        <f>VLOOKUP(B1507,Products!$A$2:$D$201,3,FALSE())</f>
        <v/>
      </c>
      <c r="E1507" s="2">
        <f>C1507*D1507</f>
        <v/>
      </c>
      <c r="F1507" s="2">
        <f>C1507*INDEX(Products!$D$2:$D$201,MATCH(B1507,Products!$A$2:$A$201,0))</f>
        <v/>
      </c>
      <c r="G1507" s="2">
        <f>E1507-F1507</f>
        <v/>
      </c>
    </row>
    <row r="1508" ht="15" customHeight="1" s="1">
      <c r="A1508" s="2" t="n">
        <v>51506</v>
      </c>
      <c r="B1508" s="2" t="inlineStr">
        <is>
          <t>SKU-0082</t>
        </is>
      </c>
      <c r="C1508" s="2" t="n">
        <v>11</v>
      </c>
      <c r="D1508" s="2">
        <f>VLOOKUP(B1508,Products!$A$2:$D$201,3,FALSE())</f>
        <v/>
      </c>
      <c r="E1508" s="2">
        <f>C1508*D1508</f>
        <v/>
      </c>
      <c r="F1508" s="2">
        <f>C1508*INDEX(Products!$D$2:$D$201,MATCH(B1508,Products!$A$2:$A$201,0))</f>
        <v/>
      </c>
      <c r="G1508" s="2">
        <f>E1508-F1508</f>
        <v/>
      </c>
    </row>
    <row r="1509" ht="15" customHeight="1" s="1">
      <c r="A1509" s="2" t="n">
        <v>51507</v>
      </c>
      <c r="B1509" s="2" t="inlineStr">
        <is>
          <t>SKU-0186</t>
        </is>
      </c>
      <c r="C1509" s="2" t="n">
        <v>5</v>
      </c>
      <c r="D1509" s="2">
        <f>VLOOKUP(B1509,Products!$A$2:$D$201,3,FALSE())</f>
        <v/>
      </c>
      <c r="E1509" s="2">
        <f>C1509*D1509</f>
        <v/>
      </c>
      <c r="F1509" s="2">
        <f>C1509*INDEX(Products!$D$2:$D$201,MATCH(B1509,Products!$A$2:$A$201,0))</f>
        <v/>
      </c>
      <c r="G1509" s="2">
        <f>E1509-F1509</f>
        <v/>
      </c>
    </row>
    <row r="1510" ht="15" customHeight="1" s="1">
      <c r="A1510" s="2" t="n">
        <v>51508</v>
      </c>
      <c r="B1510" s="2" t="inlineStr">
        <is>
          <t>SKU-0119</t>
        </is>
      </c>
      <c r="C1510" s="2" t="n">
        <v>13</v>
      </c>
      <c r="D1510" s="2">
        <f>VLOOKUP(B1510,Products!$A$2:$D$201,3,FALSE())</f>
        <v/>
      </c>
      <c r="E1510" s="2">
        <f>C1510*D1510</f>
        <v/>
      </c>
      <c r="F1510" s="2">
        <f>C1510*INDEX(Products!$D$2:$D$201,MATCH(B1510,Products!$A$2:$A$201,0))</f>
        <v/>
      </c>
      <c r="G1510" s="2">
        <f>E1510-F1510</f>
        <v/>
      </c>
    </row>
    <row r="1511" ht="15" customHeight="1" s="1">
      <c r="A1511" s="2" t="n">
        <v>51509</v>
      </c>
      <c r="B1511" s="2" t="inlineStr">
        <is>
          <t>SKU-0053</t>
        </is>
      </c>
      <c r="C1511" s="2" t="n">
        <v>8</v>
      </c>
      <c r="D1511" s="2">
        <f>VLOOKUP(B1511,Products!$A$2:$D$201,3,FALSE())</f>
        <v/>
      </c>
      <c r="E1511" s="2">
        <f>C1511*D1511</f>
        <v/>
      </c>
      <c r="F1511" s="2">
        <f>C1511*INDEX(Products!$D$2:$D$201,MATCH(B1511,Products!$A$2:$A$201,0))</f>
        <v/>
      </c>
      <c r="G1511" s="2">
        <f>E1511-F1511</f>
        <v/>
      </c>
    </row>
    <row r="1512" ht="15" customHeight="1" s="1">
      <c r="A1512" s="2" t="n">
        <v>51510</v>
      </c>
      <c r="B1512" s="2" t="inlineStr">
        <is>
          <t>SKU-0093</t>
        </is>
      </c>
      <c r="C1512" s="2" t="n">
        <v>20</v>
      </c>
      <c r="D1512" s="2">
        <f>VLOOKUP(B1512,Products!$A$2:$D$201,3,FALSE())</f>
        <v/>
      </c>
      <c r="E1512" s="2">
        <f>C1512*D1512</f>
        <v/>
      </c>
      <c r="F1512" s="2">
        <f>C1512*INDEX(Products!$D$2:$D$201,MATCH(B1512,Products!$A$2:$A$201,0))</f>
        <v/>
      </c>
      <c r="G1512" s="2">
        <f>E1512-F1512</f>
        <v/>
      </c>
    </row>
    <row r="1513" ht="15" customHeight="1" s="1">
      <c r="A1513" s="2" t="n">
        <v>51511</v>
      </c>
      <c r="B1513" s="2" t="inlineStr">
        <is>
          <t>SKU-0163</t>
        </is>
      </c>
      <c r="C1513" s="2" t="n">
        <v>2</v>
      </c>
      <c r="D1513" s="2">
        <f>VLOOKUP(B1513,Products!$A$2:$D$201,3,FALSE())</f>
        <v/>
      </c>
      <c r="E1513" s="2">
        <f>C1513*D1513</f>
        <v/>
      </c>
      <c r="F1513" s="2">
        <f>C1513*INDEX(Products!$D$2:$D$201,MATCH(B1513,Products!$A$2:$A$201,0))</f>
        <v/>
      </c>
      <c r="G1513" s="2">
        <f>E1513-F1513</f>
        <v/>
      </c>
    </row>
    <row r="1514" ht="15" customHeight="1" s="1">
      <c r="A1514" s="2" t="n">
        <v>51512</v>
      </c>
      <c r="B1514" s="2" t="inlineStr">
        <is>
          <t>SKU-0141</t>
        </is>
      </c>
      <c r="C1514" s="2" t="n">
        <v>19</v>
      </c>
      <c r="D1514" s="2">
        <f>VLOOKUP(B1514,Products!$A$2:$D$201,3,FALSE())</f>
        <v/>
      </c>
      <c r="E1514" s="2">
        <f>C1514*D1514</f>
        <v/>
      </c>
      <c r="F1514" s="2">
        <f>C1514*INDEX(Products!$D$2:$D$201,MATCH(B1514,Products!$A$2:$A$201,0))</f>
        <v/>
      </c>
      <c r="G1514" s="2">
        <f>E1514-F1514</f>
        <v/>
      </c>
    </row>
    <row r="1515" ht="15" customHeight="1" s="1">
      <c r="A1515" s="2" t="n">
        <v>51513</v>
      </c>
      <c r="B1515" s="2" t="inlineStr">
        <is>
          <t>SKU-0006</t>
        </is>
      </c>
      <c r="C1515" s="2" t="n">
        <v>17</v>
      </c>
      <c r="D1515" s="2">
        <f>VLOOKUP(B1515,Products!$A$2:$D$201,3,FALSE())</f>
        <v/>
      </c>
      <c r="E1515" s="2">
        <f>C1515*D1515</f>
        <v/>
      </c>
      <c r="F1515" s="2">
        <f>C1515*INDEX(Products!$D$2:$D$201,MATCH(B1515,Products!$A$2:$A$201,0))</f>
        <v/>
      </c>
      <c r="G1515" s="2">
        <f>E1515-F1515</f>
        <v/>
      </c>
    </row>
    <row r="1516" ht="15" customHeight="1" s="1">
      <c r="A1516" s="2" t="n">
        <v>51514</v>
      </c>
      <c r="B1516" s="2" t="inlineStr">
        <is>
          <t>SKU-0173</t>
        </is>
      </c>
      <c r="C1516" s="2" t="n">
        <v>18</v>
      </c>
      <c r="D1516" s="2">
        <f>VLOOKUP(B1516,Products!$A$2:$D$201,3,FALSE())</f>
        <v/>
      </c>
      <c r="E1516" s="2">
        <f>C1516*D1516</f>
        <v/>
      </c>
      <c r="F1516" s="2">
        <f>C1516*INDEX(Products!$D$2:$D$201,MATCH(B1516,Products!$A$2:$A$201,0))</f>
        <v/>
      </c>
      <c r="G1516" s="2">
        <f>E1516-F1516</f>
        <v/>
      </c>
    </row>
    <row r="1517" ht="15" customHeight="1" s="1">
      <c r="A1517" s="2" t="n">
        <v>51515</v>
      </c>
      <c r="B1517" s="2" t="inlineStr">
        <is>
          <t>SKU-0137</t>
        </is>
      </c>
      <c r="C1517" s="2" t="n">
        <v>17</v>
      </c>
      <c r="D1517" s="2">
        <f>VLOOKUP(B1517,Products!$A$2:$D$201,3,FALSE())</f>
        <v/>
      </c>
      <c r="E1517" s="2">
        <f>C1517*D1517</f>
        <v/>
      </c>
      <c r="F1517" s="2">
        <f>C1517*INDEX(Products!$D$2:$D$201,MATCH(B1517,Products!$A$2:$A$201,0))</f>
        <v/>
      </c>
      <c r="G1517" s="2">
        <f>E1517-F1517</f>
        <v/>
      </c>
    </row>
    <row r="1518" ht="15" customHeight="1" s="1">
      <c r="A1518" s="2" t="n">
        <v>51516</v>
      </c>
      <c r="B1518" s="2" t="inlineStr">
        <is>
          <t>SKU-0179</t>
        </is>
      </c>
      <c r="C1518" s="2" t="n">
        <v>13</v>
      </c>
      <c r="D1518" s="2">
        <f>VLOOKUP(B1518,Products!$A$2:$D$201,3,FALSE())</f>
        <v/>
      </c>
      <c r="E1518" s="2">
        <f>C1518*D1518</f>
        <v/>
      </c>
      <c r="F1518" s="2">
        <f>C1518*INDEX(Products!$D$2:$D$201,MATCH(B1518,Products!$A$2:$A$201,0))</f>
        <v/>
      </c>
      <c r="G1518" s="2">
        <f>E1518-F1518</f>
        <v/>
      </c>
    </row>
    <row r="1519" ht="15" customHeight="1" s="1">
      <c r="A1519" s="2" t="n">
        <v>51517</v>
      </c>
      <c r="B1519" s="2" t="inlineStr">
        <is>
          <t>SKU-0107</t>
        </is>
      </c>
      <c r="C1519" s="2" t="n">
        <v>11</v>
      </c>
      <c r="D1519" s="2">
        <f>VLOOKUP(B1519,Products!$A$2:$D$201,3,FALSE())</f>
        <v/>
      </c>
      <c r="E1519" s="2">
        <f>C1519*D1519</f>
        <v/>
      </c>
      <c r="F1519" s="2">
        <f>C1519*INDEX(Products!$D$2:$D$201,MATCH(B1519,Products!$A$2:$A$201,0))</f>
        <v/>
      </c>
      <c r="G1519" s="2">
        <f>E1519-F1519</f>
        <v/>
      </c>
    </row>
    <row r="1520" ht="15" customHeight="1" s="1">
      <c r="A1520" s="2" t="n">
        <v>51518</v>
      </c>
      <c r="B1520" s="2" t="inlineStr">
        <is>
          <t>SKU-0010</t>
        </is>
      </c>
      <c r="C1520" s="2" t="n">
        <v>19</v>
      </c>
      <c r="D1520" s="2">
        <f>VLOOKUP(B1520,Products!$A$2:$D$201,3,FALSE())</f>
        <v/>
      </c>
      <c r="E1520" s="2">
        <f>C1520*D1520</f>
        <v/>
      </c>
      <c r="F1520" s="2">
        <f>C1520*INDEX(Products!$D$2:$D$201,MATCH(B1520,Products!$A$2:$A$201,0))</f>
        <v/>
      </c>
      <c r="G1520" s="2">
        <f>E1520-F1520</f>
        <v/>
      </c>
    </row>
    <row r="1521" ht="15" customHeight="1" s="1">
      <c r="A1521" s="2" t="n">
        <v>51519</v>
      </c>
      <c r="B1521" s="2" t="inlineStr">
        <is>
          <t>SKU-0120</t>
        </is>
      </c>
      <c r="C1521" s="2" t="n">
        <v>1</v>
      </c>
      <c r="D1521" s="2">
        <f>VLOOKUP(B1521,Products!$A$2:$D$201,3,FALSE())</f>
        <v/>
      </c>
      <c r="E1521" s="2">
        <f>C1521*D1521</f>
        <v/>
      </c>
      <c r="F1521" s="2">
        <f>C1521*INDEX(Products!$D$2:$D$201,MATCH(B1521,Products!$A$2:$A$201,0))</f>
        <v/>
      </c>
      <c r="G1521" s="2">
        <f>E1521-F1521</f>
        <v/>
      </c>
    </row>
    <row r="1522" ht="15" customHeight="1" s="1">
      <c r="A1522" s="2" t="n">
        <v>51520</v>
      </c>
      <c r="B1522" s="2" t="inlineStr">
        <is>
          <t>SKU-0050</t>
        </is>
      </c>
      <c r="C1522" s="2" t="n">
        <v>16</v>
      </c>
      <c r="D1522" s="2">
        <f>VLOOKUP(B1522,Products!$A$2:$D$201,3,FALSE())</f>
        <v/>
      </c>
      <c r="E1522" s="2">
        <f>C1522*D1522</f>
        <v/>
      </c>
      <c r="F1522" s="2">
        <f>C1522*INDEX(Products!$D$2:$D$201,MATCH(B1522,Products!$A$2:$A$201,0))</f>
        <v/>
      </c>
      <c r="G1522" s="2">
        <f>E1522-F1522</f>
        <v/>
      </c>
    </row>
    <row r="1523" ht="15" customHeight="1" s="1">
      <c r="A1523" s="2" t="n">
        <v>51521</v>
      </c>
      <c r="B1523" s="2" t="inlineStr">
        <is>
          <t>SKU-0019</t>
        </is>
      </c>
      <c r="C1523" s="2" t="n">
        <v>12</v>
      </c>
      <c r="D1523" s="2">
        <f>VLOOKUP(B1523,Products!$A$2:$D$201,3,FALSE())</f>
        <v/>
      </c>
      <c r="E1523" s="2">
        <f>C1523*D1523</f>
        <v/>
      </c>
      <c r="F1523" s="2">
        <f>C1523*INDEX(Products!$D$2:$D$201,MATCH(B1523,Products!$A$2:$A$201,0))</f>
        <v/>
      </c>
      <c r="G1523" s="2">
        <f>E1523-F1523</f>
        <v/>
      </c>
    </row>
    <row r="1524" ht="15" customHeight="1" s="1">
      <c r="A1524" s="2" t="n">
        <v>51522</v>
      </c>
      <c r="B1524" s="2" t="inlineStr">
        <is>
          <t>SKU-0177</t>
        </is>
      </c>
      <c r="C1524" s="2" t="n">
        <v>11</v>
      </c>
      <c r="D1524" s="2">
        <f>VLOOKUP(B1524,Products!$A$2:$D$201,3,FALSE())</f>
        <v/>
      </c>
      <c r="E1524" s="2">
        <f>C1524*D1524</f>
        <v/>
      </c>
      <c r="F1524" s="2">
        <f>C1524*INDEX(Products!$D$2:$D$201,MATCH(B1524,Products!$A$2:$A$201,0))</f>
        <v/>
      </c>
      <c r="G1524" s="2">
        <f>E1524-F1524</f>
        <v/>
      </c>
    </row>
    <row r="1525" ht="15" customHeight="1" s="1">
      <c r="A1525" s="2" t="n">
        <v>51523</v>
      </c>
      <c r="B1525" s="2" t="inlineStr">
        <is>
          <t>SKU-0185</t>
        </is>
      </c>
      <c r="C1525" s="2" t="n">
        <v>8</v>
      </c>
      <c r="D1525" s="2">
        <f>VLOOKUP(B1525,Products!$A$2:$D$201,3,FALSE())</f>
        <v/>
      </c>
      <c r="E1525" s="2">
        <f>C1525*D1525</f>
        <v/>
      </c>
      <c r="F1525" s="2">
        <f>C1525*INDEX(Products!$D$2:$D$201,MATCH(B1525,Products!$A$2:$A$201,0))</f>
        <v/>
      </c>
      <c r="G1525" s="2">
        <f>E1525-F1525</f>
        <v/>
      </c>
    </row>
    <row r="1526" ht="15" customHeight="1" s="1">
      <c r="A1526" s="2" t="n">
        <v>51524</v>
      </c>
      <c r="B1526" s="2" t="inlineStr">
        <is>
          <t>SKU-0024</t>
        </is>
      </c>
      <c r="C1526" s="2" t="n">
        <v>18</v>
      </c>
      <c r="D1526" s="2">
        <f>VLOOKUP(B1526,Products!$A$2:$D$201,3,FALSE())</f>
        <v/>
      </c>
      <c r="E1526" s="2">
        <f>C1526*D1526</f>
        <v/>
      </c>
      <c r="F1526" s="2">
        <f>C1526*INDEX(Products!$D$2:$D$201,MATCH(B1526,Products!$A$2:$A$201,0))</f>
        <v/>
      </c>
      <c r="G1526" s="2">
        <f>E1526-F1526</f>
        <v/>
      </c>
    </row>
    <row r="1527" ht="15" customHeight="1" s="1">
      <c r="A1527" s="2" t="n">
        <v>51525</v>
      </c>
      <c r="B1527" s="2" t="inlineStr">
        <is>
          <t>SKU-0121</t>
        </is>
      </c>
      <c r="C1527" s="2" t="n">
        <v>6</v>
      </c>
      <c r="D1527" s="2">
        <f>VLOOKUP(B1527,Products!$A$2:$D$201,3,FALSE())</f>
        <v/>
      </c>
      <c r="E1527" s="2">
        <f>C1527*D1527</f>
        <v/>
      </c>
      <c r="F1527" s="2">
        <f>C1527*INDEX(Products!$D$2:$D$201,MATCH(B1527,Products!$A$2:$A$201,0))</f>
        <v/>
      </c>
      <c r="G1527" s="2">
        <f>E1527-F1527</f>
        <v/>
      </c>
    </row>
    <row r="1528" ht="15" customHeight="1" s="1">
      <c r="A1528" s="2" t="n">
        <v>51526</v>
      </c>
      <c r="B1528" s="2" t="inlineStr">
        <is>
          <t>SKU-0135</t>
        </is>
      </c>
      <c r="C1528" s="2" t="n">
        <v>7</v>
      </c>
      <c r="D1528" s="2">
        <f>VLOOKUP(B1528,Products!$A$2:$D$201,3,FALSE())</f>
        <v/>
      </c>
      <c r="E1528" s="2">
        <f>C1528*D1528</f>
        <v/>
      </c>
      <c r="F1528" s="2">
        <f>C1528*INDEX(Products!$D$2:$D$201,MATCH(B1528,Products!$A$2:$A$201,0))</f>
        <v/>
      </c>
      <c r="G1528" s="2">
        <f>E1528-F1528</f>
        <v/>
      </c>
    </row>
    <row r="1529" ht="15" customHeight="1" s="1">
      <c r="A1529" s="2" t="n">
        <v>51527</v>
      </c>
      <c r="B1529" s="2" t="inlineStr">
        <is>
          <t>SKU-0134</t>
        </is>
      </c>
      <c r="C1529" s="2" t="n">
        <v>16</v>
      </c>
      <c r="D1529" s="2">
        <f>VLOOKUP(B1529,Products!$A$2:$D$201,3,FALSE())</f>
        <v/>
      </c>
      <c r="E1529" s="2">
        <f>C1529*D1529</f>
        <v/>
      </c>
      <c r="F1529" s="2">
        <f>C1529*INDEX(Products!$D$2:$D$201,MATCH(B1529,Products!$A$2:$A$201,0))</f>
        <v/>
      </c>
      <c r="G1529" s="2">
        <f>E1529-F1529</f>
        <v/>
      </c>
    </row>
    <row r="1530" ht="15" customHeight="1" s="1">
      <c r="A1530" s="2" t="n">
        <v>51528</v>
      </c>
      <c r="B1530" s="2" t="inlineStr">
        <is>
          <t>SKU-0163</t>
        </is>
      </c>
      <c r="C1530" s="2" t="n">
        <v>2</v>
      </c>
      <c r="D1530" s="2">
        <f>VLOOKUP(B1530,Products!$A$2:$D$201,3,FALSE())</f>
        <v/>
      </c>
      <c r="E1530" s="2">
        <f>C1530*D1530</f>
        <v/>
      </c>
      <c r="F1530" s="2">
        <f>C1530*INDEX(Products!$D$2:$D$201,MATCH(B1530,Products!$A$2:$A$201,0))</f>
        <v/>
      </c>
      <c r="G1530" s="2">
        <f>E1530-F1530</f>
        <v/>
      </c>
    </row>
    <row r="1531" ht="15" customHeight="1" s="1">
      <c r="A1531" s="2" t="n">
        <v>51529</v>
      </c>
      <c r="B1531" s="2" t="inlineStr">
        <is>
          <t>SKU-0132</t>
        </is>
      </c>
      <c r="C1531" s="2" t="n">
        <v>19</v>
      </c>
      <c r="D1531" s="2">
        <f>VLOOKUP(B1531,Products!$A$2:$D$201,3,FALSE())</f>
        <v/>
      </c>
      <c r="E1531" s="2">
        <f>C1531*D1531</f>
        <v/>
      </c>
      <c r="F1531" s="2">
        <f>C1531*INDEX(Products!$D$2:$D$201,MATCH(B1531,Products!$A$2:$A$201,0))</f>
        <v/>
      </c>
      <c r="G1531" s="2">
        <f>E1531-F1531</f>
        <v/>
      </c>
    </row>
    <row r="1532" ht="15" customHeight="1" s="1">
      <c r="A1532" s="2" t="n">
        <v>51530</v>
      </c>
      <c r="B1532" s="2" t="inlineStr">
        <is>
          <t>SKU-0187</t>
        </is>
      </c>
      <c r="C1532" s="2" t="n">
        <v>15</v>
      </c>
      <c r="D1532" s="2">
        <f>VLOOKUP(B1532,Products!$A$2:$D$201,3,FALSE())</f>
        <v/>
      </c>
      <c r="E1532" s="2">
        <f>C1532*D1532</f>
        <v/>
      </c>
      <c r="F1532" s="2">
        <f>C1532*INDEX(Products!$D$2:$D$201,MATCH(B1532,Products!$A$2:$A$201,0))</f>
        <v/>
      </c>
      <c r="G1532" s="2">
        <f>E1532-F1532</f>
        <v/>
      </c>
    </row>
    <row r="1533" ht="15" customHeight="1" s="1">
      <c r="A1533" s="2" t="n">
        <v>51531</v>
      </c>
      <c r="B1533" s="2" t="inlineStr">
        <is>
          <t>SKU-0129</t>
        </is>
      </c>
      <c r="C1533" s="2" t="n">
        <v>8</v>
      </c>
      <c r="D1533" s="2">
        <f>VLOOKUP(B1533,Products!$A$2:$D$201,3,FALSE())</f>
        <v/>
      </c>
      <c r="E1533" s="2">
        <f>C1533*D1533</f>
        <v/>
      </c>
      <c r="F1533" s="2">
        <f>C1533*INDEX(Products!$D$2:$D$201,MATCH(B1533,Products!$A$2:$A$201,0))</f>
        <v/>
      </c>
      <c r="G1533" s="2">
        <f>E1533-F1533</f>
        <v/>
      </c>
    </row>
    <row r="1534" ht="15" customHeight="1" s="1">
      <c r="A1534" s="2" t="n">
        <v>51532</v>
      </c>
      <c r="B1534" s="2" t="inlineStr">
        <is>
          <t>SKU-0089</t>
        </is>
      </c>
      <c r="C1534" s="2" t="n">
        <v>4</v>
      </c>
      <c r="D1534" s="2">
        <f>VLOOKUP(B1534,Products!$A$2:$D$201,3,FALSE())</f>
        <v/>
      </c>
      <c r="E1534" s="2">
        <f>C1534*D1534</f>
        <v/>
      </c>
      <c r="F1534" s="2">
        <f>C1534*INDEX(Products!$D$2:$D$201,MATCH(B1534,Products!$A$2:$A$201,0))</f>
        <v/>
      </c>
      <c r="G1534" s="2">
        <f>E1534-F1534</f>
        <v/>
      </c>
    </row>
    <row r="1535" ht="15" customHeight="1" s="1">
      <c r="A1535" s="2" t="n">
        <v>51533</v>
      </c>
      <c r="B1535" s="2" t="inlineStr">
        <is>
          <t>SKU-0008</t>
        </is>
      </c>
      <c r="C1535" s="2" t="n">
        <v>7</v>
      </c>
      <c r="D1535" s="2">
        <f>VLOOKUP(B1535,Products!$A$2:$D$201,3,FALSE())</f>
        <v/>
      </c>
      <c r="E1535" s="2">
        <f>C1535*D1535</f>
        <v/>
      </c>
      <c r="F1535" s="2">
        <f>C1535*INDEX(Products!$D$2:$D$201,MATCH(B1535,Products!$A$2:$A$201,0))</f>
        <v/>
      </c>
      <c r="G1535" s="2">
        <f>E1535-F1535</f>
        <v/>
      </c>
    </row>
    <row r="1536" ht="15" customHeight="1" s="1">
      <c r="A1536" s="2" t="n">
        <v>51534</v>
      </c>
      <c r="B1536" s="2" t="inlineStr">
        <is>
          <t>SKU-0008</t>
        </is>
      </c>
      <c r="C1536" s="2" t="n">
        <v>6</v>
      </c>
      <c r="D1536" s="2">
        <f>VLOOKUP(B1536,Products!$A$2:$D$201,3,FALSE())</f>
        <v/>
      </c>
      <c r="E1536" s="2">
        <f>C1536*D1536</f>
        <v/>
      </c>
      <c r="F1536" s="2">
        <f>C1536*INDEX(Products!$D$2:$D$201,MATCH(B1536,Products!$A$2:$A$201,0))</f>
        <v/>
      </c>
      <c r="G1536" s="2">
        <f>E1536-F1536</f>
        <v/>
      </c>
    </row>
    <row r="1537" ht="15" customHeight="1" s="1">
      <c r="A1537" s="2" t="n">
        <v>51535</v>
      </c>
      <c r="B1537" s="2" t="inlineStr">
        <is>
          <t>SKU-0120</t>
        </is>
      </c>
      <c r="C1537" s="2" t="n">
        <v>3</v>
      </c>
      <c r="D1537" s="2">
        <f>VLOOKUP(B1537,Products!$A$2:$D$201,3,FALSE())</f>
        <v/>
      </c>
      <c r="E1537" s="2">
        <f>C1537*D1537</f>
        <v/>
      </c>
      <c r="F1537" s="2">
        <f>C1537*INDEX(Products!$D$2:$D$201,MATCH(B1537,Products!$A$2:$A$201,0))</f>
        <v/>
      </c>
      <c r="G1537" s="2">
        <f>E1537-F1537</f>
        <v/>
      </c>
    </row>
    <row r="1538" ht="15" customHeight="1" s="1">
      <c r="A1538" s="2" t="n">
        <v>51536</v>
      </c>
      <c r="B1538" s="2" t="inlineStr">
        <is>
          <t>SKU-0103</t>
        </is>
      </c>
      <c r="C1538" s="2" t="n">
        <v>15</v>
      </c>
      <c r="D1538" s="2">
        <f>VLOOKUP(B1538,Products!$A$2:$D$201,3,FALSE())</f>
        <v/>
      </c>
      <c r="E1538" s="2">
        <f>C1538*D1538</f>
        <v/>
      </c>
      <c r="F1538" s="2">
        <f>C1538*INDEX(Products!$D$2:$D$201,MATCH(B1538,Products!$A$2:$A$201,0))</f>
        <v/>
      </c>
      <c r="G1538" s="2">
        <f>E1538-F1538</f>
        <v/>
      </c>
    </row>
    <row r="1539" ht="15" customHeight="1" s="1">
      <c r="A1539" s="2" t="n">
        <v>51537</v>
      </c>
      <c r="B1539" s="2" t="inlineStr">
        <is>
          <t>SKU-0031</t>
        </is>
      </c>
      <c r="C1539" s="2" t="n">
        <v>11</v>
      </c>
      <c r="D1539" s="2">
        <f>VLOOKUP(B1539,Products!$A$2:$D$201,3,FALSE())</f>
        <v/>
      </c>
      <c r="E1539" s="2">
        <f>C1539*D1539</f>
        <v/>
      </c>
      <c r="F1539" s="2">
        <f>C1539*INDEX(Products!$D$2:$D$201,MATCH(B1539,Products!$A$2:$A$201,0))</f>
        <v/>
      </c>
      <c r="G1539" s="2">
        <f>E1539-F1539</f>
        <v/>
      </c>
    </row>
    <row r="1540" ht="15" customHeight="1" s="1">
      <c r="A1540" s="2" t="n">
        <v>51538</v>
      </c>
      <c r="B1540" s="2" t="inlineStr">
        <is>
          <t>SKU-0147</t>
        </is>
      </c>
      <c r="C1540" s="2" t="n">
        <v>8</v>
      </c>
      <c r="D1540" s="2">
        <f>VLOOKUP(B1540,Products!$A$2:$D$201,3,FALSE())</f>
        <v/>
      </c>
      <c r="E1540" s="2">
        <f>C1540*D1540</f>
        <v/>
      </c>
      <c r="F1540" s="2">
        <f>C1540*INDEX(Products!$D$2:$D$201,MATCH(B1540,Products!$A$2:$A$201,0))</f>
        <v/>
      </c>
      <c r="G1540" s="2">
        <f>E1540-F1540</f>
        <v/>
      </c>
    </row>
    <row r="1541" ht="15" customHeight="1" s="1">
      <c r="A1541" s="2" t="n">
        <v>51539</v>
      </c>
      <c r="B1541" s="2" t="inlineStr">
        <is>
          <t>SKU-0175</t>
        </is>
      </c>
      <c r="C1541" s="2" t="n">
        <v>7</v>
      </c>
      <c r="D1541" s="2">
        <f>VLOOKUP(B1541,Products!$A$2:$D$201,3,FALSE())</f>
        <v/>
      </c>
      <c r="E1541" s="2">
        <f>C1541*D1541</f>
        <v/>
      </c>
      <c r="F1541" s="2">
        <f>C1541*INDEX(Products!$D$2:$D$201,MATCH(B1541,Products!$A$2:$A$201,0))</f>
        <v/>
      </c>
      <c r="G1541" s="2">
        <f>E1541-F1541</f>
        <v/>
      </c>
    </row>
    <row r="1542" ht="15" customHeight="1" s="1">
      <c r="A1542" s="2" t="n">
        <v>51540</v>
      </c>
      <c r="B1542" s="2" t="inlineStr">
        <is>
          <t>SKU-0148</t>
        </is>
      </c>
      <c r="C1542" s="2" t="n">
        <v>9</v>
      </c>
      <c r="D1542" s="2">
        <f>VLOOKUP(B1542,Products!$A$2:$D$201,3,FALSE())</f>
        <v/>
      </c>
      <c r="E1542" s="2">
        <f>C1542*D1542</f>
        <v/>
      </c>
      <c r="F1542" s="2">
        <f>C1542*INDEX(Products!$D$2:$D$201,MATCH(B1542,Products!$A$2:$A$201,0))</f>
        <v/>
      </c>
      <c r="G1542" s="2">
        <f>E1542-F1542</f>
        <v/>
      </c>
    </row>
    <row r="1543" ht="15" customHeight="1" s="1">
      <c r="A1543" s="2" t="n">
        <v>51541</v>
      </c>
      <c r="B1543" s="2" t="inlineStr">
        <is>
          <t>SKU-0045</t>
        </is>
      </c>
      <c r="C1543" s="2" t="n">
        <v>7</v>
      </c>
      <c r="D1543" s="2">
        <f>VLOOKUP(B1543,Products!$A$2:$D$201,3,FALSE())</f>
        <v/>
      </c>
      <c r="E1543" s="2">
        <f>C1543*D1543</f>
        <v/>
      </c>
      <c r="F1543" s="2">
        <f>C1543*INDEX(Products!$D$2:$D$201,MATCH(B1543,Products!$A$2:$A$201,0))</f>
        <v/>
      </c>
      <c r="G1543" s="2">
        <f>E1543-F1543</f>
        <v/>
      </c>
    </row>
    <row r="1544" ht="15" customHeight="1" s="1">
      <c r="A1544" s="2" t="n">
        <v>51542</v>
      </c>
      <c r="B1544" s="2" t="inlineStr">
        <is>
          <t>SKU-0060</t>
        </is>
      </c>
      <c r="C1544" s="2" t="n">
        <v>13</v>
      </c>
      <c r="D1544" s="2">
        <f>VLOOKUP(B1544,Products!$A$2:$D$201,3,FALSE())</f>
        <v/>
      </c>
      <c r="E1544" s="2">
        <f>C1544*D1544</f>
        <v/>
      </c>
      <c r="F1544" s="2">
        <f>C1544*INDEX(Products!$D$2:$D$201,MATCH(B1544,Products!$A$2:$A$201,0))</f>
        <v/>
      </c>
      <c r="G1544" s="2">
        <f>E1544-F1544</f>
        <v/>
      </c>
    </row>
    <row r="1545" ht="15" customHeight="1" s="1">
      <c r="A1545" s="2" t="n">
        <v>51543</v>
      </c>
      <c r="B1545" s="2" t="inlineStr">
        <is>
          <t>SKU-0157</t>
        </is>
      </c>
      <c r="C1545" s="2" t="n">
        <v>18</v>
      </c>
      <c r="D1545" s="2">
        <f>VLOOKUP(B1545,Products!$A$2:$D$201,3,FALSE())</f>
        <v/>
      </c>
      <c r="E1545" s="2">
        <f>C1545*D1545</f>
        <v/>
      </c>
      <c r="F1545" s="2">
        <f>C1545*INDEX(Products!$D$2:$D$201,MATCH(B1545,Products!$A$2:$A$201,0))</f>
        <v/>
      </c>
      <c r="G1545" s="2">
        <f>E1545-F1545</f>
        <v/>
      </c>
    </row>
    <row r="1546" ht="15" customHeight="1" s="1">
      <c r="A1546" s="2" t="n">
        <v>51544</v>
      </c>
      <c r="B1546" s="2" t="inlineStr">
        <is>
          <t>SKU-0197</t>
        </is>
      </c>
      <c r="C1546" s="2" t="n">
        <v>14</v>
      </c>
      <c r="D1546" s="2">
        <f>VLOOKUP(B1546,Products!$A$2:$D$201,3,FALSE())</f>
        <v/>
      </c>
      <c r="E1546" s="2">
        <f>C1546*D1546</f>
        <v/>
      </c>
      <c r="F1546" s="2">
        <f>C1546*INDEX(Products!$D$2:$D$201,MATCH(B1546,Products!$A$2:$A$201,0))</f>
        <v/>
      </c>
      <c r="G1546" s="2">
        <f>E1546-F1546</f>
        <v/>
      </c>
    </row>
    <row r="1547" ht="15" customHeight="1" s="1">
      <c r="A1547" s="2" t="n">
        <v>51545</v>
      </c>
      <c r="B1547" s="2" t="inlineStr">
        <is>
          <t>SKU-0047</t>
        </is>
      </c>
      <c r="C1547" s="2" t="n">
        <v>15</v>
      </c>
      <c r="D1547" s="2">
        <f>VLOOKUP(B1547,Products!$A$2:$D$201,3,FALSE())</f>
        <v/>
      </c>
      <c r="E1547" s="2">
        <f>C1547*D1547</f>
        <v/>
      </c>
      <c r="F1547" s="2">
        <f>C1547*INDEX(Products!$D$2:$D$201,MATCH(B1547,Products!$A$2:$A$201,0))</f>
        <v/>
      </c>
      <c r="G1547" s="2">
        <f>E1547-F1547</f>
        <v/>
      </c>
    </row>
    <row r="1548" ht="15" customHeight="1" s="1">
      <c r="A1548" s="2" t="n">
        <v>51546</v>
      </c>
      <c r="B1548" s="2" t="inlineStr">
        <is>
          <t>SKU-0098</t>
        </is>
      </c>
      <c r="C1548" s="2" t="n">
        <v>19</v>
      </c>
      <c r="D1548" s="2">
        <f>VLOOKUP(B1548,Products!$A$2:$D$201,3,FALSE())</f>
        <v/>
      </c>
      <c r="E1548" s="2">
        <f>C1548*D1548</f>
        <v/>
      </c>
      <c r="F1548" s="2">
        <f>C1548*INDEX(Products!$D$2:$D$201,MATCH(B1548,Products!$A$2:$A$201,0))</f>
        <v/>
      </c>
      <c r="G1548" s="2">
        <f>E1548-F1548</f>
        <v/>
      </c>
    </row>
    <row r="1549" ht="15" customHeight="1" s="1">
      <c r="A1549" s="2" t="n">
        <v>51547</v>
      </c>
      <c r="B1549" s="2" t="inlineStr">
        <is>
          <t>SKU-0054</t>
        </is>
      </c>
      <c r="C1549" s="2" t="n">
        <v>3</v>
      </c>
      <c r="D1549" s="2">
        <f>VLOOKUP(B1549,Products!$A$2:$D$201,3,FALSE())</f>
        <v/>
      </c>
      <c r="E1549" s="2">
        <f>C1549*D1549</f>
        <v/>
      </c>
      <c r="F1549" s="2">
        <f>C1549*INDEX(Products!$D$2:$D$201,MATCH(B1549,Products!$A$2:$A$201,0))</f>
        <v/>
      </c>
      <c r="G1549" s="2">
        <f>E1549-F1549</f>
        <v/>
      </c>
    </row>
    <row r="1550" ht="15" customHeight="1" s="1">
      <c r="A1550" s="2" t="n">
        <v>51548</v>
      </c>
      <c r="B1550" s="2" t="inlineStr">
        <is>
          <t>SKU-0170</t>
        </is>
      </c>
      <c r="C1550" s="2" t="n">
        <v>14</v>
      </c>
      <c r="D1550" s="2">
        <f>VLOOKUP(B1550,Products!$A$2:$D$201,3,FALSE())</f>
        <v/>
      </c>
      <c r="E1550" s="2">
        <f>C1550*D1550</f>
        <v/>
      </c>
      <c r="F1550" s="2">
        <f>C1550*INDEX(Products!$D$2:$D$201,MATCH(B1550,Products!$A$2:$A$201,0))</f>
        <v/>
      </c>
      <c r="G1550" s="2">
        <f>E1550-F1550</f>
        <v/>
      </c>
    </row>
    <row r="1551" ht="15" customHeight="1" s="1">
      <c r="A1551" s="2" t="n">
        <v>51549</v>
      </c>
      <c r="B1551" s="2" t="inlineStr">
        <is>
          <t>SKU-0174</t>
        </is>
      </c>
      <c r="C1551" s="2" t="n">
        <v>17</v>
      </c>
      <c r="D1551" s="2">
        <f>VLOOKUP(B1551,Products!$A$2:$D$201,3,FALSE())</f>
        <v/>
      </c>
      <c r="E1551" s="2">
        <f>C1551*D1551</f>
        <v/>
      </c>
      <c r="F1551" s="2">
        <f>C1551*INDEX(Products!$D$2:$D$201,MATCH(B1551,Products!$A$2:$A$201,0))</f>
        <v/>
      </c>
      <c r="G1551" s="2">
        <f>E1551-F1551</f>
        <v/>
      </c>
    </row>
    <row r="1552" ht="15" customHeight="1" s="1">
      <c r="A1552" s="2" t="n">
        <v>51550</v>
      </c>
      <c r="B1552" s="2" t="inlineStr">
        <is>
          <t>SKU-0157</t>
        </is>
      </c>
      <c r="C1552" s="2" t="n">
        <v>2</v>
      </c>
      <c r="D1552" s="2">
        <f>VLOOKUP(B1552,Products!$A$2:$D$201,3,FALSE())</f>
        <v/>
      </c>
      <c r="E1552" s="2">
        <f>C1552*D1552</f>
        <v/>
      </c>
      <c r="F1552" s="2">
        <f>C1552*INDEX(Products!$D$2:$D$201,MATCH(B1552,Products!$A$2:$A$201,0))</f>
        <v/>
      </c>
      <c r="G1552" s="2">
        <f>E1552-F1552</f>
        <v/>
      </c>
    </row>
    <row r="1553" ht="15" customHeight="1" s="1">
      <c r="A1553" s="2" t="n">
        <v>51551</v>
      </c>
      <c r="B1553" s="2" t="inlineStr">
        <is>
          <t>SKU-0185</t>
        </is>
      </c>
      <c r="C1553" s="2" t="n">
        <v>13</v>
      </c>
      <c r="D1553" s="2">
        <f>VLOOKUP(B1553,Products!$A$2:$D$201,3,FALSE())</f>
        <v/>
      </c>
      <c r="E1553" s="2">
        <f>C1553*D1553</f>
        <v/>
      </c>
      <c r="F1553" s="2">
        <f>C1553*INDEX(Products!$D$2:$D$201,MATCH(B1553,Products!$A$2:$A$201,0))</f>
        <v/>
      </c>
      <c r="G1553" s="2">
        <f>E1553-F1553</f>
        <v/>
      </c>
    </row>
    <row r="1554" ht="15" customHeight="1" s="1">
      <c r="A1554" s="2" t="n">
        <v>51552</v>
      </c>
      <c r="B1554" s="2" t="inlineStr">
        <is>
          <t>SKU-0102</t>
        </is>
      </c>
      <c r="C1554" s="2" t="n">
        <v>3</v>
      </c>
      <c r="D1554" s="2">
        <f>VLOOKUP(B1554,Products!$A$2:$D$201,3,FALSE())</f>
        <v/>
      </c>
      <c r="E1554" s="2">
        <f>C1554*D1554</f>
        <v/>
      </c>
      <c r="F1554" s="2">
        <f>C1554*INDEX(Products!$D$2:$D$201,MATCH(B1554,Products!$A$2:$A$201,0))</f>
        <v/>
      </c>
      <c r="G1554" s="2">
        <f>E1554-F1554</f>
        <v/>
      </c>
    </row>
    <row r="1555" ht="15" customHeight="1" s="1">
      <c r="A1555" s="2" t="n">
        <v>51553</v>
      </c>
      <c r="B1555" s="2" t="inlineStr">
        <is>
          <t>SKU-0048</t>
        </is>
      </c>
      <c r="C1555" s="2" t="n">
        <v>16</v>
      </c>
      <c r="D1555" s="2">
        <f>VLOOKUP(B1555,Products!$A$2:$D$201,3,FALSE())</f>
        <v/>
      </c>
      <c r="E1555" s="2">
        <f>C1555*D1555</f>
        <v/>
      </c>
      <c r="F1555" s="2">
        <f>C1555*INDEX(Products!$D$2:$D$201,MATCH(B1555,Products!$A$2:$A$201,0))</f>
        <v/>
      </c>
      <c r="G1555" s="2">
        <f>E1555-F1555</f>
        <v/>
      </c>
    </row>
    <row r="1556" ht="15" customHeight="1" s="1">
      <c r="A1556" s="2" t="n">
        <v>51554</v>
      </c>
      <c r="B1556" s="2" t="inlineStr">
        <is>
          <t>SKU-0187</t>
        </is>
      </c>
      <c r="C1556" s="2" t="n">
        <v>20</v>
      </c>
      <c r="D1556" s="2">
        <f>VLOOKUP(B1556,Products!$A$2:$D$201,3,FALSE())</f>
        <v/>
      </c>
      <c r="E1556" s="2">
        <f>C1556*D1556</f>
        <v/>
      </c>
      <c r="F1556" s="2">
        <f>C1556*INDEX(Products!$D$2:$D$201,MATCH(B1556,Products!$A$2:$A$201,0))</f>
        <v/>
      </c>
      <c r="G1556" s="2">
        <f>E1556-F1556</f>
        <v/>
      </c>
    </row>
    <row r="1557" ht="15" customHeight="1" s="1">
      <c r="A1557" s="2" t="n">
        <v>51555</v>
      </c>
      <c r="B1557" s="2" t="inlineStr">
        <is>
          <t>SKU-0074</t>
        </is>
      </c>
      <c r="C1557" s="2" t="n">
        <v>14</v>
      </c>
      <c r="D1557" s="2">
        <f>VLOOKUP(B1557,Products!$A$2:$D$201,3,FALSE())</f>
        <v/>
      </c>
      <c r="E1557" s="2">
        <f>C1557*D1557</f>
        <v/>
      </c>
      <c r="F1557" s="2">
        <f>C1557*INDEX(Products!$D$2:$D$201,MATCH(B1557,Products!$A$2:$A$201,0))</f>
        <v/>
      </c>
      <c r="G1557" s="2">
        <f>E1557-F1557</f>
        <v/>
      </c>
    </row>
    <row r="1558" ht="15" customHeight="1" s="1">
      <c r="A1558" s="2" t="n">
        <v>51556</v>
      </c>
      <c r="B1558" s="2" t="inlineStr">
        <is>
          <t>SKU-0067</t>
        </is>
      </c>
      <c r="C1558" s="2" t="n">
        <v>17</v>
      </c>
      <c r="D1558" s="2">
        <f>VLOOKUP(B1558,Products!$A$2:$D$201,3,FALSE())</f>
        <v/>
      </c>
      <c r="E1558" s="2">
        <f>C1558*D1558</f>
        <v/>
      </c>
      <c r="F1558" s="2">
        <f>C1558*INDEX(Products!$D$2:$D$201,MATCH(B1558,Products!$A$2:$A$201,0))</f>
        <v/>
      </c>
      <c r="G1558" s="2">
        <f>E1558-F1558</f>
        <v/>
      </c>
    </row>
    <row r="1559" ht="15" customHeight="1" s="1">
      <c r="A1559" s="2" t="n">
        <v>51557</v>
      </c>
      <c r="B1559" s="2" t="inlineStr">
        <is>
          <t>SKU-0064</t>
        </is>
      </c>
      <c r="C1559" s="2" t="n">
        <v>11</v>
      </c>
      <c r="D1559" s="2">
        <f>VLOOKUP(B1559,Products!$A$2:$D$201,3,FALSE())</f>
        <v/>
      </c>
      <c r="E1559" s="2">
        <f>C1559*D1559</f>
        <v/>
      </c>
      <c r="F1559" s="2">
        <f>C1559*INDEX(Products!$D$2:$D$201,MATCH(B1559,Products!$A$2:$A$201,0))</f>
        <v/>
      </c>
      <c r="G1559" s="2">
        <f>E1559-F1559</f>
        <v/>
      </c>
    </row>
    <row r="1560" ht="15" customHeight="1" s="1">
      <c r="A1560" s="2" t="n">
        <v>51558</v>
      </c>
      <c r="B1560" s="2" t="inlineStr">
        <is>
          <t>SKU-0175</t>
        </is>
      </c>
      <c r="C1560" s="2" t="n">
        <v>19</v>
      </c>
      <c r="D1560" s="2">
        <f>VLOOKUP(B1560,Products!$A$2:$D$201,3,FALSE())</f>
        <v/>
      </c>
      <c r="E1560" s="2">
        <f>C1560*D1560</f>
        <v/>
      </c>
      <c r="F1560" s="2">
        <f>C1560*INDEX(Products!$D$2:$D$201,MATCH(B1560,Products!$A$2:$A$201,0))</f>
        <v/>
      </c>
      <c r="G1560" s="2">
        <f>E1560-F1560</f>
        <v/>
      </c>
    </row>
    <row r="1561" ht="15" customHeight="1" s="1">
      <c r="A1561" s="2" t="n">
        <v>51559</v>
      </c>
      <c r="B1561" s="2" t="inlineStr">
        <is>
          <t>SKU-0150</t>
        </is>
      </c>
      <c r="C1561" s="2" t="n">
        <v>16</v>
      </c>
      <c r="D1561" s="2">
        <f>VLOOKUP(B1561,Products!$A$2:$D$201,3,FALSE())</f>
        <v/>
      </c>
      <c r="E1561" s="2">
        <f>C1561*D1561</f>
        <v/>
      </c>
      <c r="F1561" s="2">
        <f>C1561*INDEX(Products!$D$2:$D$201,MATCH(B1561,Products!$A$2:$A$201,0))</f>
        <v/>
      </c>
      <c r="G1561" s="2">
        <f>E1561-F1561</f>
        <v/>
      </c>
    </row>
    <row r="1562" ht="15" customHeight="1" s="1">
      <c r="A1562" s="2" t="n">
        <v>51560</v>
      </c>
      <c r="B1562" s="2" t="inlineStr">
        <is>
          <t>SKU-0197</t>
        </is>
      </c>
      <c r="C1562" s="2" t="n">
        <v>3</v>
      </c>
      <c r="D1562" s="2">
        <f>VLOOKUP(B1562,Products!$A$2:$D$201,3,FALSE())</f>
        <v/>
      </c>
      <c r="E1562" s="2">
        <f>C1562*D1562</f>
        <v/>
      </c>
      <c r="F1562" s="2">
        <f>C1562*INDEX(Products!$D$2:$D$201,MATCH(B1562,Products!$A$2:$A$201,0))</f>
        <v/>
      </c>
      <c r="G1562" s="2">
        <f>E1562-F1562</f>
        <v/>
      </c>
    </row>
    <row r="1563" ht="15" customHeight="1" s="1">
      <c r="A1563" s="2" t="n">
        <v>51561</v>
      </c>
      <c r="B1563" s="2" t="inlineStr">
        <is>
          <t>SKU-0035</t>
        </is>
      </c>
      <c r="C1563" s="2" t="n">
        <v>4</v>
      </c>
      <c r="D1563" s="2">
        <f>VLOOKUP(B1563,Products!$A$2:$D$201,3,FALSE())</f>
        <v/>
      </c>
      <c r="E1563" s="2">
        <f>C1563*D1563</f>
        <v/>
      </c>
      <c r="F1563" s="2">
        <f>C1563*INDEX(Products!$D$2:$D$201,MATCH(B1563,Products!$A$2:$A$201,0))</f>
        <v/>
      </c>
      <c r="G1563" s="2">
        <f>E1563-F1563</f>
        <v/>
      </c>
    </row>
    <row r="1564" ht="15" customHeight="1" s="1">
      <c r="A1564" s="2" t="n">
        <v>51562</v>
      </c>
      <c r="B1564" s="2" t="inlineStr">
        <is>
          <t>SKU-0150</t>
        </is>
      </c>
      <c r="C1564" s="2" t="n">
        <v>18</v>
      </c>
      <c r="D1564" s="2">
        <f>VLOOKUP(B1564,Products!$A$2:$D$201,3,FALSE())</f>
        <v/>
      </c>
      <c r="E1564" s="2">
        <f>C1564*D1564</f>
        <v/>
      </c>
      <c r="F1564" s="2">
        <f>C1564*INDEX(Products!$D$2:$D$201,MATCH(B1564,Products!$A$2:$A$201,0))</f>
        <v/>
      </c>
      <c r="G1564" s="2">
        <f>E1564-F1564</f>
        <v/>
      </c>
    </row>
    <row r="1565" ht="15" customHeight="1" s="1">
      <c r="A1565" s="2" t="n">
        <v>51563</v>
      </c>
      <c r="B1565" s="2" t="inlineStr">
        <is>
          <t>SKU-0152</t>
        </is>
      </c>
      <c r="C1565" s="2" t="n">
        <v>11</v>
      </c>
      <c r="D1565" s="2">
        <f>VLOOKUP(B1565,Products!$A$2:$D$201,3,FALSE())</f>
        <v/>
      </c>
      <c r="E1565" s="2">
        <f>C1565*D1565</f>
        <v/>
      </c>
      <c r="F1565" s="2">
        <f>C1565*INDEX(Products!$D$2:$D$201,MATCH(B1565,Products!$A$2:$A$201,0))</f>
        <v/>
      </c>
      <c r="G1565" s="2">
        <f>E1565-F1565</f>
        <v/>
      </c>
    </row>
    <row r="1566" ht="15" customHeight="1" s="1">
      <c r="A1566" s="2" t="n">
        <v>51564</v>
      </c>
      <c r="B1566" s="2" t="inlineStr">
        <is>
          <t>SKU-0029</t>
        </is>
      </c>
      <c r="C1566" s="2" t="n">
        <v>5</v>
      </c>
      <c r="D1566" s="2">
        <f>VLOOKUP(B1566,Products!$A$2:$D$201,3,FALSE())</f>
        <v/>
      </c>
      <c r="E1566" s="2">
        <f>C1566*D1566</f>
        <v/>
      </c>
      <c r="F1566" s="2">
        <f>C1566*INDEX(Products!$D$2:$D$201,MATCH(B1566,Products!$A$2:$A$201,0))</f>
        <v/>
      </c>
      <c r="G1566" s="2">
        <f>E1566-F1566</f>
        <v/>
      </c>
    </row>
    <row r="1567" ht="15" customHeight="1" s="1">
      <c r="A1567" s="2" t="n">
        <v>51565</v>
      </c>
      <c r="B1567" s="2" t="inlineStr">
        <is>
          <t>SKU-0147</t>
        </is>
      </c>
      <c r="C1567" s="2" t="n">
        <v>4</v>
      </c>
      <c r="D1567" s="2">
        <f>VLOOKUP(B1567,Products!$A$2:$D$201,3,FALSE())</f>
        <v/>
      </c>
      <c r="E1567" s="2">
        <f>C1567*D1567</f>
        <v/>
      </c>
      <c r="F1567" s="2">
        <f>C1567*INDEX(Products!$D$2:$D$201,MATCH(B1567,Products!$A$2:$A$201,0))</f>
        <v/>
      </c>
      <c r="G1567" s="2">
        <f>E1567-F1567</f>
        <v/>
      </c>
    </row>
    <row r="1568" ht="15" customHeight="1" s="1">
      <c r="A1568" s="2" t="n">
        <v>51566</v>
      </c>
      <c r="B1568" s="2" t="inlineStr">
        <is>
          <t>SKU-0158</t>
        </is>
      </c>
      <c r="C1568" s="2" t="n">
        <v>1</v>
      </c>
      <c r="D1568" s="2">
        <f>VLOOKUP(B1568,Products!$A$2:$D$201,3,FALSE())</f>
        <v/>
      </c>
      <c r="E1568" s="2">
        <f>C1568*D1568</f>
        <v/>
      </c>
      <c r="F1568" s="2">
        <f>C1568*INDEX(Products!$D$2:$D$201,MATCH(B1568,Products!$A$2:$A$201,0))</f>
        <v/>
      </c>
      <c r="G1568" s="2">
        <f>E1568-F1568</f>
        <v/>
      </c>
    </row>
    <row r="1569" ht="15" customHeight="1" s="1">
      <c r="A1569" s="2" t="n">
        <v>51567</v>
      </c>
      <c r="B1569" s="2" t="inlineStr">
        <is>
          <t>SKU-0159</t>
        </is>
      </c>
      <c r="C1569" s="2" t="n">
        <v>3</v>
      </c>
      <c r="D1569" s="2">
        <f>VLOOKUP(B1569,Products!$A$2:$D$201,3,FALSE())</f>
        <v/>
      </c>
      <c r="E1569" s="2">
        <f>C1569*D1569</f>
        <v/>
      </c>
      <c r="F1569" s="2">
        <f>C1569*INDEX(Products!$D$2:$D$201,MATCH(B1569,Products!$A$2:$A$201,0))</f>
        <v/>
      </c>
      <c r="G1569" s="2">
        <f>E1569-F1569</f>
        <v/>
      </c>
    </row>
    <row r="1570" ht="15" customHeight="1" s="1">
      <c r="A1570" s="2" t="n">
        <v>51568</v>
      </c>
      <c r="B1570" s="2" t="inlineStr">
        <is>
          <t>SKU-0105</t>
        </is>
      </c>
      <c r="C1570" s="2" t="n">
        <v>1</v>
      </c>
      <c r="D1570" s="2">
        <f>VLOOKUP(B1570,Products!$A$2:$D$201,3,FALSE())</f>
        <v/>
      </c>
      <c r="E1570" s="2">
        <f>C1570*D1570</f>
        <v/>
      </c>
      <c r="F1570" s="2">
        <f>C1570*INDEX(Products!$D$2:$D$201,MATCH(B1570,Products!$A$2:$A$201,0))</f>
        <v/>
      </c>
      <c r="G1570" s="2">
        <f>E1570-F1570</f>
        <v/>
      </c>
    </row>
    <row r="1571" ht="15" customHeight="1" s="1">
      <c r="A1571" s="2" t="n">
        <v>51569</v>
      </c>
      <c r="B1571" s="2" t="inlineStr">
        <is>
          <t>SKU-0187</t>
        </is>
      </c>
      <c r="C1571" s="2" t="n">
        <v>10</v>
      </c>
      <c r="D1571" s="2">
        <f>VLOOKUP(B1571,Products!$A$2:$D$201,3,FALSE())</f>
        <v/>
      </c>
      <c r="E1571" s="2">
        <f>C1571*D1571</f>
        <v/>
      </c>
      <c r="F1571" s="2">
        <f>C1571*INDEX(Products!$D$2:$D$201,MATCH(B1571,Products!$A$2:$A$201,0))</f>
        <v/>
      </c>
      <c r="G1571" s="2">
        <f>E1571-F1571</f>
        <v/>
      </c>
    </row>
    <row r="1572" ht="15" customHeight="1" s="1">
      <c r="A1572" s="2" t="n">
        <v>51570</v>
      </c>
      <c r="B1572" s="2" t="inlineStr">
        <is>
          <t>SKU-0027</t>
        </is>
      </c>
      <c r="C1572" s="2" t="n">
        <v>9</v>
      </c>
      <c r="D1572" s="2">
        <f>VLOOKUP(B1572,Products!$A$2:$D$201,3,FALSE())</f>
        <v/>
      </c>
      <c r="E1572" s="2">
        <f>C1572*D1572</f>
        <v/>
      </c>
      <c r="F1572" s="2">
        <f>C1572*INDEX(Products!$D$2:$D$201,MATCH(B1572,Products!$A$2:$A$201,0))</f>
        <v/>
      </c>
      <c r="G1572" s="2">
        <f>E1572-F1572</f>
        <v/>
      </c>
    </row>
    <row r="1573" ht="15" customHeight="1" s="1">
      <c r="A1573" s="2" t="n">
        <v>51571</v>
      </c>
      <c r="B1573" s="2" t="inlineStr">
        <is>
          <t>SKU-0144</t>
        </is>
      </c>
      <c r="C1573" s="2" t="n">
        <v>9</v>
      </c>
      <c r="D1573" s="2">
        <f>VLOOKUP(B1573,Products!$A$2:$D$201,3,FALSE())</f>
        <v/>
      </c>
      <c r="E1573" s="2">
        <f>C1573*D1573</f>
        <v/>
      </c>
      <c r="F1573" s="2">
        <f>C1573*INDEX(Products!$D$2:$D$201,MATCH(B1573,Products!$A$2:$A$201,0))</f>
        <v/>
      </c>
      <c r="G1573" s="2">
        <f>E1573-F1573</f>
        <v/>
      </c>
    </row>
    <row r="1574" ht="15" customHeight="1" s="1">
      <c r="A1574" s="2" t="n">
        <v>51572</v>
      </c>
      <c r="B1574" s="2" t="inlineStr">
        <is>
          <t>SKU-0007</t>
        </is>
      </c>
      <c r="C1574" s="2" t="n">
        <v>9</v>
      </c>
      <c r="D1574" s="2">
        <f>VLOOKUP(B1574,Products!$A$2:$D$201,3,FALSE())</f>
        <v/>
      </c>
      <c r="E1574" s="2">
        <f>C1574*D1574</f>
        <v/>
      </c>
      <c r="F1574" s="2">
        <f>C1574*INDEX(Products!$D$2:$D$201,MATCH(B1574,Products!$A$2:$A$201,0))</f>
        <v/>
      </c>
      <c r="G1574" s="2">
        <f>E1574-F1574</f>
        <v/>
      </c>
    </row>
    <row r="1575" ht="15" customHeight="1" s="1">
      <c r="A1575" s="2" t="n">
        <v>51573</v>
      </c>
      <c r="B1575" s="2" t="inlineStr">
        <is>
          <t>SKU-0086</t>
        </is>
      </c>
      <c r="C1575" s="2" t="n">
        <v>15</v>
      </c>
      <c r="D1575" s="2">
        <f>VLOOKUP(B1575,Products!$A$2:$D$201,3,FALSE())</f>
        <v/>
      </c>
      <c r="E1575" s="2">
        <f>C1575*D1575</f>
        <v/>
      </c>
      <c r="F1575" s="2">
        <f>C1575*INDEX(Products!$D$2:$D$201,MATCH(B1575,Products!$A$2:$A$201,0))</f>
        <v/>
      </c>
      <c r="G1575" s="2">
        <f>E1575-F1575</f>
        <v/>
      </c>
    </row>
    <row r="1576" ht="15" customHeight="1" s="1">
      <c r="A1576" s="2" t="n">
        <v>51574</v>
      </c>
      <c r="B1576" s="2" t="inlineStr">
        <is>
          <t>SKU-0066</t>
        </is>
      </c>
      <c r="C1576" s="2" t="n">
        <v>17</v>
      </c>
      <c r="D1576" s="2">
        <f>VLOOKUP(B1576,Products!$A$2:$D$201,3,FALSE())</f>
        <v/>
      </c>
      <c r="E1576" s="2">
        <f>C1576*D1576</f>
        <v/>
      </c>
      <c r="F1576" s="2">
        <f>C1576*INDEX(Products!$D$2:$D$201,MATCH(B1576,Products!$A$2:$A$201,0))</f>
        <v/>
      </c>
      <c r="G1576" s="2">
        <f>E1576-F1576</f>
        <v/>
      </c>
    </row>
    <row r="1577" ht="15" customHeight="1" s="1">
      <c r="A1577" s="2" t="n">
        <v>51575</v>
      </c>
      <c r="B1577" s="2" t="inlineStr">
        <is>
          <t>SKU-0182</t>
        </is>
      </c>
      <c r="C1577" s="2" t="n">
        <v>16</v>
      </c>
      <c r="D1577" s="2">
        <f>VLOOKUP(B1577,Products!$A$2:$D$201,3,FALSE())</f>
        <v/>
      </c>
      <c r="E1577" s="2">
        <f>C1577*D1577</f>
        <v/>
      </c>
      <c r="F1577" s="2">
        <f>C1577*INDEX(Products!$D$2:$D$201,MATCH(B1577,Products!$A$2:$A$201,0))</f>
        <v/>
      </c>
      <c r="G1577" s="2">
        <f>E1577-F1577</f>
        <v/>
      </c>
    </row>
    <row r="1578" ht="15" customHeight="1" s="1">
      <c r="A1578" s="2" t="n">
        <v>51576</v>
      </c>
      <c r="B1578" s="2" t="inlineStr">
        <is>
          <t>SKU-0027</t>
        </is>
      </c>
      <c r="C1578" s="2" t="n">
        <v>5</v>
      </c>
      <c r="D1578" s="2">
        <f>VLOOKUP(B1578,Products!$A$2:$D$201,3,FALSE())</f>
        <v/>
      </c>
      <c r="E1578" s="2">
        <f>C1578*D1578</f>
        <v/>
      </c>
      <c r="F1578" s="2">
        <f>C1578*INDEX(Products!$D$2:$D$201,MATCH(B1578,Products!$A$2:$A$201,0))</f>
        <v/>
      </c>
      <c r="G1578" s="2">
        <f>E1578-F1578</f>
        <v/>
      </c>
    </row>
    <row r="1579" ht="15" customHeight="1" s="1">
      <c r="A1579" s="2" t="n">
        <v>51577</v>
      </c>
      <c r="B1579" s="2" t="inlineStr">
        <is>
          <t>SKU-0141</t>
        </is>
      </c>
      <c r="C1579" s="2" t="n">
        <v>10</v>
      </c>
      <c r="D1579" s="2">
        <f>VLOOKUP(B1579,Products!$A$2:$D$201,3,FALSE())</f>
        <v/>
      </c>
      <c r="E1579" s="2">
        <f>C1579*D1579</f>
        <v/>
      </c>
      <c r="F1579" s="2">
        <f>C1579*INDEX(Products!$D$2:$D$201,MATCH(B1579,Products!$A$2:$A$201,0))</f>
        <v/>
      </c>
      <c r="G1579" s="2">
        <f>E1579-F1579</f>
        <v/>
      </c>
    </row>
    <row r="1580" ht="15" customHeight="1" s="1">
      <c r="A1580" s="2" t="n">
        <v>51578</v>
      </c>
      <c r="B1580" s="2" t="inlineStr">
        <is>
          <t>SKU-0073</t>
        </is>
      </c>
      <c r="C1580" s="2" t="n">
        <v>18</v>
      </c>
      <c r="D1580" s="2">
        <f>VLOOKUP(B1580,Products!$A$2:$D$201,3,FALSE())</f>
        <v/>
      </c>
      <c r="E1580" s="2">
        <f>C1580*D1580</f>
        <v/>
      </c>
      <c r="F1580" s="2">
        <f>C1580*INDEX(Products!$D$2:$D$201,MATCH(B1580,Products!$A$2:$A$201,0))</f>
        <v/>
      </c>
      <c r="G1580" s="2">
        <f>E1580-F1580</f>
        <v/>
      </c>
    </row>
    <row r="1581" ht="15" customHeight="1" s="1">
      <c r="A1581" s="2" t="n">
        <v>51579</v>
      </c>
      <c r="B1581" s="2" t="inlineStr">
        <is>
          <t>SKU-0118</t>
        </is>
      </c>
      <c r="C1581" s="2" t="n">
        <v>10</v>
      </c>
      <c r="D1581" s="2">
        <f>VLOOKUP(B1581,Products!$A$2:$D$201,3,FALSE())</f>
        <v/>
      </c>
      <c r="E1581" s="2">
        <f>C1581*D1581</f>
        <v/>
      </c>
      <c r="F1581" s="2">
        <f>C1581*INDEX(Products!$D$2:$D$201,MATCH(B1581,Products!$A$2:$A$201,0))</f>
        <v/>
      </c>
      <c r="G1581" s="2">
        <f>E1581-F1581</f>
        <v/>
      </c>
    </row>
    <row r="1582" ht="15" customHeight="1" s="1">
      <c r="A1582" s="2" t="n">
        <v>51580</v>
      </c>
      <c r="B1582" s="2" t="inlineStr">
        <is>
          <t>SKU-0178</t>
        </is>
      </c>
      <c r="C1582" s="2" t="n">
        <v>1</v>
      </c>
      <c r="D1582" s="2">
        <f>VLOOKUP(B1582,Products!$A$2:$D$201,3,FALSE())</f>
        <v/>
      </c>
      <c r="E1582" s="2">
        <f>C1582*D1582</f>
        <v/>
      </c>
      <c r="F1582" s="2">
        <f>C1582*INDEX(Products!$D$2:$D$201,MATCH(B1582,Products!$A$2:$A$201,0))</f>
        <v/>
      </c>
      <c r="G1582" s="2">
        <f>E1582-F1582</f>
        <v/>
      </c>
    </row>
    <row r="1583" ht="15" customHeight="1" s="1">
      <c r="A1583" s="2" t="n">
        <v>51581</v>
      </c>
      <c r="B1583" s="2" t="inlineStr">
        <is>
          <t>SKU-0035</t>
        </is>
      </c>
      <c r="C1583" s="2" t="n">
        <v>19</v>
      </c>
      <c r="D1583" s="2">
        <f>VLOOKUP(B1583,Products!$A$2:$D$201,3,FALSE())</f>
        <v/>
      </c>
      <c r="E1583" s="2">
        <f>C1583*D1583</f>
        <v/>
      </c>
      <c r="F1583" s="2">
        <f>C1583*INDEX(Products!$D$2:$D$201,MATCH(B1583,Products!$A$2:$A$201,0))</f>
        <v/>
      </c>
      <c r="G1583" s="2">
        <f>E1583-F1583</f>
        <v/>
      </c>
    </row>
    <row r="1584" ht="15" customHeight="1" s="1">
      <c r="A1584" s="2" t="n">
        <v>51582</v>
      </c>
      <c r="B1584" s="2" t="inlineStr">
        <is>
          <t>SKU-0120</t>
        </is>
      </c>
      <c r="C1584" s="2" t="n">
        <v>4</v>
      </c>
      <c r="D1584" s="2">
        <f>VLOOKUP(B1584,Products!$A$2:$D$201,3,FALSE())</f>
        <v/>
      </c>
      <c r="E1584" s="2">
        <f>C1584*D1584</f>
        <v/>
      </c>
      <c r="F1584" s="2">
        <f>C1584*INDEX(Products!$D$2:$D$201,MATCH(B1584,Products!$A$2:$A$201,0))</f>
        <v/>
      </c>
      <c r="G1584" s="2">
        <f>E1584-F1584</f>
        <v/>
      </c>
    </row>
    <row r="1585" ht="15" customHeight="1" s="1">
      <c r="A1585" s="2" t="n">
        <v>51583</v>
      </c>
      <c r="B1585" s="2" t="inlineStr">
        <is>
          <t>SKU-0095</t>
        </is>
      </c>
      <c r="C1585" s="2" t="n">
        <v>6</v>
      </c>
      <c r="D1585" s="2">
        <f>VLOOKUP(B1585,Products!$A$2:$D$201,3,FALSE())</f>
        <v/>
      </c>
      <c r="E1585" s="2">
        <f>C1585*D1585</f>
        <v/>
      </c>
      <c r="F1585" s="2">
        <f>C1585*INDEX(Products!$D$2:$D$201,MATCH(B1585,Products!$A$2:$A$201,0))</f>
        <v/>
      </c>
      <c r="G1585" s="2">
        <f>E1585-F1585</f>
        <v/>
      </c>
    </row>
    <row r="1586" ht="15" customHeight="1" s="1">
      <c r="A1586" s="2" t="n">
        <v>51584</v>
      </c>
      <c r="B1586" s="2" t="inlineStr">
        <is>
          <t>SKU-0180</t>
        </is>
      </c>
      <c r="C1586" s="2" t="n">
        <v>9</v>
      </c>
      <c r="D1586" s="2">
        <f>VLOOKUP(B1586,Products!$A$2:$D$201,3,FALSE())</f>
        <v/>
      </c>
      <c r="E1586" s="2">
        <f>C1586*D1586</f>
        <v/>
      </c>
      <c r="F1586" s="2">
        <f>C1586*INDEX(Products!$D$2:$D$201,MATCH(B1586,Products!$A$2:$A$201,0))</f>
        <v/>
      </c>
      <c r="G1586" s="2">
        <f>E1586-F1586</f>
        <v/>
      </c>
    </row>
    <row r="1587" ht="15" customHeight="1" s="1">
      <c r="A1587" s="2" t="n">
        <v>51585</v>
      </c>
      <c r="B1587" s="2" t="inlineStr">
        <is>
          <t>SKU-0144</t>
        </is>
      </c>
      <c r="C1587" s="2" t="n">
        <v>9</v>
      </c>
      <c r="D1587" s="2">
        <f>VLOOKUP(B1587,Products!$A$2:$D$201,3,FALSE())</f>
        <v/>
      </c>
      <c r="E1587" s="2">
        <f>C1587*D1587</f>
        <v/>
      </c>
      <c r="F1587" s="2">
        <f>C1587*INDEX(Products!$D$2:$D$201,MATCH(B1587,Products!$A$2:$A$201,0))</f>
        <v/>
      </c>
      <c r="G1587" s="2">
        <f>E1587-F1587</f>
        <v/>
      </c>
    </row>
    <row r="1588" ht="15" customHeight="1" s="1">
      <c r="A1588" s="2" t="n">
        <v>51586</v>
      </c>
      <c r="B1588" s="2" t="inlineStr">
        <is>
          <t>SKU-0071</t>
        </is>
      </c>
      <c r="C1588" s="2" t="n">
        <v>13</v>
      </c>
      <c r="D1588" s="2">
        <f>VLOOKUP(B1588,Products!$A$2:$D$201,3,FALSE())</f>
        <v/>
      </c>
      <c r="E1588" s="2">
        <f>C1588*D1588</f>
        <v/>
      </c>
      <c r="F1588" s="2">
        <f>C1588*INDEX(Products!$D$2:$D$201,MATCH(B1588,Products!$A$2:$A$201,0))</f>
        <v/>
      </c>
      <c r="G1588" s="2">
        <f>E1588-F1588</f>
        <v/>
      </c>
    </row>
    <row r="1589" ht="15" customHeight="1" s="1">
      <c r="A1589" s="2" t="n">
        <v>51587</v>
      </c>
      <c r="B1589" s="2" t="inlineStr">
        <is>
          <t>SKU-0194</t>
        </is>
      </c>
      <c r="C1589" s="2" t="n">
        <v>2</v>
      </c>
      <c r="D1589" s="2">
        <f>VLOOKUP(B1589,Products!$A$2:$D$201,3,FALSE())</f>
        <v/>
      </c>
      <c r="E1589" s="2">
        <f>C1589*D1589</f>
        <v/>
      </c>
      <c r="F1589" s="2">
        <f>C1589*INDEX(Products!$D$2:$D$201,MATCH(B1589,Products!$A$2:$A$201,0))</f>
        <v/>
      </c>
      <c r="G1589" s="2">
        <f>E1589-F1589</f>
        <v/>
      </c>
    </row>
    <row r="1590" ht="15" customHeight="1" s="1">
      <c r="A1590" s="2" t="n">
        <v>51588</v>
      </c>
      <c r="B1590" s="2" t="inlineStr">
        <is>
          <t>SKU-0138</t>
        </is>
      </c>
      <c r="C1590" s="2" t="n">
        <v>13</v>
      </c>
      <c r="D1590" s="2">
        <f>VLOOKUP(B1590,Products!$A$2:$D$201,3,FALSE())</f>
        <v/>
      </c>
      <c r="E1590" s="2">
        <f>C1590*D1590</f>
        <v/>
      </c>
      <c r="F1590" s="2">
        <f>C1590*INDEX(Products!$D$2:$D$201,MATCH(B1590,Products!$A$2:$A$201,0))</f>
        <v/>
      </c>
      <c r="G1590" s="2">
        <f>E1590-F1590</f>
        <v/>
      </c>
    </row>
    <row r="1591" ht="15" customHeight="1" s="1">
      <c r="A1591" s="2" t="n">
        <v>51589</v>
      </c>
      <c r="B1591" s="2" t="inlineStr">
        <is>
          <t>SKU-0046</t>
        </is>
      </c>
      <c r="C1591" s="2" t="n">
        <v>13</v>
      </c>
      <c r="D1591" s="2">
        <f>VLOOKUP(B1591,Products!$A$2:$D$201,3,FALSE())</f>
        <v/>
      </c>
      <c r="E1591" s="2">
        <f>C1591*D1591</f>
        <v/>
      </c>
      <c r="F1591" s="2">
        <f>C1591*INDEX(Products!$D$2:$D$201,MATCH(B1591,Products!$A$2:$A$201,0))</f>
        <v/>
      </c>
      <c r="G1591" s="2">
        <f>E1591-F1591</f>
        <v/>
      </c>
    </row>
    <row r="1592" ht="15" customHeight="1" s="1">
      <c r="A1592" s="2" t="n">
        <v>51590</v>
      </c>
      <c r="B1592" s="2" t="inlineStr">
        <is>
          <t>SKU-0017</t>
        </is>
      </c>
      <c r="C1592" s="2" t="n">
        <v>15</v>
      </c>
      <c r="D1592" s="2">
        <f>VLOOKUP(B1592,Products!$A$2:$D$201,3,FALSE())</f>
        <v/>
      </c>
      <c r="E1592" s="2">
        <f>C1592*D1592</f>
        <v/>
      </c>
      <c r="F1592" s="2">
        <f>C1592*INDEX(Products!$D$2:$D$201,MATCH(B1592,Products!$A$2:$A$201,0))</f>
        <v/>
      </c>
      <c r="G1592" s="2">
        <f>E1592-F1592</f>
        <v/>
      </c>
    </row>
    <row r="1593" ht="15" customHeight="1" s="1">
      <c r="A1593" s="2" t="n">
        <v>51591</v>
      </c>
      <c r="B1593" s="2" t="inlineStr">
        <is>
          <t>SKU-0179</t>
        </is>
      </c>
      <c r="C1593" s="2" t="n">
        <v>6</v>
      </c>
      <c r="D1593" s="2">
        <f>VLOOKUP(B1593,Products!$A$2:$D$201,3,FALSE())</f>
        <v/>
      </c>
      <c r="E1593" s="2">
        <f>C1593*D1593</f>
        <v/>
      </c>
      <c r="F1593" s="2">
        <f>C1593*INDEX(Products!$D$2:$D$201,MATCH(B1593,Products!$A$2:$A$201,0))</f>
        <v/>
      </c>
      <c r="G1593" s="2">
        <f>E1593-F1593</f>
        <v/>
      </c>
    </row>
    <row r="1594" ht="15" customHeight="1" s="1">
      <c r="A1594" s="2" t="n">
        <v>51592</v>
      </c>
      <c r="B1594" s="2" t="inlineStr">
        <is>
          <t>SKU-0182</t>
        </is>
      </c>
      <c r="C1594" s="2" t="n">
        <v>2</v>
      </c>
      <c r="D1594" s="2">
        <f>VLOOKUP(B1594,Products!$A$2:$D$201,3,FALSE())</f>
        <v/>
      </c>
      <c r="E1594" s="2">
        <f>C1594*D1594</f>
        <v/>
      </c>
      <c r="F1594" s="2">
        <f>C1594*INDEX(Products!$D$2:$D$201,MATCH(B1594,Products!$A$2:$A$201,0))</f>
        <v/>
      </c>
      <c r="G1594" s="2">
        <f>E1594-F1594</f>
        <v/>
      </c>
    </row>
    <row r="1595" ht="15" customHeight="1" s="1">
      <c r="A1595" s="2" t="n">
        <v>51593</v>
      </c>
      <c r="B1595" s="2" t="inlineStr">
        <is>
          <t>SKU-0106</t>
        </is>
      </c>
      <c r="C1595" s="2" t="n">
        <v>13</v>
      </c>
      <c r="D1595" s="2">
        <f>VLOOKUP(B1595,Products!$A$2:$D$201,3,FALSE())</f>
        <v/>
      </c>
      <c r="E1595" s="2">
        <f>C1595*D1595</f>
        <v/>
      </c>
      <c r="F1595" s="2">
        <f>C1595*INDEX(Products!$D$2:$D$201,MATCH(B1595,Products!$A$2:$A$201,0))</f>
        <v/>
      </c>
      <c r="G1595" s="2">
        <f>E1595-F1595</f>
        <v/>
      </c>
    </row>
    <row r="1596" ht="15" customHeight="1" s="1">
      <c r="A1596" s="2" t="n">
        <v>51594</v>
      </c>
      <c r="B1596" s="2" t="inlineStr">
        <is>
          <t>SKU-0197</t>
        </is>
      </c>
      <c r="C1596" s="2" t="n">
        <v>3</v>
      </c>
      <c r="D1596" s="2">
        <f>VLOOKUP(B1596,Products!$A$2:$D$201,3,FALSE())</f>
        <v/>
      </c>
      <c r="E1596" s="2">
        <f>C1596*D1596</f>
        <v/>
      </c>
      <c r="F1596" s="2">
        <f>C1596*INDEX(Products!$D$2:$D$201,MATCH(B1596,Products!$A$2:$A$201,0))</f>
        <v/>
      </c>
      <c r="G1596" s="2">
        <f>E1596-F1596</f>
        <v/>
      </c>
    </row>
    <row r="1597" ht="15" customHeight="1" s="1">
      <c r="A1597" s="2" t="n">
        <v>51595</v>
      </c>
      <c r="B1597" s="2" t="inlineStr">
        <is>
          <t>SKU-0075</t>
        </is>
      </c>
      <c r="C1597" s="2" t="n">
        <v>11</v>
      </c>
      <c r="D1597" s="2">
        <f>VLOOKUP(B1597,Products!$A$2:$D$201,3,FALSE())</f>
        <v/>
      </c>
      <c r="E1597" s="2">
        <f>C1597*D1597</f>
        <v/>
      </c>
      <c r="F1597" s="2">
        <f>C1597*INDEX(Products!$D$2:$D$201,MATCH(B1597,Products!$A$2:$A$201,0))</f>
        <v/>
      </c>
      <c r="G1597" s="2">
        <f>E1597-F1597</f>
        <v/>
      </c>
    </row>
    <row r="1598" ht="15" customHeight="1" s="1">
      <c r="A1598" s="2" t="n">
        <v>51596</v>
      </c>
      <c r="B1598" s="2" t="inlineStr">
        <is>
          <t>SKU-0019</t>
        </is>
      </c>
      <c r="C1598" s="2" t="n">
        <v>2</v>
      </c>
      <c r="D1598" s="2">
        <f>VLOOKUP(B1598,Products!$A$2:$D$201,3,FALSE())</f>
        <v/>
      </c>
      <c r="E1598" s="2">
        <f>C1598*D1598</f>
        <v/>
      </c>
      <c r="F1598" s="2">
        <f>C1598*INDEX(Products!$D$2:$D$201,MATCH(B1598,Products!$A$2:$A$201,0))</f>
        <v/>
      </c>
      <c r="G1598" s="2">
        <f>E1598-F1598</f>
        <v/>
      </c>
    </row>
    <row r="1599" ht="15" customHeight="1" s="1">
      <c r="A1599" s="2" t="n">
        <v>51597</v>
      </c>
      <c r="B1599" s="2" t="inlineStr">
        <is>
          <t>SKU-0188</t>
        </is>
      </c>
      <c r="C1599" s="2" t="n">
        <v>2</v>
      </c>
      <c r="D1599" s="2">
        <f>VLOOKUP(B1599,Products!$A$2:$D$201,3,FALSE())</f>
        <v/>
      </c>
      <c r="E1599" s="2">
        <f>C1599*D1599</f>
        <v/>
      </c>
      <c r="F1599" s="2">
        <f>C1599*INDEX(Products!$D$2:$D$201,MATCH(B1599,Products!$A$2:$A$201,0))</f>
        <v/>
      </c>
      <c r="G1599" s="2">
        <f>E1599-F1599</f>
        <v/>
      </c>
    </row>
    <row r="1600" ht="15" customHeight="1" s="1">
      <c r="A1600" s="2" t="n">
        <v>51598</v>
      </c>
      <c r="B1600" s="2" t="inlineStr">
        <is>
          <t>SKU-0090</t>
        </is>
      </c>
      <c r="C1600" s="2" t="n">
        <v>12</v>
      </c>
      <c r="D1600" s="2">
        <f>VLOOKUP(B1600,Products!$A$2:$D$201,3,FALSE())</f>
        <v/>
      </c>
      <c r="E1600" s="2">
        <f>C1600*D1600</f>
        <v/>
      </c>
      <c r="F1600" s="2">
        <f>C1600*INDEX(Products!$D$2:$D$201,MATCH(B1600,Products!$A$2:$A$201,0))</f>
        <v/>
      </c>
      <c r="G1600" s="2">
        <f>E1600-F1600</f>
        <v/>
      </c>
    </row>
    <row r="1601" ht="15" customHeight="1" s="1">
      <c r="A1601" s="2" t="n">
        <v>51599</v>
      </c>
      <c r="B1601" s="2" t="inlineStr">
        <is>
          <t>SKU-0092</t>
        </is>
      </c>
      <c r="C1601" s="2" t="n">
        <v>17</v>
      </c>
      <c r="D1601" s="2">
        <f>VLOOKUP(B1601,Products!$A$2:$D$201,3,FALSE())</f>
        <v/>
      </c>
      <c r="E1601" s="2">
        <f>C1601*D1601</f>
        <v/>
      </c>
      <c r="F1601" s="2">
        <f>C1601*INDEX(Products!$D$2:$D$201,MATCH(B1601,Products!$A$2:$A$201,0))</f>
        <v/>
      </c>
      <c r="G1601" s="2">
        <f>E1601-F1601</f>
        <v/>
      </c>
    </row>
    <row r="1602" ht="15" customHeight="1" s="1">
      <c r="A1602" s="2" t="n">
        <v>51600</v>
      </c>
      <c r="B1602" s="2" t="inlineStr">
        <is>
          <t>SKU-0134</t>
        </is>
      </c>
      <c r="C1602" s="2" t="n">
        <v>14</v>
      </c>
      <c r="D1602" s="2">
        <f>VLOOKUP(B1602,Products!$A$2:$D$201,3,FALSE())</f>
        <v/>
      </c>
      <c r="E1602" s="2">
        <f>C1602*D1602</f>
        <v/>
      </c>
      <c r="F1602" s="2">
        <f>C1602*INDEX(Products!$D$2:$D$201,MATCH(B1602,Products!$A$2:$A$201,0))</f>
        <v/>
      </c>
      <c r="G1602" s="2">
        <f>E1602-F1602</f>
        <v/>
      </c>
    </row>
    <row r="1603" ht="15" customHeight="1" s="1">
      <c r="A1603" s="2" t="n">
        <v>51601</v>
      </c>
      <c r="B1603" s="2" t="inlineStr">
        <is>
          <t>SKU-0020</t>
        </is>
      </c>
      <c r="C1603" s="2" t="n">
        <v>5</v>
      </c>
      <c r="D1603" s="2">
        <f>VLOOKUP(B1603,Products!$A$2:$D$201,3,FALSE())</f>
        <v/>
      </c>
      <c r="E1603" s="2">
        <f>C1603*D1603</f>
        <v/>
      </c>
      <c r="F1603" s="2">
        <f>C1603*INDEX(Products!$D$2:$D$201,MATCH(B1603,Products!$A$2:$A$201,0))</f>
        <v/>
      </c>
      <c r="G1603" s="2">
        <f>E1603-F1603</f>
        <v/>
      </c>
    </row>
    <row r="1604" ht="15" customHeight="1" s="1">
      <c r="A1604" s="2" t="n">
        <v>51602</v>
      </c>
      <c r="B1604" s="2" t="inlineStr">
        <is>
          <t>SKU-0049</t>
        </is>
      </c>
      <c r="C1604" s="2" t="n">
        <v>10</v>
      </c>
      <c r="D1604" s="2">
        <f>VLOOKUP(B1604,Products!$A$2:$D$201,3,FALSE())</f>
        <v/>
      </c>
      <c r="E1604" s="2">
        <f>C1604*D1604</f>
        <v/>
      </c>
      <c r="F1604" s="2">
        <f>C1604*INDEX(Products!$D$2:$D$201,MATCH(B1604,Products!$A$2:$A$201,0))</f>
        <v/>
      </c>
      <c r="G1604" s="2">
        <f>E1604-F1604</f>
        <v/>
      </c>
    </row>
    <row r="1605" ht="15" customHeight="1" s="1">
      <c r="A1605" s="2" t="n">
        <v>51603</v>
      </c>
      <c r="B1605" s="2" t="inlineStr">
        <is>
          <t>SKU-0093</t>
        </is>
      </c>
      <c r="C1605" s="2" t="n">
        <v>19</v>
      </c>
      <c r="D1605" s="2">
        <f>VLOOKUP(B1605,Products!$A$2:$D$201,3,FALSE())</f>
        <v/>
      </c>
      <c r="E1605" s="2">
        <f>C1605*D1605</f>
        <v/>
      </c>
      <c r="F1605" s="2">
        <f>C1605*INDEX(Products!$D$2:$D$201,MATCH(B1605,Products!$A$2:$A$201,0))</f>
        <v/>
      </c>
      <c r="G1605" s="2">
        <f>E1605-F1605</f>
        <v/>
      </c>
    </row>
    <row r="1606" ht="15" customHeight="1" s="1">
      <c r="A1606" s="2" t="n">
        <v>51604</v>
      </c>
      <c r="B1606" s="2" t="inlineStr">
        <is>
          <t>SKU-0058</t>
        </is>
      </c>
      <c r="C1606" s="2" t="n">
        <v>4</v>
      </c>
      <c r="D1606" s="2">
        <f>VLOOKUP(B1606,Products!$A$2:$D$201,3,FALSE())</f>
        <v/>
      </c>
      <c r="E1606" s="2">
        <f>C1606*D1606</f>
        <v/>
      </c>
      <c r="F1606" s="2">
        <f>C1606*INDEX(Products!$D$2:$D$201,MATCH(B1606,Products!$A$2:$A$201,0))</f>
        <v/>
      </c>
      <c r="G1606" s="2">
        <f>E1606-F1606</f>
        <v/>
      </c>
    </row>
    <row r="1607" ht="15" customHeight="1" s="1">
      <c r="A1607" s="2" t="n">
        <v>51605</v>
      </c>
      <c r="B1607" s="2" t="inlineStr">
        <is>
          <t>SKU-0169</t>
        </is>
      </c>
      <c r="C1607" s="2" t="n">
        <v>19</v>
      </c>
      <c r="D1607" s="2">
        <f>VLOOKUP(B1607,Products!$A$2:$D$201,3,FALSE())</f>
        <v/>
      </c>
      <c r="E1607" s="2">
        <f>C1607*D1607</f>
        <v/>
      </c>
      <c r="F1607" s="2">
        <f>C1607*INDEX(Products!$D$2:$D$201,MATCH(B1607,Products!$A$2:$A$201,0))</f>
        <v/>
      </c>
      <c r="G1607" s="2">
        <f>E1607-F1607</f>
        <v/>
      </c>
    </row>
    <row r="1608" ht="15" customHeight="1" s="1">
      <c r="A1608" s="2" t="n">
        <v>51606</v>
      </c>
      <c r="B1608" s="2" t="inlineStr">
        <is>
          <t>SKU-0104</t>
        </is>
      </c>
      <c r="C1608" s="2" t="n">
        <v>6</v>
      </c>
      <c r="D1608" s="2">
        <f>VLOOKUP(B1608,Products!$A$2:$D$201,3,FALSE())</f>
        <v/>
      </c>
      <c r="E1608" s="2">
        <f>C1608*D1608</f>
        <v/>
      </c>
      <c r="F1608" s="2">
        <f>C1608*INDEX(Products!$D$2:$D$201,MATCH(B1608,Products!$A$2:$A$201,0))</f>
        <v/>
      </c>
      <c r="G1608" s="2">
        <f>E1608-F1608</f>
        <v/>
      </c>
    </row>
    <row r="1609" ht="15" customHeight="1" s="1">
      <c r="A1609" s="2" t="n">
        <v>51607</v>
      </c>
      <c r="B1609" s="2" t="inlineStr">
        <is>
          <t>SKU-0017</t>
        </is>
      </c>
      <c r="C1609" s="2" t="n">
        <v>11</v>
      </c>
      <c r="D1609" s="2">
        <f>VLOOKUP(B1609,Products!$A$2:$D$201,3,FALSE())</f>
        <v/>
      </c>
      <c r="E1609" s="2">
        <f>C1609*D1609</f>
        <v/>
      </c>
      <c r="F1609" s="2">
        <f>C1609*INDEX(Products!$D$2:$D$201,MATCH(B1609,Products!$A$2:$A$201,0))</f>
        <v/>
      </c>
      <c r="G1609" s="2">
        <f>E1609-F1609</f>
        <v/>
      </c>
    </row>
    <row r="1610" ht="15" customHeight="1" s="1">
      <c r="A1610" s="2" t="n">
        <v>51608</v>
      </c>
      <c r="B1610" s="2" t="inlineStr">
        <is>
          <t>SKU-0093</t>
        </is>
      </c>
      <c r="C1610" s="2" t="n">
        <v>2</v>
      </c>
      <c r="D1610" s="2">
        <f>VLOOKUP(B1610,Products!$A$2:$D$201,3,FALSE())</f>
        <v/>
      </c>
      <c r="E1610" s="2">
        <f>C1610*D1610</f>
        <v/>
      </c>
      <c r="F1610" s="2">
        <f>C1610*INDEX(Products!$D$2:$D$201,MATCH(B1610,Products!$A$2:$A$201,0))</f>
        <v/>
      </c>
      <c r="G1610" s="2">
        <f>E1610-F1610</f>
        <v/>
      </c>
    </row>
    <row r="1611" ht="15" customHeight="1" s="1">
      <c r="A1611" s="2" t="n">
        <v>51609</v>
      </c>
      <c r="B1611" s="2" t="inlineStr">
        <is>
          <t>SKU-0014</t>
        </is>
      </c>
      <c r="C1611" s="2" t="n">
        <v>12</v>
      </c>
      <c r="D1611" s="2">
        <f>VLOOKUP(B1611,Products!$A$2:$D$201,3,FALSE())</f>
        <v/>
      </c>
      <c r="E1611" s="2">
        <f>C1611*D1611</f>
        <v/>
      </c>
      <c r="F1611" s="2">
        <f>C1611*INDEX(Products!$D$2:$D$201,MATCH(B1611,Products!$A$2:$A$201,0))</f>
        <v/>
      </c>
      <c r="G1611" s="2">
        <f>E1611-F1611</f>
        <v/>
      </c>
    </row>
    <row r="1612" ht="15" customHeight="1" s="1">
      <c r="A1612" s="2" t="n">
        <v>51610</v>
      </c>
      <c r="B1612" s="2" t="inlineStr">
        <is>
          <t>SKU-0020</t>
        </is>
      </c>
      <c r="C1612" s="2" t="n">
        <v>4</v>
      </c>
      <c r="D1612" s="2">
        <f>VLOOKUP(B1612,Products!$A$2:$D$201,3,FALSE())</f>
        <v/>
      </c>
      <c r="E1612" s="2">
        <f>C1612*D1612</f>
        <v/>
      </c>
      <c r="F1612" s="2">
        <f>C1612*INDEX(Products!$D$2:$D$201,MATCH(B1612,Products!$A$2:$A$201,0))</f>
        <v/>
      </c>
      <c r="G1612" s="2">
        <f>E1612-F1612</f>
        <v/>
      </c>
    </row>
    <row r="1613" ht="15" customHeight="1" s="1">
      <c r="A1613" s="2" t="n">
        <v>51611</v>
      </c>
      <c r="B1613" s="2" t="inlineStr">
        <is>
          <t>SKU-0007</t>
        </is>
      </c>
      <c r="C1613" s="2" t="n">
        <v>12</v>
      </c>
      <c r="D1613" s="2">
        <f>VLOOKUP(B1613,Products!$A$2:$D$201,3,FALSE())</f>
        <v/>
      </c>
      <c r="E1613" s="2">
        <f>C1613*D1613</f>
        <v/>
      </c>
      <c r="F1613" s="2">
        <f>C1613*INDEX(Products!$D$2:$D$201,MATCH(B1613,Products!$A$2:$A$201,0))</f>
        <v/>
      </c>
      <c r="G1613" s="2">
        <f>E1613-F1613</f>
        <v/>
      </c>
    </row>
    <row r="1614" ht="15" customHeight="1" s="1">
      <c r="A1614" s="2" t="n">
        <v>51612</v>
      </c>
      <c r="B1614" s="2" t="inlineStr">
        <is>
          <t>SKU-0034</t>
        </is>
      </c>
      <c r="C1614" s="2" t="n">
        <v>3</v>
      </c>
      <c r="D1614" s="2">
        <f>VLOOKUP(B1614,Products!$A$2:$D$201,3,FALSE())</f>
        <v/>
      </c>
      <c r="E1614" s="2">
        <f>C1614*D1614</f>
        <v/>
      </c>
      <c r="F1614" s="2">
        <f>C1614*INDEX(Products!$D$2:$D$201,MATCH(B1614,Products!$A$2:$A$201,0))</f>
        <v/>
      </c>
      <c r="G1614" s="2">
        <f>E1614-F1614</f>
        <v/>
      </c>
    </row>
    <row r="1615" ht="15" customHeight="1" s="1">
      <c r="A1615" s="2" t="n">
        <v>51613</v>
      </c>
      <c r="B1615" s="2" t="inlineStr">
        <is>
          <t>SKU-0034</t>
        </is>
      </c>
      <c r="C1615" s="2" t="n">
        <v>6</v>
      </c>
      <c r="D1615" s="2">
        <f>VLOOKUP(B1615,Products!$A$2:$D$201,3,FALSE())</f>
        <v/>
      </c>
      <c r="E1615" s="2">
        <f>C1615*D1615</f>
        <v/>
      </c>
      <c r="F1615" s="2">
        <f>C1615*INDEX(Products!$D$2:$D$201,MATCH(B1615,Products!$A$2:$A$201,0))</f>
        <v/>
      </c>
      <c r="G1615" s="2">
        <f>E1615-F1615</f>
        <v/>
      </c>
    </row>
    <row r="1616" ht="15" customHeight="1" s="1">
      <c r="A1616" s="2" t="n">
        <v>51614</v>
      </c>
      <c r="B1616" s="2" t="inlineStr">
        <is>
          <t>SKU-0188</t>
        </is>
      </c>
      <c r="C1616" s="2" t="n">
        <v>10</v>
      </c>
      <c r="D1616" s="2">
        <f>VLOOKUP(B1616,Products!$A$2:$D$201,3,FALSE())</f>
        <v/>
      </c>
      <c r="E1616" s="2">
        <f>C1616*D1616</f>
        <v/>
      </c>
      <c r="F1616" s="2">
        <f>C1616*INDEX(Products!$D$2:$D$201,MATCH(B1616,Products!$A$2:$A$201,0))</f>
        <v/>
      </c>
      <c r="G1616" s="2">
        <f>E1616-F1616</f>
        <v/>
      </c>
    </row>
    <row r="1617" ht="15" customHeight="1" s="1">
      <c r="A1617" s="2" t="n">
        <v>51615</v>
      </c>
      <c r="B1617" s="2" t="inlineStr">
        <is>
          <t>SKU-0114</t>
        </is>
      </c>
      <c r="C1617" s="2" t="n">
        <v>8</v>
      </c>
      <c r="D1617" s="2">
        <f>VLOOKUP(B1617,Products!$A$2:$D$201,3,FALSE())</f>
        <v/>
      </c>
      <c r="E1617" s="2">
        <f>C1617*D1617</f>
        <v/>
      </c>
      <c r="F1617" s="2">
        <f>C1617*INDEX(Products!$D$2:$D$201,MATCH(B1617,Products!$A$2:$A$201,0))</f>
        <v/>
      </c>
      <c r="G1617" s="2">
        <f>E1617-F1617</f>
        <v/>
      </c>
    </row>
    <row r="1618" ht="15" customHeight="1" s="1">
      <c r="A1618" s="2" t="n">
        <v>51616</v>
      </c>
      <c r="B1618" s="2" t="inlineStr">
        <is>
          <t>SKU-0053</t>
        </is>
      </c>
      <c r="C1618" s="2" t="n">
        <v>2</v>
      </c>
      <c r="D1618" s="2">
        <f>VLOOKUP(B1618,Products!$A$2:$D$201,3,FALSE())</f>
        <v/>
      </c>
      <c r="E1618" s="2">
        <f>C1618*D1618</f>
        <v/>
      </c>
      <c r="F1618" s="2">
        <f>C1618*INDEX(Products!$D$2:$D$201,MATCH(B1618,Products!$A$2:$A$201,0))</f>
        <v/>
      </c>
      <c r="G1618" s="2">
        <f>E1618-F1618</f>
        <v/>
      </c>
    </row>
    <row r="1619" ht="15" customHeight="1" s="1">
      <c r="A1619" s="2" t="n">
        <v>51617</v>
      </c>
      <c r="B1619" s="2" t="inlineStr">
        <is>
          <t>SKU-0007</t>
        </is>
      </c>
      <c r="C1619" s="2" t="n">
        <v>15</v>
      </c>
      <c r="D1619" s="2">
        <f>VLOOKUP(B1619,Products!$A$2:$D$201,3,FALSE())</f>
        <v/>
      </c>
      <c r="E1619" s="2">
        <f>C1619*D1619</f>
        <v/>
      </c>
      <c r="F1619" s="2">
        <f>C1619*INDEX(Products!$D$2:$D$201,MATCH(B1619,Products!$A$2:$A$201,0))</f>
        <v/>
      </c>
      <c r="G1619" s="2">
        <f>E1619-F1619</f>
        <v/>
      </c>
    </row>
    <row r="1620" ht="15" customHeight="1" s="1">
      <c r="A1620" s="2" t="n">
        <v>51618</v>
      </c>
      <c r="B1620" s="2" t="inlineStr">
        <is>
          <t>SKU-0064</t>
        </is>
      </c>
      <c r="C1620" s="2" t="n">
        <v>3</v>
      </c>
      <c r="D1620" s="2">
        <f>VLOOKUP(B1620,Products!$A$2:$D$201,3,FALSE())</f>
        <v/>
      </c>
      <c r="E1620" s="2">
        <f>C1620*D1620</f>
        <v/>
      </c>
      <c r="F1620" s="2">
        <f>C1620*INDEX(Products!$D$2:$D$201,MATCH(B1620,Products!$A$2:$A$201,0))</f>
        <v/>
      </c>
      <c r="G1620" s="2">
        <f>E1620-F1620</f>
        <v/>
      </c>
    </row>
    <row r="1621" ht="15" customHeight="1" s="1">
      <c r="A1621" s="2" t="n">
        <v>51619</v>
      </c>
      <c r="B1621" s="2" t="inlineStr">
        <is>
          <t>SKU-0186</t>
        </is>
      </c>
      <c r="C1621" s="2" t="n">
        <v>16</v>
      </c>
      <c r="D1621" s="2">
        <f>VLOOKUP(B1621,Products!$A$2:$D$201,3,FALSE())</f>
        <v/>
      </c>
      <c r="E1621" s="2">
        <f>C1621*D1621</f>
        <v/>
      </c>
      <c r="F1621" s="2">
        <f>C1621*INDEX(Products!$D$2:$D$201,MATCH(B1621,Products!$A$2:$A$201,0))</f>
        <v/>
      </c>
      <c r="G1621" s="2">
        <f>E1621-F1621</f>
        <v/>
      </c>
    </row>
    <row r="1622" ht="15" customHeight="1" s="1">
      <c r="A1622" s="2" t="n">
        <v>51620</v>
      </c>
      <c r="B1622" s="2" t="inlineStr">
        <is>
          <t>SKU-0141</t>
        </is>
      </c>
      <c r="C1622" s="2" t="n">
        <v>5</v>
      </c>
      <c r="D1622" s="2">
        <f>VLOOKUP(B1622,Products!$A$2:$D$201,3,FALSE())</f>
        <v/>
      </c>
      <c r="E1622" s="2">
        <f>C1622*D1622</f>
        <v/>
      </c>
      <c r="F1622" s="2">
        <f>C1622*INDEX(Products!$D$2:$D$201,MATCH(B1622,Products!$A$2:$A$201,0))</f>
        <v/>
      </c>
      <c r="G1622" s="2">
        <f>E1622-F1622</f>
        <v/>
      </c>
    </row>
    <row r="1623" ht="15" customHeight="1" s="1">
      <c r="A1623" s="2" t="n">
        <v>51621</v>
      </c>
      <c r="B1623" s="2" t="inlineStr">
        <is>
          <t>SKU-0150</t>
        </is>
      </c>
      <c r="C1623" s="2" t="n">
        <v>20</v>
      </c>
      <c r="D1623" s="2">
        <f>VLOOKUP(B1623,Products!$A$2:$D$201,3,FALSE())</f>
        <v/>
      </c>
      <c r="E1623" s="2">
        <f>C1623*D1623</f>
        <v/>
      </c>
      <c r="F1623" s="2">
        <f>C1623*INDEX(Products!$D$2:$D$201,MATCH(B1623,Products!$A$2:$A$201,0))</f>
        <v/>
      </c>
      <c r="G1623" s="2">
        <f>E1623-F1623</f>
        <v/>
      </c>
    </row>
    <row r="1624" ht="15" customHeight="1" s="1">
      <c r="A1624" s="2" t="n">
        <v>51622</v>
      </c>
      <c r="B1624" s="2" t="inlineStr">
        <is>
          <t>SKU-0010</t>
        </is>
      </c>
      <c r="C1624" s="2" t="n">
        <v>18</v>
      </c>
      <c r="D1624" s="2">
        <f>VLOOKUP(B1624,Products!$A$2:$D$201,3,FALSE())</f>
        <v/>
      </c>
      <c r="E1624" s="2">
        <f>C1624*D1624</f>
        <v/>
      </c>
      <c r="F1624" s="2">
        <f>C1624*INDEX(Products!$D$2:$D$201,MATCH(B1624,Products!$A$2:$A$201,0))</f>
        <v/>
      </c>
      <c r="G1624" s="2">
        <f>E1624-F1624</f>
        <v/>
      </c>
    </row>
    <row r="1625" ht="15" customHeight="1" s="1">
      <c r="A1625" s="2" t="n">
        <v>51623</v>
      </c>
      <c r="B1625" s="2" t="inlineStr">
        <is>
          <t>SKU-0043</t>
        </is>
      </c>
      <c r="C1625" s="2" t="n">
        <v>5</v>
      </c>
      <c r="D1625" s="2">
        <f>VLOOKUP(B1625,Products!$A$2:$D$201,3,FALSE())</f>
        <v/>
      </c>
      <c r="E1625" s="2">
        <f>C1625*D1625</f>
        <v/>
      </c>
      <c r="F1625" s="2">
        <f>C1625*INDEX(Products!$D$2:$D$201,MATCH(B1625,Products!$A$2:$A$201,0))</f>
        <v/>
      </c>
      <c r="G1625" s="2">
        <f>E1625-F1625</f>
        <v/>
      </c>
    </row>
    <row r="1626" ht="15" customHeight="1" s="1">
      <c r="A1626" s="2" t="n">
        <v>51624</v>
      </c>
      <c r="B1626" s="2" t="inlineStr">
        <is>
          <t>SKU-0183</t>
        </is>
      </c>
      <c r="C1626" s="2" t="n">
        <v>3</v>
      </c>
      <c r="D1626" s="2">
        <f>VLOOKUP(B1626,Products!$A$2:$D$201,3,FALSE())</f>
        <v/>
      </c>
      <c r="E1626" s="2">
        <f>C1626*D1626</f>
        <v/>
      </c>
      <c r="F1626" s="2">
        <f>C1626*INDEX(Products!$D$2:$D$201,MATCH(B1626,Products!$A$2:$A$201,0))</f>
        <v/>
      </c>
      <c r="G1626" s="2">
        <f>E1626-F1626</f>
        <v/>
      </c>
    </row>
    <row r="1627" ht="15" customHeight="1" s="1">
      <c r="A1627" s="2" t="n">
        <v>51625</v>
      </c>
      <c r="B1627" s="2" t="inlineStr">
        <is>
          <t>SKU-0164</t>
        </is>
      </c>
      <c r="C1627" s="2" t="n">
        <v>6</v>
      </c>
      <c r="D1627" s="2">
        <f>VLOOKUP(B1627,Products!$A$2:$D$201,3,FALSE())</f>
        <v/>
      </c>
      <c r="E1627" s="2">
        <f>C1627*D1627</f>
        <v/>
      </c>
      <c r="F1627" s="2">
        <f>C1627*INDEX(Products!$D$2:$D$201,MATCH(B1627,Products!$A$2:$A$201,0))</f>
        <v/>
      </c>
      <c r="G1627" s="2">
        <f>E1627-F1627</f>
        <v/>
      </c>
    </row>
    <row r="1628" ht="15" customHeight="1" s="1">
      <c r="A1628" s="2" t="n">
        <v>51626</v>
      </c>
      <c r="B1628" s="2" t="inlineStr">
        <is>
          <t>SKU-0076</t>
        </is>
      </c>
      <c r="C1628" s="2" t="n">
        <v>10</v>
      </c>
      <c r="D1628" s="2">
        <f>VLOOKUP(B1628,Products!$A$2:$D$201,3,FALSE())</f>
        <v/>
      </c>
      <c r="E1628" s="2">
        <f>C1628*D1628</f>
        <v/>
      </c>
      <c r="F1628" s="2">
        <f>C1628*INDEX(Products!$D$2:$D$201,MATCH(B1628,Products!$A$2:$A$201,0))</f>
        <v/>
      </c>
      <c r="G1628" s="2">
        <f>E1628-F1628</f>
        <v/>
      </c>
    </row>
    <row r="1629" ht="15" customHeight="1" s="1">
      <c r="A1629" s="2" t="n">
        <v>51627</v>
      </c>
      <c r="B1629" s="2" t="inlineStr">
        <is>
          <t>SKU-0189</t>
        </is>
      </c>
      <c r="C1629" s="2" t="n">
        <v>7</v>
      </c>
      <c r="D1629" s="2">
        <f>VLOOKUP(B1629,Products!$A$2:$D$201,3,FALSE())</f>
        <v/>
      </c>
      <c r="E1629" s="2">
        <f>C1629*D1629</f>
        <v/>
      </c>
      <c r="F1629" s="2">
        <f>C1629*INDEX(Products!$D$2:$D$201,MATCH(B1629,Products!$A$2:$A$201,0))</f>
        <v/>
      </c>
      <c r="G1629" s="2">
        <f>E1629-F1629</f>
        <v/>
      </c>
    </row>
    <row r="1630" ht="15" customHeight="1" s="1">
      <c r="A1630" s="2" t="n">
        <v>51628</v>
      </c>
      <c r="B1630" s="2" t="inlineStr">
        <is>
          <t>SKU-0126</t>
        </is>
      </c>
      <c r="C1630" s="2" t="n">
        <v>8</v>
      </c>
      <c r="D1630" s="2">
        <f>VLOOKUP(B1630,Products!$A$2:$D$201,3,FALSE())</f>
        <v/>
      </c>
      <c r="E1630" s="2">
        <f>C1630*D1630</f>
        <v/>
      </c>
      <c r="F1630" s="2">
        <f>C1630*INDEX(Products!$D$2:$D$201,MATCH(B1630,Products!$A$2:$A$201,0))</f>
        <v/>
      </c>
      <c r="G1630" s="2">
        <f>E1630-F1630</f>
        <v/>
      </c>
    </row>
    <row r="1631" ht="15" customHeight="1" s="1">
      <c r="A1631" s="2" t="n">
        <v>51629</v>
      </c>
      <c r="B1631" s="2" t="inlineStr">
        <is>
          <t>SKU-0046</t>
        </is>
      </c>
      <c r="C1631" s="2" t="n">
        <v>16</v>
      </c>
      <c r="D1631" s="2">
        <f>VLOOKUP(B1631,Products!$A$2:$D$201,3,FALSE())</f>
        <v/>
      </c>
      <c r="E1631" s="2">
        <f>C1631*D1631</f>
        <v/>
      </c>
      <c r="F1631" s="2">
        <f>C1631*INDEX(Products!$D$2:$D$201,MATCH(B1631,Products!$A$2:$A$201,0))</f>
        <v/>
      </c>
      <c r="G1631" s="2">
        <f>E1631-F1631</f>
        <v/>
      </c>
    </row>
    <row r="1632" ht="15" customHeight="1" s="1">
      <c r="A1632" s="2" t="n">
        <v>51630</v>
      </c>
      <c r="B1632" s="2" t="inlineStr">
        <is>
          <t>SKU-0110</t>
        </is>
      </c>
      <c r="C1632" s="2" t="n">
        <v>9</v>
      </c>
      <c r="D1632" s="2">
        <f>VLOOKUP(B1632,Products!$A$2:$D$201,3,FALSE())</f>
        <v/>
      </c>
      <c r="E1632" s="2">
        <f>C1632*D1632</f>
        <v/>
      </c>
      <c r="F1632" s="2">
        <f>C1632*INDEX(Products!$D$2:$D$201,MATCH(B1632,Products!$A$2:$A$201,0))</f>
        <v/>
      </c>
      <c r="G1632" s="2">
        <f>E1632-F1632</f>
        <v/>
      </c>
    </row>
    <row r="1633" ht="15" customHeight="1" s="1">
      <c r="A1633" s="2" t="n">
        <v>51631</v>
      </c>
      <c r="B1633" s="2" t="inlineStr">
        <is>
          <t>SKU-0039</t>
        </is>
      </c>
      <c r="C1633" s="2" t="n">
        <v>18</v>
      </c>
      <c r="D1633" s="2">
        <f>VLOOKUP(B1633,Products!$A$2:$D$201,3,FALSE())</f>
        <v/>
      </c>
      <c r="E1633" s="2">
        <f>C1633*D1633</f>
        <v/>
      </c>
      <c r="F1633" s="2">
        <f>C1633*INDEX(Products!$D$2:$D$201,MATCH(B1633,Products!$A$2:$A$201,0))</f>
        <v/>
      </c>
      <c r="G1633" s="2">
        <f>E1633-F1633</f>
        <v/>
      </c>
    </row>
    <row r="1634" ht="15" customHeight="1" s="1">
      <c r="A1634" s="2" t="n">
        <v>51632</v>
      </c>
      <c r="B1634" s="2" t="inlineStr">
        <is>
          <t>SKU-0098</t>
        </is>
      </c>
      <c r="C1634" s="2" t="n">
        <v>18</v>
      </c>
      <c r="D1634" s="2">
        <f>VLOOKUP(B1634,Products!$A$2:$D$201,3,FALSE())</f>
        <v/>
      </c>
      <c r="E1634" s="2">
        <f>C1634*D1634</f>
        <v/>
      </c>
      <c r="F1634" s="2">
        <f>C1634*INDEX(Products!$D$2:$D$201,MATCH(B1634,Products!$A$2:$A$201,0))</f>
        <v/>
      </c>
      <c r="G1634" s="2">
        <f>E1634-F1634</f>
        <v/>
      </c>
    </row>
    <row r="1635" ht="15" customHeight="1" s="1">
      <c r="A1635" s="2" t="n">
        <v>51633</v>
      </c>
      <c r="B1635" s="2" t="inlineStr">
        <is>
          <t>SKU-0119</t>
        </is>
      </c>
      <c r="C1635" s="2" t="n">
        <v>17</v>
      </c>
      <c r="D1635" s="2">
        <f>VLOOKUP(B1635,Products!$A$2:$D$201,3,FALSE())</f>
        <v/>
      </c>
      <c r="E1635" s="2">
        <f>C1635*D1635</f>
        <v/>
      </c>
      <c r="F1635" s="2">
        <f>C1635*INDEX(Products!$D$2:$D$201,MATCH(B1635,Products!$A$2:$A$201,0))</f>
        <v/>
      </c>
      <c r="G1635" s="2">
        <f>E1635-F1635</f>
        <v/>
      </c>
    </row>
    <row r="1636" ht="15" customHeight="1" s="1">
      <c r="A1636" s="2" t="n">
        <v>51634</v>
      </c>
      <c r="B1636" s="2" t="inlineStr">
        <is>
          <t>SKU-0086</t>
        </is>
      </c>
      <c r="C1636" s="2" t="n">
        <v>20</v>
      </c>
      <c r="D1636" s="2">
        <f>VLOOKUP(B1636,Products!$A$2:$D$201,3,FALSE())</f>
        <v/>
      </c>
      <c r="E1636" s="2">
        <f>C1636*D1636</f>
        <v/>
      </c>
      <c r="F1636" s="2">
        <f>C1636*INDEX(Products!$D$2:$D$201,MATCH(B1636,Products!$A$2:$A$201,0))</f>
        <v/>
      </c>
      <c r="G1636" s="2">
        <f>E1636-F1636</f>
        <v/>
      </c>
    </row>
    <row r="1637" ht="15" customHeight="1" s="1">
      <c r="A1637" s="2" t="n">
        <v>51635</v>
      </c>
      <c r="B1637" s="2" t="inlineStr">
        <is>
          <t>SKU-0186</t>
        </is>
      </c>
      <c r="C1637" s="2" t="n">
        <v>7</v>
      </c>
      <c r="D1637" s="2">
        <f>VLOOKUP(B1637,Products!$A$2:$D$201,3,FALSE())</f>
        <v/>
      </c>
      <c r="E1637" s="2">
        <f>C1637*D1637</f>
        <v/>
      </c>
      <c r="F1637" s="2">
        <f>C1637*INDEX(Products!$D$2:$D$201,MATCH(B1637,Products!$A$2:$A$201,0))</f>
        <v/>
      </c>
      <c r="G1637" s="2">
        <f>E1637-F1637</f>
        <v/>
      </c>
    </row>
    <row r="1638" ht="15" customHeight="1" s="1">
      <c r="A1638" s="2" t="n">
        <v>51636</v>
      </c>
      <c r="B1638" s="2" t="inlineStr">
        <is>
          <t>SKU-0042</t>
        </is>
      </c>
      <c r="C1638" s="2" t="n">
        <v>17</v>
      </c>
      <c r="D1638" s="2">
        <f>VLOOKUP(B1638,Products!$A$2:$D$201,3,FALSE())</f>
        <v/>
      </c>
      <c r="E1638" s="2">
        <f>C1638*D1638</f>
        <v/>
      </c>
      <c r="F1638" s="2">
        <f>C1638*INDEX(Products!$D$2:$D$201,MATCH(B1638,Products!$A$2:$A$201,0))</f>
        <v/>
      </c>
      <c r="G1638" s="2">
        <f>E1638-F1638</f>
        <v/>
      </c>
    </row>
    <row r="1639" ht="15" customHeight="1" s="1">
      <c r="A1639" s="2" t="n">
        <v>51637</v>
      </c>
      <c r="B1639" s="2" t="inlineStr">
        <is>
          <t>SKU-0010</t>
        </is>
      </c>
      <c r="C1639" s="2" t="n">
        <v>8</v>
      </c>
      <c r="D1639" s="2">
        <f>VLOOKUP(B1639,Products!$A$2:$D$201,3,FALSE())</f>
        <v/>
      </c>
      <c r="E1639" s="2">
        <f>C1639*D1639</f>
        <v/>
      </c>
      <c r="F1639" s="2">
        <f>C1639*INDEX(Products!$D$2:$D$201,MATCH(B1639,Products!$A$2:$A$201,0))</f>
        <v/>
      </c>
      <c r="G1639" s="2">
        <f>E1639-F1639</f>
        <v/>
      </c>
    </row>
    <row r="1640" ht="15" customHeight="1" s="1">
      <c r="A1640" s="2" t="n">
        <v>51638</v>
      </c>
      <c r="B1640" s="2" t="inlineStr">
        <is>
          <t>SKU-0180</t>
        </is>
      </c>
      <c r="C1640" s="2" t="n">
        <v>7</v>
      </c>
      <c r="D1640" s="2">
        <f>VLOOKUP(B1640,Products!$A$2:$D$201,3,FALSE())</f>
        <v/>
      </c>
      <c r="E1640" s="2">
        <f>C1640*D1640</f>
        <v/>
      </c>
      <c r="F1640" s="2">
        <f>C1640*INDEX(Products!$D$2:$D$201,MATCH(B1640,Products!$A$2:$A$201,0))</f>
        <v/>
      </c>
      <c r="G1640" s="2">
        <f>E1640-F1640</f>
        <v/>
      </c>
    </row>
    <row r="1641" ht="15" customHeight="1" s="1">
      <c r="A1641" s="2" t="n">
        <v>51639</v>
      </c>
      <c r="B1641" s="2" t="inlineStr">
        <is>
          <t>SKU-0140</t>
        </is>
      </c>
      <c r="C1641" s="2" t="n">
        <v>10</v>
      </c>
      <c r="D1641" s="2">
        <f>VLOOKUP(B1641,Products!$A$2:$D$201,3,FALSE())</f>
        <v/>
      </c>
      <c r="E1641" s="2">
        <f>C1641*D1641</f>
        <v/>
      </c>
      <c r="F1641" s="2">
        <f>C1641*INDEX(Products!$D$2:$D$201,MATCH(B1641,Products!$A$2:$A$201,0))</f>
        <v/>
      </c>
      <c r="G1641" s="2">
        <f>E1641-F1641</f>
        <v/>
      </c>
    </row>
    <row r="1642" ht="15" customHeight="1" s="1">
      <c r="A1642" s="2" t="n">
        <v>51640</v>
      </c>
      <c r="B1642" s="2" t="inlineStr">
        <is>
          <t>SKU-0133</t>
        </is>
      </c>
      <c r="C1642" s="2" t="n">
        <v>3</v>
      </c>
      <c r="D1642" s="2">
        <f>VLOOKUP(B1642,Products!$A$2:$D$201,3,FALSE())</f>
        <v/>
      </c>
      <c r="E1642" s="2">
        <f>C1642*D1642</f>
        <v/>
      </c>
      <c r="F1642" s="2">
        <f>C1642*INDEX(Products!$D$2:$D$201,MATCH(B1642,Products!$A$2:$A$201,0))</f>
        <v/>
      </c>
      <c r="G1642" s="2">
        <f>E1642-F1642</f>
        <v/>
      </c>
    </row>
    <row r="1643" ht="15" customHeight="1" s="1">
      <c r="A1643" s="2" t="n">
        <v>51641</v>
      </c>
      <c r="B1643" s="2" t="inlineStr">
        <is>
          <t>SKU-0011</t>
        </is>
      </c>
      <c r="C1643" s="2" t="n">
        <v>10</v>
      </c>
      <c r="D1643" s="2">
        <f>VLOOKUP(B1643,Products!$A$2:$D$201,3,FALSE())</f>
        <v/>
      </c>
      <c r="E1643" s="2">
        <f>C1643*D1643</f>
        <v/>
      </c>
      <c r="F1643" s="2">
        <f>C1643*INDEX(Products!$D$2:$D$201,MATCH(B1643,Products!$A$2:$A$201,0))</f>
        <v/>
      </c>
      <c r="G1643" s="2">
        <f>E1643-F1643</f>
        <v/>
      </c>
    </row>
    <row r="1644" ht="15" customHeight="1" s="1">
      <c r="A1644" s="2" t="n">
        <v>51642</v>
      </c>
      <c r="B1644" s="2" t="inlineStr">
        <is>
          <t>SKU-0046</t>
        </is>
      </c>
      <c r="C1644" s="2" t="n">
        <v>18</v>
      </c>
      <c r="D1644" s="2">
        <f>VLOOKUP(B1644,Products!$A$2:$D$201,3,FALSE())</f>
        <v/>
      </c>
      <c r="E1644" s="2">
        <f>C1644*D1644</f>
        <v/>
      </c>
      <c r="F1644" s="2">
        <f>C1644*INDEX(Products!$D$2:$D$201,MATCH(B1644,Products!$A$2:$A$201,0))</f>
        <v/>
      </c>
      <c r="G1644" s="2">
        <f>E1644-F1644</f>
        <v/>
      </c>
    </row>
    <row r="1645" ht="15" customHeight="1" s="1">
      <c r="A1645" s="2" t="n">
        <v>51643</v>
      </c>
      <c r="B1645" s="2" t="inlineStr">
        <is>
          <t>SKU-0153</t>
        </is>
      </c>
      <c r="C1645" s="2" t="n">
        <v>8</v>
      </c>
      <c r="D1645" s="2">
        <f>VLOOKUP(B1645,Products!$A$2:$D$201,3,FALSE())</f>
        <v/>
      </c>
      <c r="E1645" s="2">
        <f>C1645*D1645</f>
        <v/>
      </c>
      <c r="F1645" s="2">
        <f>C1645*INDEX(Products!$D$2:$D$201,MATCH(B1645,Products!$A$2:$A$201,0))</f>
        <v/>
      </c>
      <c r="G1645" s="2">
        <f>E1645-F1645</f>
        <v/>
      </c>
    </row>
    <row r="1646" ht="15" customHeight="1" s="1">
      <c r="A1646" s="2" t="n">
        <v>51644</v>
      </c>
      <c r="B1646" s="2" t="inlineStr">
        <is>
          <t>SKU-0144</t>
        </is>
      </c>
      <c r="C1646" s="2" t="n">
        <v>4</v>
      </c>
      <c r="D1646" s="2">
        <f>VLOOKUP(B1646,Products!$A$2:$D$201,3,FALSE())</f>
        <v/>
      </c>
      <c r="E1646" s="2">
        <f>C1646*D1646</f>
        <v/>
      </c>
      <c r="F1646" s="2">
        <f>C1646*INDEX(Products!$D$2:$D$201,MATCH(B1646,Products!$A$2:$A$201,0))</f>
        <v/>
      </c>
      <c r="G1646" s="2">
        <f>E1646-F1646</f>
        <v/>
      </c>
    </row>
    <row r="1647" ht="15" customHeight="1" s="1">
      <c r="A1647" s="2" t="n">
        <v>51645</v>
      </c>
      <c r="B1647" s="2" t="inlineStr">
        <is>
          <t>SKU-0100</t>
        </is>
      </c>
      <c r="C1647" s="2" t="n">
        <v>2</v>
      </c>
      <c r="D1647" s="2">
        <f>VLOOKUP(B1647,Products!$A$2:$D$201,3,FALSE())</f>
        <v/>
      </c>
      <c r="E1647" s="2">
        <f>C1647*D1647</f>
        <v/>
      </c>
      <c r="F1647" s="2">
        <f>C1647*INDEX(Products!$D$2:$D$201,MATCH(B1647,Products!$A$2:$A$201,0))</f>
        <v/>
      </c>
      <c r="G1647" s="2">
        <f>E1647-F1647</f>
        <v/>
      </c>
    </row>
    <row r="1648" ht="15" customHeight="1" s="1">
      <c r="A1648" s="2" t="n">
        <v>51646</v>
      </c>
      <c r="B1648" s="2" t="inlineStr">
        <is>
          <t>SKU-0079</t>
        </is>
      </c>
      <c r="C1648" s="2" t="n">
        <v>4</v>
      </c>
      <c r="D1648" s="2">
        <f>VLOOKUP(B1648,Products!$A$2:$D$201,3,FALSE())</f>
        <v/>
      </c>
      <c r="E1648" s="2">
        <f>C1648*D1648</f>
        <v/>
      </c>
      <c r="F1648" s="2">
        <f>C1648*INDEX(Products!$D$2:$D$201,MATCH(B1648,Products!$A$2:$A$201,0))</f>
        <v/>
      </c>
      <c r="G1648" s="2">
        <f>E1648-F1648</f>
        <v/>
      </c>
    </row>
    <row r="1649" ht="15" customHeight="1" s="1">
      <c r="A1649" s="2" t="n">
        <v>51647</v>
      </c>
      <c r="B1649" s="2" t="inlineStr">
        <is>
          <t>SKU-0055</t>
        </is>
      </c>
      <c r="C1649" s="2" t="n">
        <v>1</v>
      </c>
      <c r="D1649" s="2">
        <f>VLOOKUP(B1649,Products!$A$2:$D$201,3,FALSE())</f>
        <v/>
      </c>
      <c r="E1649" s="2">
        <f>C1649*D1649</f>
        <v/>
      </c>
      <c r="F1649" s="2">
        <f>C1649*INDEX(Products!$D$2:$D$201,MATCH(B1649,Products!$A$2:$A$201,0))</f>
        <v/>
      </c>
      <c r="G1649" s="2">
        <f>E1649-F1649</f>
        <v/>
      </c>
    </row>
    <row r="1650" ht="15" customHeight="1" s="1">
      <c r="A1650" s="2" t="n">
        <v>51648</v>
      </c>
      <c r="B1650" s="2" t="inlineStr">
        <is>
          <t>SKU-0102</t>
        </is>
      </c>
      <c r="C1650" s="2" t="n">
        <v>3</v>
      </c>
      <c r="D1650" s="2">
        <f>VLOOKUP(B1650,Products!$A$2:$D$201,3,FALSE())</f>
        <v/>
      </c>
      <c r="E1650" s="2">
        <f>C1650*D1650</f>
        <v/>
      </c>
      <c r="F1650" s="2">
        <f>C1650*INDEX(Products!$D$2:$D$201,MATCH(B1650,Products!$A$2:$A$201,0))</f>
        <v/>
      </c>
      <c r="G1650" s="2">
        <f>E1650-F1650</f>
        <v/>
      </c>
    </row>
    <row r="1651" ht="15" customHeight="1" s="1">
      <c r="A1651" s="2" t="n">
        <v>51649</v>
      </c>
      <c r="B1651" s="2" t="inlineStr">
        <is>
          <t>SKU-0105</t>
        </is>
      </c>
      <c r="C1651" s="2" t="n">
        <v>18</v>
      </c>
      <c r="D1651" s="2">
        <f>VLOOKUP(B1651,Products!$A$2:$D$201,3,FALSE())</f>
        <v/>
      </c>
      <c r="E1651" s="2">
        <f>C1651*D1651</f>
        <v/>
      </c>
      <c r="F1651" s="2">
        <f>C1651*INDEX(Products!$D$2:$D$201,MATCH(B1651,Products!$A$2:$A$201,0))</f>
        <v/>
      </c>
      <c r="G1651" s="2">
        <f>E1651-F1651</f>
        <v/>
      </c>
    </row>
    <row r="1652" ht="15" customHeight="1" s="1">
      <c r="A1652" s="2" t="n">
        <v>51650</v>
      </c>
      <c r="B1652" s="2" t="inlineStr">
        <is>
          <t>SKU-0085</t>
        </is>
      </c>
      <c r="C1652" s="2" t="n">
        <v>18</v>
      </c>
      <c r="D1652" s="2">
        <f>VLOOKUP(B1652,Products!$A$2:$D$201,3,FALSE())</f>
        <v/>
      </c>
      <c r="E1652" s="2">
        <f>C1652*D1652</f>
        <v/>
      </c>
      <c r="F1652" s="2">
        <f>C1652*INDEX(Products!$D$2:$D$201,MATCH(B1652,Products!$A$2:$A$201,0))</f>
        <v/>
      </c>
      <c r="G1652" s="2">
        <f>E1652-F1652</f>
        <v/>
      </c>
    </row>
    <row r="1653" ht="15" customHeight="1" s="1">
      <c r="A1653" s="2" t="n">
        <v>51651</v>
      </c>
      <c r="B1653" s="2" t="inlineStr">
        <is>
          <t>SKU-0128</t>
        </is>
      </c>
      <c r="C1653" s="2" t="n">
        <v>4</v>
      </c>
      <c r="D1653" s="2">
        <f>VLOOKUP(B1653,Products!$A$2:$D$201,3,FALSE())</f>
        <v/>
      </c>
      <c r="E1653" s="2">
        <f>C1653*D1653</f>
        <v/>
      </c>
      <c r="F1653" s="2">
        <f>C1653*INDEX(Products!$D$2:$D$201,MATCH(B1653,Products!$A$2:$A$201,0))</f>
        <v/>
      </c>
      <c r="G1653" s="2">
        <f>E1653-F1653</f>
        <v/>
      </c>
    </row>
    <row r="1654" ht="15" customHeight="1" s="1">
      <c r="A1654" s="2" t="n">
        <v>51652</v>
      </c>
      <c r="B1654" s="2" t="inlineStr">
        <is>
          <t>SKU-0014</t>
        </is>
      </c>
      <c r="C1654" s="2" t="n">
        <v>14</v>
      </c>
      <c r="D1654" s="2">
        <f>VLOOKUP(B1654,Products!$A$2:$D$201,3,FALSE())</f>
        <v/>
      </c>
      <c r="E1654" s="2">
        <f>C1654*D1654</f>
        <v/>
      </c>
      <c r="F1654" s="2">
        <f>C1654*INDEX(Products!$D$2:$D$201,MATCH(B1654,Products!$A$2:$A$201,0))</f>
        <v/>
      </c>
      <c r="G1654" s="2">
        <f>E1654-F1654</f>
        <v/>
      </c>
    </row>
    <row r="1655" ht="15" customHeight="1" s="1">
      <c r="A1655" s="2" t="n">
        <v>51653</v>
      </c>
      <c r="B1655" s="2" t="inlineStr">
        <is>
          <t>SKU-0191</t>
        </is>
      </c>
      <c r="C1655" s="2" t="n">
        <v>18</v>
      </c>
      <c r="D1655" s="2">
        <f>VLOOKUP(B1655,Products!$A$2:$D$201,3,FALSE())</f>
        <v/>
      </c>
      <c r="E1655" s="2">
        <f>C1655*D1655</f>
        <v/>
      </c>
      <c r="F1655" s="2">
        <f>C1655*INDEX(Products!$D$2:$D$201,MATCH(B1655,Products!$A$2:$A$201,0))</f>
        <v/>
      </c>
      <c r="G1655" s="2">
        <f>E1655-F1655</f>
        <v/>
      </c>
    </row>
    <row r="1656" ht="15" customHeight="1" s="1">
      <c r="A1656" s="2" t="n">
        <v>51654</v>
      </c>
      <c r="B1656" s="2" t="inlineStr">
        <is>
          <t>SKU-0165</t>
        </is>
      </c>
      <c r="C1656" s="2" t="n">
        <v>2</v>
      </c>
      <c r="D1656" s="2">
        <f>VLOOKUP(B1656,Products!$A$2:$D$201,3,FALSE())</f>
        <v/>
      </c>
      <c r="E1656" s="2">
        <f>C1656*D1656</f>
        <v/>
      </c>
      <c r="F1656" s="2">
        <f>C1656*INDEX(Products!$D$2:$D$201,MATCH(B1656,Products!$A$2:$A$201,0))</f>
        <v/>
      </c>
      <c r="G1656" s="2">
        <f>E1656-F1656</f>
        <v/>
      </c>
    </row>
    <row r="1657" ht="15" customHeight="1" s="1">
      <c r="A1657" s="2" t="n">
        <v>51655</v>
      </c>
      <c r="B1657" s="2" t="inlineStr">
        <is>
          <t>SKU-0134</t>
        </is>
      </c>
      <c r="C1657" s="2" t="n">
        <v>10</v>
      </c>
      <c r="D1657" s="2">
        <f>VLOOKUP(B1657,Products!$A$2:$D$201,3,FALSE())</f>
        <v/>
      </c>
      <c r="E1657" s="2">
        <f>C1657*D1657</f>
        <v/>
      </c>
      <c r="F1657" s="2">
        <f>C1657*INDEX(Products!$D$2:$D$201,MATCH(B1657,Products!$A$2:$A$201,0))</f>
        <v/>
      </c>
      <c r="G1657" s="2">
        <f>E1657-F1657</f>
        <v/>
      </c>
    </row>
    <row r="1658" ht="15" customHeight="1" s="1">
      <c r="A1658" s="2" t="n">
        <v>51656</v>
      </c>
      <c r="B1658" s="2" t="inlineStr">
        <is>
          <t>SKU-0128</t>
        </is>
      </c>
      <c r="C1658" s="2" t="n">
        <v>18</v>
      </c>
      <c r="D1658" s="2">
        <f>VLOOKUP(B1658,Products!$A$2:$D$201,3,FALSE())</f>
        <v/>
      </c>
      <c r="E1658" s="2">
        <f>C1658*D1658</f>
        <v/>
      </c>
      <c r="F1658" s="2">
        <f>C1658*INDEX(Products!$D$2:$D$201,MATCH(B1658,Products!$A$2:$A$201,0))</f>
        <v/>
      </c>
      <c r="G1658" s="2">
        <f>E1658-F1658</f>
        <v/>
      </c>
    </row>
    <row r="1659" ht="15" customHeight="1" s="1">
      <c r="A1659" s="2" t="n">
        <v>51657</v>
      </c>
      <c r="B1659" s="2" t="inlineStr">
        <is>
          <t>SKU-0179</t>
        </is>
      </c>
      <c r="C1659" s="2" t="n">
        <v>6</v>
      </c>
      <c r="D1659" s="2">
        <f>VLOOKUP(B1659,Products!$A$2:$D$201,3,FALSE())</f>
        <v/>
      </c>
      <c r="E1659" s="2">
        <f>C1659*D1659</f>
        <v/>
      </c>
      <c r="F1659" s="2">
        <f>C1659*INDEX(Products!$D$2:$D$201,MATCH(B1659,Products!$A$2:$A$201,0))</f>
        <v/>
      </c>
      <c r="G1659" s="2">
        <f>E1659-F1659</f>
        <v/>
      </c>
    </row>
    <row r="1660" ht="15" customHeight="1" s="1">
      <c r="A1660" s="2" t="n">
        <v>51658</v>
      </c>
      <c r="B1660" s="2" t="inlineStr">
        <is>
          <t>SKU-0173</t>
        </is>
      </c>
      <c r="C1660" s="2" t="n">
        <v>17</v>
      </c>
      <c r="D1660" s="2">
        <f>VLOOKUP(B1660,Products!$A$2:$D$201,3,FALSE())</f>
        <v/>
      </c>
      <c r="E1660" s="2">
        <f>C1660*D1660</f>
        <v/>
      </c>
      <c r="F1660" s="2">
        <f>C1660*INDEX(Products!$D$2:$D$201,MATCH(B1660,Products!$A$2:$A$201,0))</f>
        <v/>
      </c>
      <c r="G1660" s="2">
        <f>E1660-F1660</f>
        <v/>
      </c>
    </row>
    <row r="1661" ht="15" customHeight="1" s="1">
      <c r="A1661" s="2" t="n">
        <v>51659</v>
      </c>
      <c r="B1661" s="2" t="inlineStr">
        <is>
          <t>SKU-0176</t>
        </is>
      </c>
      <c r="C1661" s="2" t="n">
        <v>6</v>
      </c>
      <c r="D1661" s="2">
        <f>VLOOKUP(B1661,Products!$A$2:$D$201,3,FALSE())</f>
        <v/>
      </c>
      <c r="E1661" s="2">
        <f>C1661*D1661</f>
        <v/>
      </c>
      <c r="F1661" s="2">
        <f>C1661*INDEX(Products!$D$2:$D$201,MATCH(B1661,Products!$A$2:$A$201,0))</f>
        <v/>
      </c>
      <c r="G1661" s="2">
        <f>E1661-F1661</f>
        <v/>
      </c>
    </row>
    <row r="1662" ht="15" customHeight="1" s="1">
      <c r="A1662" s="2" t="n">
        <v>51660</v>
      </c>
      <c r="B1662" s="2" t="inlineStr">
        <is>
          <t>SKU-0056</t>
        </is>
      </c>
      <c r="C1662" s="2" t="n">
        <v>20</v>
      </c>
      <c r="D1662" s="2">
        <f>VLOOKUP(B1662,Products!$A$2:$D$201,3,FALSE())</f>
        <v/>
      </c>
      <c r="E1662" s="2">
        <f>C1662*D1662</f>
        <v/>
      </c>
      <c r="F1662" s="2">
        <f>C1662*INDEX(Products!$D$2:$D$201,MATCH(B1662,Products!$A$2:$A$201,0))</f>
        <v/>
      </c>
      <c r="G1662" s="2">
        <f>E1662-F1662</f>
        <v/>
      </c>
    </row>
    <row r="1663" ht="15" customHeight="1" s="1">
      <c r="A1663" s="2" t="n">
        <v>51661</v>
      </c>
      <c r="B1663" s="2" t="inlineStr">
        <is>
          <t>SKU-0071</t>
        </is>
      </c>
      <c r="C1663" s="2" t="n">
        <v>7</v>
      </c>
      <c r="D1663" s="2">
        <f>VLOOKUP(B1663,Products!$A$2:$D$201,3,FALSE())</f>
        <v/>
      </c>
      <c r="E1663" s="2">
        <f>C1663*D1663</f>
        <v/>
      </c>
      <c r="F1663" s="2">
        <f>C1663*INDEX(Products!$D$2:$D$201,MATCH(B1663,Products!$A$2:$A$201,0))</f>
        <v/>
      </c>
      <c r="G1663" s="2">
        <f>E1663-F1663</f>
        <v/>
      </c>
    </row>
    <row r="1664" ht="15" customHeight="1" s="1">
      <c r="A1664" s="2" t="n">
        <v>51662</v>
      </c>
      <c r="B1664" s="2" t="inlineStr">
        <is>
          <t>SKU-0118</t>
        </is>
      </c>
      <c r="C1664" s="2" t="n">
        <v>20</v>
      </c>
      <c r="D1664" s="2">
        <f>VLOOKUP(B1664,Products!$A$2:$D$201,3,FALSE())</f>
        <v/>
      </c>
      <c r="E1664" s="2">
        <f>C1664*D1664</f>
        <v/>
      </c>
      <c r="F1664" s="2">
        <f>C1664*INDEX(Products!$D$2:$D$201,MATCH(B1664,Products!$A$2:$A$201,0))</f>
        <v/>
      </c>
      <c r="G1664" s="2">
        <f>E1664-F1664</f>
        <v/>
      </c>
    </row>
    <row r="1665" ht="15" customHeight="1" s="1">
      <c r="A1665" s="2" t="n">
        <v>51663</v>
      </c>
      <c r="B1665" s="2" t="inlineStr">
        <is>
          <t>SKU-0091</t>
        </is>
      </c>
      <c r="C1665" s="2" t="n">
        <v>16</v>
      </c>
      <c r="D1665" s="2">
        <f>VLOOKUP(B1665,Products!$A$2:$D$201,3,FALSE())</f>
        <v/>
      </c>
      <c r="E1665" s="2">
        <f>C1665*D1665</f>
        <v/>
      </c>
      <c r="F1665" s="2">
        <f>C1665*INDEX(Products!$D$2:$D$201,MATCH(B1665,Products!$A$2:$A$201,0))</f>
        <v/>
      </c>
      <c r="G1665" s="2">
        <f>E1665-F1665</f>
        <v/>
      </c>
    </row>
    <row r="1666" ht="15" customHeight="1" s="1">
      <c r="A1666" s="2" t="n">
        <v>51664</v>
      </c>
      <c r="B1666" s="2" t="inlineStr">
        <is>
          <t>SKU-0080</t>
        </is>
      </c>
      <c r="C1666" s="2" t="n">
        <v>9</v>
      </c>
      <c r="D1666" s="2">
        <f>VLOOKUP(B1666,Products!$A$2:$D$201,3,FALSE())</f>
        <v/>
      </c>
      <c r="E1666" s="2">
        <f>C1666*D1666</f>
        <v/>
      </c>
      <c r="F1666" s="2">
        <f>C1666*INDEX(Products!$D$2:$D$201,MATCH(B1666,Products!$A$2:$A$201,0))</f>
        <v/>
      </c>
      <c r="G1666" s="2">
        <f>E1666-F1666</f>
        <v/>
      </c>
    </row>
    <row r="1667" ht="15" customHeight="1" s="1">
      <c r="A1667" s="2" t="n">
        <v>51665</v>
      </c>
      <c r="B1667" s="2" t="inlineStr">
        <is>
          <t>SKU-0145</t>
        </is>
      </c>
      <c r="C1667" s="2" t="n">
        <v>18</v>
      </c>
      <c r="D1667" s="2">
        <f>VLOOKUP(B1667,Products!$A$2:$D$201,3,FALSE())</f>
        <v/>
      </c>
      <c r="E1667" s="2">
        <f>C1667*D1667</f>
        <v/>
      </c>
      <c r="F1667" s="2">
        <f>C1667*INDEX(Products!$D$2:$D$201,MATCH(B1667,Products!$A$2:$A$201,0))</f>
        <v/>
      </c>
      <c r="G1667" s="2">
        <f>E1667-F1667</f>
        <v/>
      </c>
    </row>
    <row r="1668" ht="15" customHeight="1" s="1">
      <c r="A1668" s="2" t="n">
        <v>51666</v>
      </c>
      <c r="B1668" s="2" t="inlineStr">
        <is>
          <t>SKU-0052</t>
        </is>
      </c>
      <c r="C1668" s="2" t="n">
        <v>14</v>
      </c>
      <c r="D1668" s="2">
        <f>VLOOKUP(B1668,Products!$A$2:$D$201,3,FALSE())</f>
        <v/>
      </c>
      <c r="E1668" s="2">
        <f>C1668*D1668</f>
        <v/>
      </c>
      <c r="F1668" s="2">
        <f>C1668*INDEX(Products!$D$2:$D$201,MATCH(B1668,Products!$A$2:$A$201,0))</f>
        <v/>
      </c>
      <c r="G1668" s="2">
        <f>E1668-F1668</f>
        <v/>
      </c>
    </row>
    <row r="1669" ht="15" customHeight="1" s="1">
      <c r="A1669" s="2" t="n">
        <v>51667</v>
      </c>
      <c r="B1669" s="2" t="inlineStr">
        <is>
          <t>SKU-0178</t>
        </is>
      </c>
      <c r="C1669" s="2" t="n">
        <v>8</v>
      </c>
      <c r="D1669" s="2">
        <f>VLOOKUP(B1669,Products!$A$2:$D$201,3,FALSE())</f>
        <v/>
      </c>
      <c r="E1669" s="2">
        <f>C1669*D1669</f>
        <v/>
      </c>
      <c r="F1669" s="2">
        <f>C1669*INDEX(Products!$D$2:$D$201,MATCH(B1669,Products!$A$2:$A$201,0))</f>
        <v/>
      </c>
      <c r="G1669" s="2">
        <f>E1669-F1669</f>
        <v/>
      </c>
    </row>
    <row r="1670" ht="15" customHeight="1" s="1">
      <c r="A1670" s="2" t="n">
        <v>51668</v>
      </c>
      <c r="B1670" s="2" t="inlineStr">
        <is>
          <t>SKU-0122</t>
        </is>
      </c>
      <c r="C1670" s="2" t="n">
        <v>8</v>
      </c>
      <c r="D1670" s="2">
        <f>VLOOKUP(B1670,Products!$A$2:$D$201,3,FALSE())</f>
        <v/>
      </c>
      <c r="E1670" s="2">
        <f>C1670*D1670</f>
        <v/>
      </c>
      <c r="F1670" s="2">
        <f>C1670*INDEX(Products!$D$2:$D$201,MATCH(B1670,Products!$A$2:$A$201,0))</f>
        <v/>
      </c>
      <c r="G1670" s="2">
        <f>E1670-F1670</f>
        <v/>
      </c>
    </row>
    <row r="1671" ht="15" customHeight="1" s="1">
      <c r="A1671" s="2" t="n">
        <v>51669</v>
      </c>
      <c r="B1671" s="2" t="inlineStr">
        <is>
          <t>SKU-0051</t>
        </is>
      </c>
      <c r="C1671" s="2" t="n">
        <v>12</v>
      </c>
      <c r="D1671" s="2">
        <f>VLOOKUP(B1671,Products!$A$2:$D$201,3,FALSE())</f>
        <v/>
      </c>
      <c r="E1671" s="2">
        <f>C1671*D1671</f>
        <v/>
      </c>
      <c r="F1671" s="2">
        <f>C1671*INDEX(Products!$D$2:$D$201,MATCH(B1671,Products!$A$2:$A$201,0))</f>
        <v/>
      </c>
      <c r="G1671" s="2">
        <f>E1671-F1671</f>
        <v/>
      </c>
    </row>
    <row r="1672" ht="15" customHeight="1" s="1">
      <c r="A1672" s="2" t="n">
        <v>51670</v>
      </c>
      <c r="B1672" s="2" t="inlineStr">
        <is>
          <t>SKU-0031</t>
        </is>
      </c>
      <c r="C1672" s="2" t="n">
        <v>6</v>
      </c>
      <c r="D1672" s="2">
        <f>VLOOKUP(B1672,Products!$A$2:$D$201,3,FALSE())</f>
        <v/>
      </c>
      <c r="E1672" s="2">
        <f>C1672*D1672</f>
        <v/>
      </c>
      <c r="F1672" s="2">
        <f>C1672*INDEX(Products!$D$2:$D$201,MATCH(B1672,Products!$A$2:$A$201,0))</f>
        <v/>
      </c>
      <c r="G1672" s="2">
        <f>E1672-F1672</f>
        <v/>
      </c>
    </row>
    <row r="1673" ht="15" customHeight="1" s="1">
      <c r="A1673" s="2" t="n">
        <v>51671</v>
      </c>
      <c r="B1673" s="2" t="inlineStr">
        <is>
          <t>SKU-0147</t>
        </is>
      </c>
      <c r="C1673" s="2" t="n">
        <v>9</v>
      </c>
      <c r="D1673" s="2">
        <f>VLOOKUP(B1673,Products!$A$2:$D$201,3,FALSE())</f>
        <v/>
      </c>
      <c r="E1673" s="2">
        <f>C1673*D1673</f>
        <v/>
      </c>
      <c r="F1673" s="2">
        <f>C1673*INDEX(Products!$D$2:$D$201,MATCH(B1673,Products!$A$2:$A$201,0))</f>
        <v/>
      </c>
      <c r="G1673" s="2">
        <f>E1673-F1673</f>
        <v/>
      </c>
    </row>
    <row r="1674" ht="15" customHeight="1" s="1">
      <c r="A1674" s="2" t="n">
        <v>51672</v>
      </c>
      <c r="B1674" s="2" t="inlineStr">
        <is>
          <t>SKU-0013</t>
        </is>
      </c>
      <c r="C1674" s="2" t="n">
        <v>1</v>
      </c>
      <c r="D1674" s="2">
        <f>VLOOKUP(B1674,Products!$A$2:$D$201,3,FALSE())</f>
        <v/>
      </c>
      <c r="E1674" s="2">
        <f>C1674*D1674</f>
        <v/>
      </c>
      <c r="F1674" s="2">
        <f>C1674*INDEX(Products!$D$2:$D$201,MATCH(B1674,Products!$A$2:$A$201,0))</f>
        <v/>
      </c>
      <c r="G1674" s="2">
        <f>E1674-F1674</f>
        <v/>
      </c>
    </row>
    <row r="1675" ht="15" customHeight="1" s="1">
      <c r="A1675" s="2" t="n">
        <v>51673</v>
      </c>
      <c r="B1675" s="2" t="inlineStr">
        <is>
          <t>SKU-0176</t>
        </is>
      </c>
      <c r="C1675" s="2" t="n">
        <v>19</v>
      </c>
      <c r="D1675" s="2">
        <f>VLOOKUP(B1675,Products!$A$2:$D$201,3,FALSE())</f>
        <v/>
      </c>
      <c r="E1675" s="2">
        <f>C1675*D1675</f>
        <v/>
      </c>
      <c r="F1675" s="2">
        <f>C1675*INDEX(Products!$D$2:$D$201,MATCH(B1675,Products!$A$2:$A$201,0))</f>
        <v/>
      </c>
      <c r="G1675" s="2">
        <f>E1675-F1675</f>
        <v/>
      </c>
    </row>
    <row r="1676" ht="15" customHeight="1" s="1">
      <c r="A1676" s="2" t="n">
        <v>51674</v>
      </c>
      <c r="B1676" s="2" t="inlineStr">
        <is>
          <t>SKU-0092</t>
        </is>
      </c>
      <c r="C1676" s="2" t="n">
        <v>16</v>
      </c>
      <c r="D1676" s="2">
        <f>VLOOKUP(B1676,Products!$A$2:$D$201,3,FALSE())</f>
        <v/>
      </c>
      <c r="E1676" s="2">
        <f>C1676*D1676</f>
        <v/>
      </c>
      <c r="F1676" s="2">
        <f>C1676*INDEX(Products!$D$2:$D$201,MATCH(B1676,Products!$A$2:$A$201,0))</f>
        <v/>
      </c>
      <c r="G1676" s="2">
        <f>E1676-F1676</f>
        <v/>
      </c>
    </row>
    <row r="1677" ht="15" customHeight="1" s="1">
      <c r="A1677" s="2" t="n">
        <v>51675</v>
      </c>
      <c r="B1677" s="2" t="inlineStr">
        <is>
          <t>SKU-0084</t>
        </is>
      </c>
      <c r="C1677" s="2" t="n">
        <v>5</v>
      </c>
      <c r="D1677" s="2">
        <f>VLOOKUP(B1677,Products!$A$2:$D$201,3,FALSE())</f>
        <v/>
      </c>
      <c r="E1677" s="2">
        <f>C1677*D1677</f>
        <v/>
      </c>
      <c r="F1677" s="2">
        <f>C1677*INDEX(Products!$D$2:$D$201,MATCH(B1677,Products!$A$2:$A$201,0))</f>
        <v/>
      </c>
      <c r="G1677" s="2">
        <f>E1677-F1677</f>
        <v/>
      </c>
    </row>
    <row r="1678" ht="15" customHeight="1" s="1">
      <c r="A1678" s="2" t="n">
        <v>51676</v>
      </c>
      <c r="B1678" s="2" t="inlineStr">
        <is>
          <t>SKU-0094</t>
        </is>
      </c>
      <c r="C1678" s="2" t="n">
        <v>6</v>
      </c>
      <c r="D1678" s="2">
        <f>VLOOKUP(B1678,Products!$A$2:$D$201,3,FALSE())</f>
        <v/>
      </c>
      <c r="E1678" s="2">
        <f>C1678*D1678</f>
        <v/>
      </c>
      <c r="F1678" s="2">
        <f>C1678*INDEX(Products!$D$2:$D$201,MATCH(B1678,Products!$A$2:$A$201,0))</f>
        <v/>
      </c>
      <c r="G1678" s="2">
        <f>E1678-F1678</f>
        <v/>
      </c>
    </row>
    <row r="1679" ht="15" customHeight="1" s="1">
      <c r="A1679" s="2" t="n">
        <v>51677</v>
      </c>
      <c r="B1679" s="2" t="inlineStr">
        <is>
          <t>SKU-0180</t>
        </is>
      </c>
      <c r="C1679" s="2" t="n">
        <v>9</v>
      </c>
      <c r="D1679" s="2">
        <f>VLOOKUP(B1679,Products!$A$2:$D$201,3,FALSE())</f>
        <v/>
      </c>
      <c r="E1679" s="2">
        <f>C1679*D1679</f>
        <v/>
      </c>
      <c r="F1679" s="2">
        <f>C1679*INDEX(Products!$D$2:$D$201,MATCH(B1679,Products!$A$2:$A$201,0))</f>
        <v/>
      </c>
      <c r="G1679" s="2">
        <f>E1679-F1679</f>
        <v/>
      </c>
    </row>
    <row r="1680" ht="15" customHeight="1" s="1">
      <c r="A1680" s="2" t="n">
        <v>51678</v>
      </c>
      <c r="B1680" s="2" t="inlineStr">
        <is>
          <t>SKU-0083</t>
        </is>
      </c>
      <c r="C1680" s="2" t="n">
        <v>20</v>
      </c>
      <c r="D1680" s="2">
        <f>VLOOKUP(B1680,Products!$A$2:$D$201,3,FALSE())</f>
        <v/>
      </c>
      <c r="E1680" s="2">
        <f>C1680*D1680</f>
        <v/>
      </c>
      <c r="F1680" s="2">
        <f>C1680*INDEX(Products!$D$2:$D$201,MATCH(B1680,Products!$A$2:$A$201,0))</f>
        <v/>
      </c>
      <c r="G1680" s="2">
        <f>E1680-F1680</f>
        <v/>
      </c>
    </row>
    <row r="1681" ht="15" customHeight="1" s="1">
      <c r="A1681" s="2" t="n">
        <v>51679</v>
      </c>
      <c r="B1681" s="2" t="inlineStr">
        <is>
          <t>SKU-0037</t>
        </is>
      </c>
      <c r="C1681" s="2" t="n">
        <v>19</v>
      </c>
      <c r="D1681" s="2">
        <f>VLOOKUP(B1681,Products!$A$2:$D$201,3,FALSE())</f>
        <v/>
      </c>
      <c r="E1681" s="2">
        <f>C1681*D1681</f>
        <v/>
      </c>
      <c r="F1681" s="2">
        <f>C1681*INDEX(Products!$D$2:$D$201,MATCH(B1681,Products!$A$2:$A$201,0))</f>
        <v/>
      </c>
      <c r="G1681" s="2">
        <f>E1681-F1681</f>
        <v/>
      </c>
    </row>
    <row r="1682" ht="15" customHeight="1" s="1">
      <c r="A1682" s="2" t="n">
        <v>51680</v>
      </c>
      <c r="B1682" s="2" t="inlineStr">
        <is>
          <t>SKU-0192</t>
        </is>
      </c>
      <c r="C1682" s="2" t="n">
        <v>2</v>
      </c>
      <c r="D1682" s="2">
        <f>VLOOKUP(B1682,Products!$A$2:$D$201,3,FALSE())</f>
        <v/>
      </c>
      <c r="E1682" s="2">
        <f>C1682*D1682</f>
        <v/>
      </c>
      <c r="F1682" s="2">
        <f>C1682*INDEX(Products!$D$2:$D$201,MATCH(B1682,Products!$A$2:$A$201,0))</f>
        <v/>
      </c>
      <c r="G1682" s="2">
        <f>E1682-F1682</f>
        <v/>
      </c>
    </row>
    <row r="1683" ht="15" customHeight="1" s="1">
      <c r="A1683" s="2" t="n">
        <v>51681</v>
      </c>
      <c r="B1683" s="2" t="inlineStr">
        <is>
          <t>SKU-0074</t>
        </is>
      </c>
      <c r="C1683" s="2" t="n">
        <v>19</v>
      </c>
      <c r="D1683" s="2">
        <f>VLOOKUP(B1683,Products!$A$2:$D$201,3,FALSE())</f>
        <v/>
      </c>
      <c r="E1683" s="2">
        <f>C1683*D1683</f>
        <v/>
      </c>
      <c r="F1683" s="2">
        <f>C1683*INDEX(Products!$D$2:$D$201,MATCH(B1683,Products!$A$2:$A$201,0))</f>
        <v/>
      </c>
      <c r="G1683" s="2">
        <f>E1683-F1683</f>
        <v/>
      </c>
    </row>
    <row r="1684" ht="15" customHeight="1" s="1">
      <c r="A1684" s="2" t="n">
        <v>51682</v>
      </c>
      <c r="B1684" s="2" t="inlineStr">
        <is>
          <t>SKU-0029</t>
        </is>
      </c>
      <c r="C1684" s="2" t="n">
        <v>14</v>
      </c>
      <c r="D1684" s="2">
        <f>VLOOKUP(B1684,Products!$A$2:$D$201,3,FALSE())</f>
        <v/>
      </c>
      <c r="E1684" s="2">
        <f>C1684*D1684</f>
        <v/>
      </c>
      <c r="F1684" s="2">
        <f>C1684*INDEX(Products!$D$2:$D$201,MATCH(B1684,Products!$A$2:$A$201,0))</f>
        <v/>
      </c>
      <c r="G1684" s="2">
        <f>E1684-F1684</f>
        <v/>
      </c>
    </row>
    <row r="1685" ht="15" customHeight="1" s="1">
      <c r="A1685" s="2" t="n">
        <v>51683</v>
      </c>
      <c r="B1685" s="2" t="inlineStr">
        <is>
          <t>SKU-0044</t>
        </is>
      </c>
      <c r="C1685" s="2" t="n">
        <v>2</v>
      </c>
      <c r="D1685" s="2">
        <f>VLOOKUP(B1685,Products!$A$2:$D$201,3,FALSE())</f>
        <v/>
      </c>
      <c r="E1685" s="2">
        <f>C1685*D1685</f>
        <v/>
      </c>
      <c r="F1685" s="2">
        <f>C1685*INDEX(Products!$D$2:$D$201,MATCH(B1685,Products!$A$2:$A$201,0))</f>
        <v/>
      </c>
      <c r="G1685" s="2">
        <f>E1685-F1685</f>
        <v/>
      </c>
    </row>
    <row r="1686" ht="15" customHeight="1" s="1">
      <c r="A1686" s="2" t="n">
        <v>51684</v>
      </c>
      <c r="B1686" s="2" t="inlineStr">
        <is>
          <t>SKU-0075</t>
        </is>
      </c>
      <c r="C1686" s="2" t="n">
        <v>14</v>
      </c>
      <c r="D1686" s="2">
        <f>VLOOKUP(B1686,Products!$A$2:$D$201,3,FALSE())</f>
        <v/>
      </c>
      <c r="E1686" s="2">
        <f>C1686*D1686</f>
        <v/>
      </c>
      <c r="F1686" s="2">
        <f>C1686*INDEX(Products!$D$2:$D$201,MATCH(B1686,Products!$A$2:$A$201,0))</f>
        <v/>
      </c>
      <c r="G1686" s="2">
        <f>E1686-F1686</f>
        <v/>
      </c>
    </row>
    <row r="1687" ht="15" customHeight="1" s="1">
      <c r="A1687" s="2" t="n">
        <v>51685</v>
      </c>
      <c r="B1687" s="2" t="inlineStr">
        <is>
          <t>SKU-0174</t>
        </is>
      </c>
      <c r="C1687" s="2" t="n">
        <v>15</v>
      </c>
      <c r="D1687" s="2">
        <f>VLOOKUP(B1687,Products!$A$2:$D$201,3,FALSE())</f>
        <v/>
      </c>
      <c r="E1687" s="2">
        <f>C1687*D1687</f>
        <v/>
      </c>
      <c r="F1687" s="2">
        <f>C1687*INDEX(Products!$D$2:$D$201,MATCH(B1687,Products!$A$2:$A$201,0))</f>
        <v/>
      </c>
      <c r="G1687" s="2">
        <f>E1687-F1687</f>
        <v/>
      </c>
    </row>
    <row r="1688" ht="15" customHeight="1" s="1">
      <c r="A1688" s="2" t="n">
        <v>51686</v>
      </c>
      <c r="B1688" s="2" t="inlineStr">
        <is>
          <t>SKU-0114</t>
        </is>
      </c>
      <c r="C1688" s="2" t="n">
        <v>14</v>
      </c>
      <c r="D1688" s="2">
        <f>VLOOKUP(B1688,Products!$A$2:$D$201,3,FALSE())</f>
        <v/>
      </c>
      <c r="E1688" s="2">
        <f>C1688*D1688</f>
        <v/>
      </c>
      <c r="F1688" s="2">
        <f>C1688*INDEX(Products!$D$2:$D$201,MATCH(B1688,Products!$A$2:$A$201,0))</f>
        <v/>
      </c>
      <c r="G1688" s="2">
        <f>E1688-F1688</f>
        <v/>
      </c>
    </row>
    <row r="1689" ht="15" customHeight="1" s="1">
      <c r="A1689" s="2" t="n">
        <v>51687</v>
      </c>
      <c r="B1689" s="2" t="inlineStr">
        <is>
          <t>SKU-0150</t>
        </is>
      </c>
      <c r="C1689" s="2" t="n">
        <v>5</v>
      </c>
      <c r="D1689" s="2">
        <f>VLOOKUP(B1689,Products!$A$2:$D$201,3,FALSE())</f>
        <v/>
      </c>
      <c r="E1689" s="2">
        <f>C1689*D1689</f>
        <v/>
      </c>
      <c r="F1689" s="2">
        <f>C1689*INDEX(Products!$D$2:$D$201,MATCH(B1689,Products!$A$2:$A$201,0))</f>
        <v/>
      </c>
      <c r="G1689" s="2">
        <f>E1689-F1689</f>
        <v/>
      </c>
    </row>
    <row r="1690" ht="15" customHeight="1" s="1">
      <c r="A1690" s="2" t="n">
        <v>51688</v>
      </c>
      <c r="B1690" s="2" t="inlineStr">
        <is>
          <t>SKU-0126</t>
        </is>
      </c>
      <c r="C1690" s="2" t="n">
        <v>8</v>
      </c>
      <c r="D1690" s="2">
        <f>VLOOKUP(B1690,Products!$A$2:$D$201,3,FALSE())</f>
        <v/>
      </c>
      <c r="E1690" s="2">
        <f>C1690*D1690</f>
        <v/>
      </c>
      <c r="F1690" s="2">
        <f>C1690*INDEX(Products!$D$2:$D$201,MATCH(B1690,Products!$A$2:$A$201,0))</f>
        <v/>
      </c>
      <c r="G1690" s="2">
        <f>E1690-F1690</f>
        <v/>
      </c>
    </row>
    <row r="1691" ht="15" customHeight="1" s="1">
      <c r="A1691" s="2" t="n">
        <v>51689</v>
      </c>
      <c r="B1691" s="2" t="inlineStr">
        <is>
          <t>SKU-0038</t>
        </is>
      </c>
      <c r="C1691" s="2" t="n">
        <v>6</v>
      </c>
      <c r="D1691" s="2">
        <f>VLOOKUP(B1691,Products!$A$2:$D$201,3,FALSE())</f>
        <v/>
      </c>
      <c r="E1691" s="2">
        <f>C1691*D1691</f>
        <v/>
      </c>
      <c r="F1691" s="2">
        <f>C1691*INDEX(Products!$D$2:$D$201,MATCH(B1691,Products!$A$2:$A$201,0))</f>
        <v/>
      </c>
      <c r="G1691" s="2">
        <f>E1691-F1691</f>
        <v/>
      </c>
    </row>
    <row r="1692" ht="15" customHeight="1" s="1">
      <c r="A1692" s="2" t="n">
        <v>51690</v>
      </c>
      <c r="B1692" s="2" t="inlineStr">
        <is>
          <t>SKU-0192</t>
        </is>
      </c>
      <c r="C1692" s="2" t="n">
        <v>8</v>
      </c>
      <c r="D1692" s="2">
        <f>VLOOKUP(B1692,Products!$A$2:$D$201,3,FALSE())</f>
        <v/>
      </c>
      <c r="E1692" s="2">
        <f>C1692*D1692</f>
        <v/>
      </c>
      <c r="F1692" s="2">
        <f>C1692*INDEX(Products!$D$2:$D$201,MATCH(B1692,Products!$A$2:$A$201,0))</f>
        <v/>
      </c>
      <c r="G1692" s="2">
        <f>E1692-F1692</f>
        <v/>
      </c>
    </row>
    <row r="1693" ht="15" customHeight="1" s="1">
      <c r="A1693" s="2" t="n">
        <v>51691</v>
      </c>
      <c r="B1693" s="2" t="inlineStr">
        <is>
          <t>SKU-0058</t>
        </is>
      </c>
      <c r="C1693" s="2" t="n">
        <v>18</v>
      </c>
      <c r="D1693" s="2">
        <f>VLOOKUP(B1693,Products!$A$2:$D$201,3,FALSE())</f>
        <v/>
      </c>
      <c r="E1693" s="2">
        <f>C1693*D1693</f>
        <v/>
      </c>
      <c r="F1693" s="2">
        <f>C1693*INDEX(Products!$D$2:$D$201,MATCH(B1693,Products!$A$2:$A$201,0))</f>
        <v/>
      </c>
      <c r="G1693" s="2">
        <f>E1693-F1693</f>
        <v/>
      </c>
    </row>
    <row r="1694" ht="15" customHeight="1" s="1">
      <c r="A1694" s="2" t="n">
        <v>51692</v>
      </c>
      <c r="B1694" s="2" t="inlineStr">
        <is>
          <t>SKU-0198</t>
        </is>
      </c>
      <c r="C1694" s="2" t="n">
        <v>17</v>
      </c>
      <c r="D1694" s="2">
        <f>VLOOKUP(B1694,Products!$A$2:$D$201,3,FALSE())</f>
        <v/>
      </c>
      <c r="E1694" s="2">
        <f>C1694*D1694</f>
        <v/>
      </c>
      <c r="F1694" s="2">
        <f>C1694*INDEX(Products!$D$2:$D$201,MATCH(B1694,Products!$A$2:$A$201,0))</f>
        <v/>
      </c>
      <c r="G1694" s="2">
        <f>E1694-F1694</f>
        <v/>
      </c>
    </row>
    <row r="1695" ht="15" customHeight="1" s="1">
      <c r="A1695" s="2" t="n">
        <v>51693</v>
      </c>
      <c r="B1695" s="2" t="inlineStr">
        <is>
          <t>SKU-0121</t>
        </is>
      </c>
      <c r="C1695" s="2" t="n">
        <v>10</v>
      </c>
      <c r="D1695" s="2">
        <f>VLOOKUP(B1695,Products!$A$2:$D$201,3,FALSE())</f>
        <v/>
      </c>
      <c r="E1695" s="2">
        <f>C1695*D1695</f>
        <v/>
      </c>
      <c r="F1695" s="2">
        <f>C1695*INDEX(Products!$D$2:$D$201,MATCH(B1695,Products!$A$2:$A$201,0))</f>
        <v/>
      </c>
      <c r="G1695" s="2">
        <f>E1695-F1695</f>
        <v/>
      </c>
    </row>
    <row r="1696" ht="15" customHeight="1" s="1">
      <c r="A1696" s="2" t="n">
        <v>51694</v>
      </c>
      <c r="B1696" s="2" t="inlineStr">
        <is>
          <t>SKU-0012</t>
        </is>
      </c>
      <c r="C1696" s="2" t="n">
        <v>10</v>
      </c>
      <c r="D1696" s="2">
        <f>VLOOKUP(B1696,Products!$A$2:$D$201,3,FALSE())</f>
        <v/>
      </c>
      <c r="E1696" s="2">
        <f>C1696*D1696</f>
        <v/>
      </c>
      <c r="F1696" s="2">
        <f>C1696*INDEX(Products!$D$2:$D$201,MATCH(B1696,Products!$A$2:$A$201,0))</f>
        <v/>
      </c>
      <c r="G1696" s="2">
        <f>E1696-F1696</f>
        <v/>
      </c>
    </row>
    <row r="1697" ht="15" customHeight="1" s="1">
      <c r="A1697" s="2" t="n">
        <v>51695</v>
      </c>
      <c r="B1697" s="2" t="inlineStr">
        <is>
          <t>SKU-0026</t>
        </is>
      </c>
      <c r="C1697" s="2" t="n">
        <v>14</v>
      </c>
      <c r="D1697" s="2">
        <f>VLOOKUP(B1697,Products!$A$2:$D$201,3,FALSE())</f>
        <v/>
      </c>
      <c r="E1697" s="2">
        <f>C1697*D1697</f>
        <v/>
      </c>
      <c r="F1697" s="2">
        <f>C1697*INDEX(Products!$D$2:$D$201,MATCH(B1697,Products!$A$2:$A$201,0))</f>
        <v/>
      </c>
      <c r="G1697" s="2">
        <f>E1697-F1697</f>
        <v/>
      </c>
    </row>
    <row r="1698" ht="15" customHeight="1" s="1">
      <c r="A1698" s="2" t="n">
        <v>51696</v>
      </c>
      <c r="B1698" s="2" t="inlineStr">
        <is>
          <t>SKU-0168</t>
        </is>
      </c>
      <c r="C1698" s="2" t="n">
        <v>5</v>
      </c>
      <c r="D1698" s="2">
        <f>VLOOKUP(B1698,Products!$A$2:$D$201,3,FALSE())</f>
        <v/>
      </c>
      <c r="E1698" s="2">
        <f>C1698*D1698</f>
        <v/>
      </c>
      <c r="F1698" s="2">
        <f>C1698*INDEX(Products!$D$2:$D$201,MATCH(B1698,Products!$A$2:$A$201,0))</f>
        <v/>
      </c>
      <c r="G1698" s="2">
        <f>E1698-F1698</f>
        <v/>
      </c>
    </row>
    <row r="1699" ht="15" customHeight="1" s="1">
      <c r="A1699" s="2" t="n">
        <v>51697</v>
      </c>
      <c r="B1699" s="2" t="inlineStr">
        <is>
          <t>SKU-0004</t>
        </is>
      </c>
      <c r="C1699" s="2" t="n">
        <v>5</v>
      </c>
      <c r="D1699" s="2">
        <f>VLOOKUP(B1699,Products!$A$2:$D$201,3,FALSE())</f>
        <v/>
      </c>
      <c r="E1699" s="2">
        <f>C1699*D1699</f>
        <v/>
      </c>
      <c r="F1699" s="2">
        <f>C1699*INDEX(Products!$D$2:$D$201,MATCH(B1699,Products!$A$2:$A$201,0))</f>
        <v/>
      </c>
      <c r="G1699" s="2">
        <f>E1699-F1699</f>
        <v/>
      </c>
    </row>
    <row r="1700" ht="15" customHeight="1" s="1">
      <c r="A1700" s="2" t="n">
        <v>51698</v>
      </c>
      <c r="B1700" s="2" t="inlineStr">
        <is>
          <t>SKU-0059</t>
        </is>
      </c>
      <c r="C1700" s="2" t="n">
        <v>4</v>
      </c>
      <c r="D1700" s="2">
        <f>VLOOKUP(B1700,Products!$A$2:$D$201,3,FALSE())</f>
        <v/>
      </c>
      <c r="E1700" s="2">
        <f>C1700*D1700</f>
        <v/>
      </c>
      <c r="F1700" s="2">
        <f>C1700*INDEX(Products!$D$2:$D$201,MATCH(B1700,Products!$A$2:$A$201,0))</f>
        <v/>
      </c>
      <c r="G1700" s="2">
        <f>E1700-F1700</f>
        <v/>
      </c>
    </row>
    <row r="1701" ht="15" customHeight="1" s="1">
      <c r="A1701" s="2" t="n">
        <v>51699</v>
      </c>
      <c r="B1701" s="2" t="inlineStr">
        <is>
          <t>SKU-0080</t>
        </is>
      </c>
      <c r="C1701" s="2" t="n">
        <v>1</v>
      </c>
      <c r="D1701" s="2">
        <f>VLOOKUP(B1701,Products!$A$2:$D$201,3,FALSE())</f>
        <v/>
      </c>
      <c r="E1701" s="2">
        <f>C1701*D1701</f>
        <v/>
      </c>
      <c r="F1701" s="2">
        <f>C1701*INDEX(Products!$D$2:$D$201,MATCH(B1701,Products!$A$2:$A$201,0))</f>
        <v/>
      </c>
      <c r="G1701" s="2">
        <f>E1701-F1701</f>
        <v/>
      </c>
    </row>
    <row r="1702" ht="15" customHeight="1" s="1">
      <c r="A1702" s="2" t="n">
        <v>51700</v>
      </c>
      <c r="B1702" s="2" t="inlineStr">
        <is>
          <t>SKU-0033</t>
        </is>
      </c>
      <c r="C1702" s="2" t="n">
        <v>12</v>
      </c>
      <c r="D1702" s="2">
        <f>VLOOKUP(B1702,Products!$A$2:$D$201,3,FALSE())</f>
        <v/>
      </c>
      <c r="E1702" s="2">
        <f>C1702*D1702</f>
        <v/>
      </c>
      <c r="F1702" s="2">
        <f>C1702*INDEX(Products!$D$2:$D$201,MATCH(B1702,Products!$A$2:$A$201,0))</f>
        <v/>
      </c>
      <c r="G1702" s="2">
        <f>E1702-F1702</f>
        <v/>
      </c>
    </row>
    <row r="1703" ht="15" customHeight="1" s="1">
      <c r="A1703" s="2" t="n">
        <v>51701</v>
      </c>
      <c r="B1703" s="2" t="inlineStr">
        <is>
          <t>SKU-0174</t>
        </is>
      </c>
      <c r="C1703" s="2" t="n">
        <v>1</v>
      </c>
      <c r="D1703" s="2">
        <f>VLOOKUP(B1703,Products!$A$2:$D$201,3,FALSE())</f>
        <v/>
      </c>
      <c r="E1703" s="2">
        <f>C1703*D1703</f>
        <v/>
      </c>
      <c r="F1703" s="2">
        <f>C1703*INDEX(Products!$D$2:$D$201,MATCH(B1703,Products!$A$2:$A$201,0))</f>
        <v/>
      </c>
      <c r="G1703" s="2">
        <f>E1703-F1703</f>
        <v/>
      </c>
    </row>
    <row r="1704" ht="15" customHeight="1" s="1">
      <c r="A1704" s="2" t="n">
        <v>51702</v>
      </c>
      <c r="B1704" s="2" t="inlineStr">
        <is>
          <t>SKU-0144</t>
        </is>
      </c>
      <c r="C1704" s="2" t="n">
        <v>5</v>
      </c>
      <c r="D1704" s="2">
        <f>VLOOKUP(B1704,Products!$A$2:$D$201,3,FALSE())</f>
        <v/>
      </c>
      <c r="E1704" s="2">
        <f>C1704*D1704</f>
        <v/>
      </c>
      <c r="F1704" s="2">
        <f>C1704*INDEX(Products!$D$2:$D$201,MATCH(B1704,Products!$A$2:$A$201,0))</f>
        <v/>
      </c>
      <c r="G1704" s="2">
        <f>E1704-F1704</f>
        <v/>
      </c>
    </row>
    <row r="1705" ht="15" customHeight="1" s="1">
      <c r="A1705" s="2" t="n">
        <v>51703</v>
      </c>
      <c r="B1705" s="2" t="inlineStr">
        <is>
          <t>SKU-0182</t>
        </is>
      </c>
      <c r="C1705" s="2" t="n">
        <v>10</v>
      </c>
      <c r="D1705" s="2">
        <f>VLOOKUP(B1705,Products!$A$2:$D$201,3,FALSE())</f>
        <v/>
      </c>
      <c r="E1705" s="2">
        <f>C1705*D1705</f>
        <v/>
      </c>
      <c r="F1705" s="2">
        <f>C1705*INDEX(Products!$D$2:$D$201,MATCH(B1705,Products!$A$2:$A$201,0))</f>
        <v/>
      </c>
      <c r="G1705" s="2">
        <f>E1705-F1705</f>
        <v/>
      </c>
    </row>
    <row r="1706" ht="15" customHeight="1" s="1">
      <c r="A1706" s="2" t="n">
        <v>51704</v>
      </c>
      <c r="B1706" s="2" t="inlineStr">
        <is>
          <t>SKU-0065</t>
        </is>
      </c>
      <c r="C1706" s="2" t="n">
        <v>1</v>
      </c>
      <c r="D1706" s="2">
        <f>VLOOKUP(B1706,Products!$A$2:$D$201,3,FALSE())</f>
        <v/>
      </c>
      <c r="E1706" s="2">
        <f>C1706*D1706</f>
        <v/>
      </c>
      <c r="F1706" s="2">
        <f>C1706*INDEX(Products!$D$2:$D$201,MATCH(B1706,Products!$A$2:$A$201,0))</f>
        <v/>
      </c>
      <c r="G1706" s="2">
        <f>E1706-F1706</f>
        <v/>
      </c>
    </row>
    <row r="1707" ht="15" customHeight="1" s="1">
      <c r="A1707" s="2" t="n">
        <v>51705</v>
      </c>
      <c r="B1707" s="2" t="inlineStr">
        <is>
          <t>SKU-0183</t>
        </is>
      </c>
      <c r="C1707" s="2" t="n">
        <v>2</v>
      </c>
      <c r="D1707" s="2">
        <f>VLOOKUP(B1707,Products!$A$2:$D$201,3,FALSE())</f>
        <v/>
      </c>
      <c r="E1707" s="2">
        <f>C1707*D1707</f>
        <v/>
      </c>
      <c r="F1707" s="2">
        <f>C1707*INDEX(Products!$D$2:$D$201,MATCH(B1707,Products!$A$2:$A$201,0))</f>
        <v/>
      </c>
      <c r="G1707" s="2">
        <f>E1707-F1707</f>
        <v/>
      </c>
    </row>
    <row r="1708" ht="15" customHeight="1" s="1">
      <c r="A1708" s="2" t="n">
        <v>51706</v>
      </c>
      <c r="B1708" s="2" t="inlineStr">
        <is>
          <t>SKU-0054</t>
        </is>
      </c>
      <c r="C1708" s="2" t="n">
        <v>17</v>
      </c>
      <c r="D1708" s="2">
        <f>VLOOKUP(B1708,Products!$A$2:$D$201,3,FALSE())</f>
        <v/>
      </c>
      <c r="E1708" s="2">
        <f>C1708*D1708</f>
        <v/>
      </c>
      <c r="F1708" s="2">
        <f>C1708*INDEX(Products!$D$2:$D$201,MATCH(B1708,Products!$A$2:$A$201,0))</f>
        <v/>
      </c>
      <c r="G1708" s="2">
        <f>E1708-F1708</f>
        <v/>
      </c>
    </row>
    <row r="1709" ht="15" customHeight="1" s="1">
      <c r="A1709" s="2" t="n">
        <v>51707</v>
      </c>
      <c r="B1709" s="2" t="inlineStr">
        <is>
          <t>SKU-0003</t>
        </is>
      </c>
      <c r="C1709" s="2" t="n">
        <v>9</v>
      </c>
      <c r="D1709" s="2">
        <f>VLOOKUP(B1709,Products!$A$2:$D$201,3,FALSE())</f>
        <v/>
      </c>
      <c r="E1709" s="2">
        <f>C1709*D1709</f>
        <v/>
      </c>
      <c r="F1709" s="2">
        <f>C1709*INDEX(Products!$D$2:$D$201,MATCH(B1709,Products!$A$2:$A$201,0))</f>
        <v/>
      </c>
      <c r="G1709" s="2">
        <f>E1709-F1709</f>
        <v/>
      </c>
    </row>
    <row r="1710" ht="15" customHeight="1" s="1">
      <c r="A1710" s="2" t="n">
        <v>51708</v>
      </c>
      <c r="B1710" s="2" t="inlineStr">
        <is>
          <t>SKU-0001</t>
        </is>
      </c>
      <c r="C1710" s="2" t="n">
        <v>4</v>
      </c>
      <c r="D1710" s="2">
        <f>VLOOKUP(B1710,Products!$A$2:$D$201,3,FALSE())</f>
        <v/>
      </c>
      <c r="E1710" s="2">
        <f>C1710*D1710</f>
        <v/>
      </c>
      <c r="F1710" s="2">
        <f>C1710*INDEX(Products!$D$2:$D$201,MATCH(B1710,Products!$A$2:$A$201,0))</f>
        <v/>
      </c>
      <c r="G1710" s="2">
        <f>E1710-F1710</f>
        <v/>
      </c>
    </row>
    <row r="1711" ht="15" customHeight="1" s="1">
      <c r="A1711" s="2" t="n">
        <v>51709</v>
      </c>
      <c r="B1711" s="2" t="inlineStr">
        <is>
          <t>SKU-0045</t>
        </is>
      </c>
      <c r="C1711" s="2" t="n">
        <v>18</v>
      </c>
      <c r="D1711" s="2">
        <f>VLOOKUP(B1711,Products!$A$2:$D$201,3,FALSE())</f>
        <v/>
      </c>
      <c r="E1711" s="2">
        <f>C1711*D1711</f>
        <v/>
      </c>
      <c r="F1711" s="2">
        <f>C1711*INDEX(Products!$D$2:$D$201,MATCH(B1711,Products!$A$2:$A$201,0))</f>
        <v/>
      </c>
      <c r="G1711" s="2">
        <f>E1711-F1711</f>
        <v/>
      </c>
    </row>
    <row r="1712" ht="15" customHeight="1" s="1">
      <c r="A1712" s="2" t="n">
        <v>51710</v>
      </c>
      <c r="B1712" s="2" t="inlineStr">
        <is>
          <t>SKU-0116</t>
        </is>
      </c>
      <c r="C1712" s="2" t="n">
        <v>12</v>
      </c>
      <c r="D1712" s="2">
        <f>VLOOKUP(B1712,Products!$A$2:$D$201,3,FALSE())</f>
        <v/>
      </c>
      <c r="E1712" s="2">
        <f>C1712*D1712</f>
        <v/>
      </c>
      <c r="F1712" s="2">
        <f>C1712*INDEX(Products!$D$2:$D$201,MATCH(B1712,Products!$A$2:$A$201,0))</f>
        <v/>
      </c>
      <c r="G1712" s="2">
        <f>E1712-F1712</f>
        <v/>
      </c>
    </row>
    <row r="1713" ht="15" customHeight="1" s="1">
      <c r="A1713" s="2" t="n">
        <v>51711</v>
      </c>
      <c r="B1713" s="2" t="inlineStr">
        <is>
          <t>SKU-0063</t>
        </is>
      </c>
      <c r="C1713" s="2" t="n">
        <v>11</v>
      </c>
      <c r="D1713" s="2">
        <f>VLOOKUP(B1713,Products!$A$2:$D$201,3,FALSE())</f>
        <v/>
      </c>
      <c r="E1713" s="2">
        <f>C1713*D1713</f>
        <v/>
      </c>
      <c r="F1713" s="2">
        <f>C1713*INDEX(Products!$D$2:$D$201,MATCH(B1713,Products!$A$2:$A$201,0))</f>
        <v/>
      </c>
      <c r="G1713" s="2">
        <f>E1713-F1713</f>
        <v/>
      </c>
    </row>
    <row r="1714" ht="15" customHeight="1" s="1">
      <c r="A1714" s="2" t="n">
        <v>51712</v>
      </c>
      <c r="B1714" s="2" t="inlineStr">
        <is>
          <t>SKU-0012</t>
        </is>
      </c>
      <c r="C1714" s="2" t="n">
        <v>11</v>
      </c>
      <c r="D1714" s="2">
        <f>VLOOKUP(B1714,Products!$A$2:$D$201,3,FALSE())</f>
        <v/>
      </c>
      <c r="E1714" s="2">
        <f>C1714*D1714</f>
        <v/>
      </c>
      <c r="F1714" s="2">
        <f>C1714*INDEX(Products!$D$2:$D$201,MATCH(B1714,Products!$A$2:$A$201,0))</f>
        <v/>
      </c>
      <c r="G1714" s="2">
        <f>E1714-F1714</f>
        <v/>
      </c>
    </row>
    <row r="1715" ht="15" customHeight="1" s="1">
      <c r="A1715" s="2" t="n">
        <v>51713</v>
      </c>
      <c r="B1715" s="2" t="inlineStr">
        <is>
          <t>SKU-0080</t>
        </is>
      </c>
      <c r="C1715" s="2" t="n">
        <v>20</v>
      </c>
      <c r="D1715" s="2">
        <f>VLOOKUP(B1715,Products!$A$2:$D$201,3,FALSE())</f>
        <v/>
      </c>
      <c r="E1715" s="2">
        <f>C1715*D1715</f>
        <v/>
      </c>
      <c r="F1715" s="2">
        <f>C1715*INDEX(Products!$D$2:$D$201,MATCH(B1715,Products!$A$2:$A$201,0))</f>
        <v/>
      </c>
      <c r="G1715" s="2">
        <f>E1715-F1715</f>
        <v/>
      </c>
    </row>
    <row r="1716" ht="15" customHeight="1" s="1">
      <c r="A1716" s="2" t="n">
        <v>51714</v>
      </c>
      <c r="B1716" s="2" t="inlineStr">
        <is>
          <t>SKU-0046</t>
        </is>
      </c>
      <c r="C1716" s="2" t="n">
        <v>14</v>
      </c>
      <c r="D1716" s="2">
        <f>VLOOKUP(B1716,Products!$A$2:$D$201,3,FALSE())</f>
        <v/>
      </c>
      <c r="E1716" s="2">
        <f>C1716*D1716</f>
        <v/>
      </c>
      <c r="F1716" s="2">
        <f>C1716*INDEX(Products!$D$2:$D$201,MATCH(B1716,Products!$A$2:$A$201,0))</f>
        <v/>
      </c>
      <c r="G1716" s="2">
        <f>E1716-F1716</f>
        <v/>
      </c>
    </row>
    <row r="1717" ht="15" customHeight="1" s="1">
      <c r="A1717" s="2" t="n">
        <v>51715</v>
      </c>
      <c r="B1717" s="2" t="inlineStr">
        <is>
          <t>SKU-0182</t>
        </is>
      </c>
      <c r="C1717" s="2" t="n">
        <v>11</v>
      </c>
      <c r="D1717" s="2">
        <f>VLOOKUP(B1717,Products!$A$2:$D$201,3,FALSE())</f>
        <v/>
      </c>
      <c r="E1717" s="2">
        <f>C1717*D1717</f>
        <v/>
      </c>
      <c r="F1717" s="2">
        <f>C1717*INDEX(Products!$D$2:$D$201,MATCH(B1717,Products!$A$2:$A$201,0))</f>
        <v/>
      </c>
      <c r="G1717" s="2">
        <f>E1717-F1717</f>
        <v/>
      </c>
    </row>
    <row r="1718" ht="15" customHeight="1" s="1">
      <c r="A1718" s="2" t="n">
        <v>51716</v>
      </c>
      <c r="B1718" s="2" t="inlineStr">
        <is>
          <t>SKU-0020</t>
        </is>
      </c>
      <c r="C1718" s="2" t="n">
        <v>18</v>
      </c>
      <c r="D1718" s="2">
        <f>VLOOKUP(B1718,Products!$A$2:$D$201,3,FALSE())</f>
        <v/>
      </c>
      <c r="E1718" s="2">
        <f>C1718*D1718</f>
        <v/>
      </c>
      <c r="F1718" s="2">
        <f>C1718*INDEX(Products!$D$2:$D$201,MATCH(B1718,Products!$A$2:$A$201,0))</f>
        <v/>
      </c>
      <c r="G1718" s="2">
        <f>E1718-F1718</f>
        <v/>
      </c>
    </row>
    <row r="1719" ht="15" customHeight="1" s="1">
      <c r="A1719" s="2" t="n">
        <v>51717</v>
      </c>
      <c r="B1719" s="2" t="inlineStr">
        <is>
          <t>SKU-0126</t>
        </is>
      </c>
      <c r="C1719" s="2" t="n">
        <v>7</v>
      </c>
      <c r="D1719" s="2">
        <f>VLOOKUP(B1719,Products!$A$2:$D$201,3,FALSE())</f>
        <v/>
      </c>
      <c r="E1719" s="2">
        <f>C1719*D1719</f>
        <v/>
      </c>
      <c r="F1719" s="2">
        <f>C1719*INDEX(Products!$D$2:$D$201,MATCH(B1719,Products!$A$2:$A$201,0))</f>
        <v/>
      </c>
      <c r="G1719" s="2">
        <f>E1719-F1719</f>
        <v/>
      </c>
    </row>
    <row r="1720" ht="15" customHeight="1" s="1">
      <c r="A1720" s="2" t="n">
        <v>51718</v>
      </c>
      <c r="B1720" s="2" t="inlineStr">
        <is>
          <t>SKU-0043</t>
        </is>
      </c>
      <c r="C1720" s="2" t="n">
        <v>18</v>
      </c>
      <c r="D1720" s="2">
        <f>VLOOKUP(B1720,Products!$A$2:$D$201,3,FALSE())</f>
        <v/>
      </c>
      <c r="E1720" s="2">
        <f>C1720*D1720</f>
        <v/>
      </c>
      <c r="F1720" s="2">
        <f>C1720*INDEX(Products!$D$2:$D$201,MATCH(B1720,Products!$A$2:$A$201,0))</f>
        <v/>
      </c>
      <c r="G1720" s="2">
        <f>E1720-F1720</f>
        <v/>
      </c>
    </row>
    <row r="1721" ht="15" customHeight="1" s="1">
      <c r="A1721" s="2" t="n">
        <v>51719</v>
      </c>
      <c r="B1721" s="2" t="inlineStr">
        <is>
          <t>SKU-0175</t>
        </is>
      </c>
      <c r="C1721" s="2" t="n">
        <v>2</v>
      </c>
      <c r="D1721" s="2">
        <f>VLOOKUP(B1721,Products!$A$2:$D$201,3,FALSE())</f>
        <v/>
      </c>
      <c r="E1721" s="2">
        <f>C1721*D1721</f>
        <v/>
      </c>
      <c r="F1721" s="2">
        <f>C1721*INDEX(Products!$D$2:$D$201,MATCH(B1721,Products!$A$2:$A$201,0))</f>
        <v/>
      </c>
      <c r="G1721" s="2">
        <f>E1721-F1721</f>
        <v/>
      </c>
    </row>
    <row r="1722" ht="15" customHeight="1" s="1">
      <c r="A1722" s="2" t="n">
        <v>51720</v>
      </c>
      <c r="B1722" s="2" t="inlineStr">
        <is>
          <t>SKU-0167</t>
        </is>
      </c>
      <c r="C1722" s="2" t="n">
        <v>19</v>
      </c>
      <c r="D1722" s="2">
        <f>VLOOKUP(B1722,Products!$A$2:$D$201,3,FALSE())</f>
        <v/>
      </c>
      <c r="E1722" s="2">
        <f>C1722*D1722</f>
        <v/>
      </c>
      <c r="F1722" s="2">
        <f>C1722*INDEX(Products!$D$2:$D$201,MATCH(B1722,Products!$A$2:$A$201,0))</f>
        <v/>
      </c>
      <c r="G1722" s="2">
        <f>E1722-F1722</f>
        <v/>
      </c>
    </row>
    <row r="1723" ht="15" customHeight="1" s="1">
      <c r="A1723" s="2" t="n">
        <v>51721</v>
      </c>
      <c r="B1723" s="2" t="inlineStr">
        <is>
          <t>SKU-0044</t>
        </is>
      </c>
      <c r="C1723" s="2" t="n">
        <v>16</v>
      </c>
      <c r="D1723" s="2">
        <f>VLOOKUP(B1723,Products!$A$2:$D$201,3,FALSE())</f>
        <v/>
      </c>
      <c r="E1723" s="2">
        <f>C1723*D1723</f>
        <v/>
      </c>
      <c r="F1723" s="2">
        <f>C1723*INDEX(Products!$D$2:$D$201,MATCH(B1723,Products!$A$2:$A$201,0))</f>
        <v/>
      </c>
      <c r="G1723" s="2">
        <f>E1723-F1723</f>
        <v/>
      </c>
    </row>
    <row r="1724" ht="15" customHeight="1" s="1">
      <c r="A1724" s="2" t="n">
        <v>51722</v>
      </c>
      <c r="B1724" s="2" t="inlineStr">
        <is>
          <t>SKU-0075</t>
        </is>
      </c>
      <c r="C1724" s="2" t="n">
        <v>13</v>
      </c>
      <c r="D1724" s="2">
        <f>VLOOKUP(B1724,Products!$A$2:$D$201,3,FALSE())</f>
        <v/>
      </c>
      <c r="E1724" s="2">
        <f>C1724*D1724</f>
        <v/>
      </c>
      <c r="F1724" s="2">
        <f>C1724*INDEX(Products!$D$2:$D$201,MATCH(B1724,Products!$A$2:$A$201,0))</f>
        <v/>
      </c>
      <c r="G1724" s="2">
        <f>E1724-F1724</f>
        <v/>
      </c>
    </row>
    <row r="1725" ht="15" customHeight="1" s="1">
      <c r="A1725" s="2" t="n">
        <v>51723</v>
      </c>
      <c r="B1725" s="2" t="inlineStr">
        <is>
          <t>SKU-0150</t>
        </is>
      </c>
      <c r="C1725" s="2" t="n">
        <v>19</v>
      </c>
      <c r="D1725" s="2">
        <f>VLOOKUP(B1725,Products!$A$2:$D$201,3,FALSE())</f>
        <v/>
      </c>
      <c r="E1725" s="2">
        <f>C1725*D1725</f>
        <v/>
      </c>
      <c r="F1725" s="2">
        <f>C1725*INDEX(Products!$D$2:$D$201,MATCH(B1725,Products!$A$2:$A$201,0))</f>
        <v/>
      </c>
      <c r="G1725" s="2">
        <f>E1725-F1725</f>
        <v/>
      </c>
    </row>
    <row r="1726" ht="15" customHeight="1" s="1">
      <c r="A1726" s="2" t="n">
        <v>51724</v>
      </c>
      <c r="B1726" s="2" t="inlineStr">
        <is>
          <t>SKU-0142</t>
        </is>
      </c>
      <c r="C1726" s="2" t="n">
        <v>15</v>
      </c>
      <c r="D1726" s="2">
        <f>VLOOKUP(B1726,Products!$A$2:$D$201,3,FALSE())</f>
        <v/>
      </c>
      <c r="E1726" s="2">
        <f>C1726*D1726</f>
        <v/>
      </c>
      <c r="F1726" s="2">
        <f>C1726*INDEX(Products!$D$2:$D$201,MATCH(B1726,Products!$A$2:$A$201,0))</f>
        <v/>
      </c>
      <c r="G1726" s="2">
        <f>E1726-F1726</f>
        <v/>
      </c>
    </row>
    <row r="1727" ht="15" customHeight="1" s="1">
      <c r="A1727" s="2" t="n">
        <v>51725</v>
      </c>
      <c r="B1727" s="2" t="inlineStr">
        <is>
          <t>SKU-0099</t>
        </is>
      </c>
      <c r="C1727" s="2" t="n">
        <v>13</v>
      </c>
      <c r="D1727" s="2">
        <f>VLOOKUP(B1727,Products!$A$2:$D$201,3,FALSE())</f>
        <v/>
      </c>
      <c r="E1727" s="2">
        <f>C1727*D1727</f>
        <v/>
      </c>
      <c r="F1727" s="2">
        <f>C1727*INDEX(Products!$D$2:$D$201,MATCH(B1727,Products!$A$2:$A$201,0))</f>
        <v/>
      </c>
      <c r="G1727" s="2">
        <f>E1727-F1727</f>
        <v/>
      </c>
    </row>
    <row r="1728" ht="15" customHeight="1" s="1">
      <c r="A1728" s="2" t="n">
        <v>51726</v>
      </c>
      <c r="B1728" s="2" t="inlineStr">
        <is>
          <t>SKU-0086</t>
        </is>
      </c>
      <c r="C1728" s="2" t="n">
        <v>6</v>
      </c>
      <c r="D1728" s="2">
        <f>VLOOKUP(B1728,Products!$A$2:$D$201,3,FALSE())</f>
        <v/>
      </c>
      <c r="E1728" s="2">
        <f>C1728*D1728</f>
        <v/>
      </c>
      <c r="F1728" s="2">
        <f>C1728*INDEX(Products!$D$2:$D$201,MATCH(B1728,Products!$A$2:$A$201,0))</f>
        <v/>
      </c>
      <c r="G1728" s="2">
        <f>E1728-F1728</f>
        <v/>
      </c>
    </row>
    <row r="1729" ht="15" customHeight="1" s="1">
      <c r="A1729" s="2" t="n">
        <v>51727</v>
      </c>
      <c r="B1729" s="2" t="inlineStr">
        <is>
          <t>SKU-0140</t>
        </is>
      </c>
      <c r="C1729" s="2" t="n">
        <v>11</v>
      </c>
      <c r="D1729" s="2">
        <f>VLOOKUP(B1729,Products!$A$2:$D$201,3,FALSE())</f>
        <v/>
      </c>
      <c r="E1729" s="2">
        <f>C1729*D1729</f>
        <v/>
      </c>
      <c r="F1729" s="2">
        <f>C1729*INDEX(Products!$D$2:$D$201,MATCH(B1729,Products!$A$2:$A$201,0))</f>
        <v/>
      </c>
      <c r="G1729" s="2">
        <f>E1729-F1729</f>
        <v/>
      </c>
    </row>
    <row r="1730" ht="15" customHeight="1" s="1">
      <c r="A1730" s="2" t="n">
        <v>51728</v>
      </c>
      <c r="B1730" s="2" t="inlineStr">
        <is>
          <t>SKU-0058</t>
        </is>
      </c>
      <c r="C1730" s="2" t="n">
        <v>8</v>
      </c>
      <c r="D1730" s="2">
        <f>VLOOKUP(B1730,Products!$A$2:$D$201,3,FALSE())</f>
        <v/>
      </c>
      <c r="E1730" s="2">
        <f>C1730*D1730</f>
        <v/>
      </c>
      <c r="F1730" s="2">
        <f>C1730*INDEX(Products!$D$2:$D$201,MATCH(B1730,Products!$A$2:$A$201,0))</f>
        <v/>
      </c>
      <c r="G1730" s="2">
        <f>E1730-F1730</f>
        <v/>
      </c>
    </row>
    <row r="1731" ht="15" customHeight="1" s="1">
      <c r="A1731" s="2" t="n">
        <v>51729</v>
      </c>
      <c r="B1731" s="2" t="inlineStr">
        <is>
          <t>SKU-0119</t>
        </is>
      </c>
      <c r="C1731" s="2" t="n">
        <v>7</v>
      </c>
      <c r="D1731" s="2">
        <f>VLOOKUP(B1731,Products!$A$2:$D$201,3,FALSE())</f>
        <v/>
      </c>
      <c r="E1731" s="2">
        <f>C1731*D1731</f>
        <v/>
      </c>
      <c r="F1731" s="2">
        <f>C1731*INDEX(Products!$D$2:$D$201,MATCH(B1731,Products!$A$2:$A$201,0))</f>
        <v/>
      </c>
      <c r="G1731" s="2">
        <f>E1731-F1731</f>
        <v/>
      </c>
    </row>
    <row r="1732" ht="15" customHeight="1" s="1">
      <c r="A1732" s="2" t="n">
        <v>51730</v>
      </c>
      <c r="B1732" s="2" t="inlineStr">
        <is>
          <t>SKU-0196</t>
        </is>
      </c>
      <c r="C1732" s="2" t="n">
        <v>16</v>
      </c>
      <c r="D1732" s="2">
        <f>VLOOKUP(B1732,Products!$A$2:$D$201,3,FALSE())</f>
        <v/>
      </c>
      <c r="E1732" s="2">
        <f>C1732*D1732</f>
        <v/>
      </c>
      <c r="F1732" s="2">
        <f>C1732*INDEX(Products!$D$2:$D$201,MATCH(B1732,Products!$A$2:$A$201,0))</f>
        <v/>
      </c>
      <c r="G1732" s="2">
        <f>E1732-F1732</f>
        <v/>
      </c>
    </row>
    <row r="1733" ht="15" customHeight="1" s="1">
      <c r="A1733" s="2" t="n">
        <v>51731</v>
      </c>
      <c r="B1733" s="2" t="inlineStr">
        <is>
          <t>SKU-0079</t>
        </is>
      </c>
      <c r="C1733" s="2" t="n">
        <v>1</v>
      </c>
      <c r="D1733" s="2">
        <f>VLOOKUP(B1733,Products!$A$2:$D$201,3,FALSE())</f>
        <v/>
      </c>
      <c r="E1733" s="2">
        <f>C1733*D1733</f>
        <v/>
      </c>
      <c r="F1733" s="2">
        <f>C1733*INDEX(Products!$D$2:$D$201,MATCH(B1733,Products!$A$2:$A$201,0))</f>
        <v/>
      </c>
      <c r="G1733" s="2">
        <f>E1733-F1733</f>
        <v/>
      </c>
    </row>
    <row r="1734" ht="15" customHeight="1" s="1">
      <c r="A1734" s="2" t="n">
        <v>51732</v>
      </c>
      <c r="B1734" s="2" t="inlineStr">
        <is>
          <t>SKU-0188</t>
        </is>
      </c>
      <c r="C1734" s="2" t="n">
        <v>20</v>
      </c>
      <c r="D1734" s="2">
        <f>VLOOKUP(B1734,Products!$A$2:$D$201,3,FALSE())</f>
        <v/>
      </c>
      <c r="E1734" s="2">
        <f>C1734*D1734</f>
        <v/>
      </c>
      <c r="F1734" s="2">
        <f>C1734*INDEX(Products!$D$2:$D$201,MATCH(B1734,Products!$A$2:$A$201,0))</f>
        <v/>
      </c>
      <c r="G1734" s="2">
        <f>E1734-F1734</f>
        <v/>
      </c>
    </row>
    <row r="1735" ht="15" customHeight="1" s="1">
      <c r="A1735" s="2" t="n">
        <v>51733</v>
      </c>
      <c r="B1735" s="2" t="inlineStr">
        <is>
          <t>SKU-0012</t>
        </is>
      </c>
      <c r="C1735" s="2" t="n">
        <v>19</v>
      </c>
      <c r="D1735" s="2">
        <f>VLOOKUP(B1735,Products!$A$2:$D$201,3,FALSE())</f>
        <v/>
      </c>
      <c r="E1735" s="2">
        <f>C1735*D1735</f>
        <v/>
      </c>
      <c r="F1735" s="2">
        <f>C1735*INDEX(Products!$D$2:$D$201,MATCH(B1735,Products!$A$2:$A$201,0))</f>
        <v/>
      </c>
      <c r="G1735" s="2">
        <f>E1735-F1735</f>
        <v/>
      </c>
    </row>
    <row r="1736" ht="15" customHeight="1" s="1">
      <c r="A1736" s="2" t="n">
        <v>51734</v>
      </c>
      <c r="B1736" s="2" t="inlineStr">
        <is>
          <t>SKU-0010</t>
        </is>
      </c>
      <c r="C1736" s="2" t="n">
        <v>15</v>
      </c>
      <c r="D1736" s="2">
        <f>VLOOKUP(B1736,Products!$A$2:$D$201,3,FALSE())</f>
        <v/>
      </c>
      <c r="E1736" s="2">
        <f>C1736*D1736</f>
        <v/>
      </c>
      <c r="F1736" s="2">
        <f>C1736*INDEX(Products!$D$2:$D$201,MATCH(B1736,Products!$A$2:$A$201,0))</f>
        <v/>
      </c>
      <c r="G1736" s="2">
        <f>E1736-F1736</f>
        <v/>
      </c>
    </row>
    <row r="1737" ht="15" customHeight="1" s="1">
      <c r="A1737" s="2" t="n">
        <v>51735</v>
      </c>
      <c r="B1737" s="2" t="inlineStr">
        <is>
          <t>SKU-0176</t>
        </is>
      </c>
      <c r="C1737" s="2" t="n">
        <v>19</v>
      </c>
      <c r="D1737" s="2">
        <f>VLOOKUP(B1737,Products!$A$2:$D$201,3,FALSE())</f>
        <v/>
      </c>
      <c r="E1737" s="2">
        <f>C1737*D1737</f>
        <v/>
      </c>
      <c r="F1737" s="2">
        <f>C1737*INDEX(Products!$D$2:$D$201,MATCH(B1737,Products!$A$2:$A$201,0))</f>
        <v/>
      </c>
      <c r="G1737" s="2">
        <f>E1737-F1737</f>
        <v/>
      </c>
    </row>
    <row r="1738" ht="15" customHeight="1" s="1">
      <c r="A1738" s="2" t="n">
        <v>51736</v>
      </c>
      <c r="B1738" s="2" t="inlineStr">
        <is>
          <t>SKU-0027</t>
        </is>
      </c>
      <c r="C1738" s="2" t="n">
        <v>20</v>
      </c>
      <c r="D1738" s="2">
        <f>VLOOKUP(B1738,Products!$A$2:$D$201,3,FALSE())</f>
        <v/>
      </c>
      <c r="E1738" s="2">
        <f>C1738*D1738</f>
        <v/>
      </c>
      <c r="F1738" s="2">
        <f>C1738*INDEX(Products!$D$2:$D$201,MATCH(B1738,Products!$A$2:$A$201,0))</f>
        <v/>
      </c>
      <c r="G1738" s="2">
        <f>E1738-F1738</f>
        <v/>
      </c>
    </row>
    <row r="1739" ht="15" customHeight="1" s="1">
      <c r="A1739" s="2" t="n">
        <v>51737</v>
      </c>
      <c r="B1739" s="2" t="inlineStr">
        <is>
          <t>SKU-0073</t>
        </is>
      </c>
      <c r="C1739" s="2" t="n">
        <v>3</v>
      </c>
      <c r="D1739" s="2">
        <f>VLOOKUP(B1739,Products!$A$2:$D$201,3,FALSE())</f>
        <v/>
      </c>
      <c r="E1739" s="2">
        <f>C1739*D1739</f>
        <v/>
      </c>
      <c r="F1739" s="2">
        <f>C1739*INDEX(Products!$D$2:$D$201,MATCH(B1739,Products!$A$2:$A$201,0))</f>
        <v/>
      </c>
      <c r="G1739" s="2">
        <f>E1739-F1739</f>
        <v/>
      </c>
    </row>
    <row r="1740" ht="15" customHeight="1" s="1">
      <c r="A1740" s="2" t="n">
        <v>51738</v>
      </c>
      <c r="B1740" s="2" t="inlineStr">
        <is>
          <t>SKU-0119</t>
        </is>
      </c>
      <c r="C1740" s="2" t="n">
        <v>13</v>
      </c>
      <c r="D1740" s="2">
        <f>VLOOKUP(B1740,Products!$A$2:$D$201,3,FALSE())</f>
        <v/>
      </c>
      <c r="E1740" s="2">
        <f>C1740*D1740</f>
        <v/>
      </c>
      <c r="F1740" s="2">
        <f>C1740*INDEX(Products!$D$2:$D$201,MATCH(B1740,Products!$A$2:$A$201,0))</f>
        <v/>
      </c>
      <c r="G1740" s="2">
        <f>E1740-F1740</f>
        <v/>
      </c>
    </row>
    <row r="1741" ht="15" customHeight="1" s="1">
      <c r="A1741" s="2" t="n">
        <v>51739</v>
      </c>
      <c r="B1741" s="2" t="inlineStr">
        <is>
          <t>SKU-0162</t>
        </is>
      </c>
      <c r="C1741" s="2" t="n">
        <v>3</v>
      </c>
      <c r="D1741" s="2">
        <f>VLOOKUP(B1741,Products!$A$2:$D$201,3,FALSE())</f>
        <v/>
      </c>
      <c r="E1741" s="2">
        <f>C1741*D1741</f>
        <v/>
      </c>
      <c r="F1741" s="2">
        <f>C1741*INDEX(Products!$D$2:$D$201,MATCH(B1741,Products!$A$2:$A$201,0))</f>
        <v/>
      </c>
      <c r="G1741" s="2">
        <f>E1741-F1741</f>
        <v/>
      </c>
    </row>
    <row r="1742" ht="15" customHeight="1" s="1">
      <c r="A1742" s="2" t="n">
        <v>51740</v>
      </c>
      <c r="B1742" s="2" t="inlineStr">
        <is>
          <t>SKU-0016</t>
        </is>
      </c>
      <c r="C1742" s="2" t="n">
        <v>3</v>
      </c>
      <c r="D1742" s="2">
        <f>VLOOKUP(B1742,Products!$A$2:$D$201,3,FALSE())</f>
        <v/>
      </c>
      <c r="E1742" s="2">
        <f>C1742*D1742</f>
        <v/>
      </c>
      <c r="F1742" s="2">
        <f>C1742*INDEX(Products!$D$2:$D$201,MATCH(B1742,Products!$A$2:$A$201,0))</f>
        <v/>
      </c>
      <c r="G1742" s="2">
        <f>E1742-F1742</f>
        <v/>
      </c>
    </row>
    <row r="1743" ht="15" customHeight="1" s="1">
      <c r="A1743" s="2" t="n">
        <v>51741</v>
      </c>
      <c r="B1743" s="2" t="inlineStr">
        <is>
          <t>SKU-0082</t>
        </is>
      </c>
      <c r="C1743" s="2" t="n">
        <v>10</v>
      </c>
      <c r="D1743" s="2">
        <f>VLOOKUP(B1743,Products!$A$2:$D$201,3,FALSE())</f>
        <v/>
      </c>
      <c r="E1743" s="2">
        <f>C1743*D1743</f>
        <v/>
      </c>
      <c r="F1743" s="2">
        <f>C1743*INDEX(Products!$D$2:$D$201,MATCH(B1743,Products!$A$2:$A$201,0))</f>
        <v/>
      </c>
      <c r="G1743" s="2">
        <f>E1743-F1743</f>
        <v/>
      </c>
    </row>
    <row r="1744" ht="15" customHeight="1" s="1">
      <c r="A1744" s="2" t="n">
        <v>51742</v>
      </c>
      <c r="B1744" s="2" t="inlineStr">
        <is>
          <t>SKU-0187</t>
        </is>
      </c>
      <c r="C1744" s="2" t="n">
        <v>10</v>
      </c>
      <c r="D1744" s="2">
        <f>VLOOKUP(B1744,Products!$A$2:$D$201,3,FALSE())</f>
        <v/>
      </c>
      <c r="E1744" s="2">
        <f>C1744*D1744</f>
        <v/>
      </c>
      <c r="F1744" s="2">
        <f>C1744*INDEX(Products!$D$2:$D$201,MATCH(B1744,Products!$A$2:$A$201,0))</f>
        <v/>
      </c>
      <c r="G1744" s="2">
        <f>E1744-F1744</f>
        <v/>
      </c>
    </row>
    <row r="1745" ht="15" customHeight="1" s="1">
      <c r="A1745" s="2" t="n">
        <v>51743</v>
      </c>
      <c r="B1745" s="2" t="inlineStr">
        <is>
          <t>SKU-0007</t>
        </is>
      </c>
      <c r="C1745" s="2" t="n">
        <v>3</v>
      </c>
      <c r="D1745" s="2">
        <f>VLOOKUP(B1745,Products!$A$2:$D$201,3,FALSE())</f>
        <v/>
      </c>
      <c r="E1745" s="2">
        <f>C1745*D1745</f>
        <v/>
      </c>
      <c r="F1745" s="2">
        <f>C1745*INDEX(Products!$D$2:$D$201,MATCH(B1745,Products!$A$2:$A$201,0))</f>
        <v/>
      </c>
      <c r="G1745" s="2">
        <f>E1745-F1745</f>
        <v/>
      </c>
    </row>
    <row r="1746" ht="15" customHeight="1" s="1">
      <c r="A1746" s="2" t="n">
        <v>51744</v>
      </c>
      <c r="B1746" s="2" t="inlineStr">
        <is>
          <t>SKU-0114</t>
        </is>
      </c>
      <c r="C1746" s="2" t="n">
        <v>4</v>
      </c>
      <c r="D1746" s="2">
        <f>VLOOKUP(B1746,Products!$A$2:$D$201,3,FALSE())</f>
        <v/>
      </c>
      <c r="E1746" s="2">
        <f>C1746*D1746</f>
        <v/>
      </c>
      <c r="F1746" s="2">
        <f>C1746*INDEX(Products!$D$2:$D$201,MATCH(B1746,Products!$A$2:$A$201,0))</f>
        <v/>
      </c>
      <c r="G1746" s="2">
        <f>E1746-F1746</f>
        <v/>
      </c>
    </row>
    <row r="1747" ht="15" customHeight="1" s="1">
      <c r="A1747" s="2" t="n">
        <v>51745</v>
      </c>
      <c r="B1747" s="2" t="inlineStr">
        <is>
          <t>SKU-0114</t>
        </is>
      </c>
      <c r="C1747" s="2" t="n">
        <v>19</v>
      </c>
      <c r="D1747" s="2">
        <f>VLOOKUP(B1747,Products!$A$2:$D$201,3,FALSE())</f>
        <v/>
      </c>
      <c r="E1747" s="2">
        <f>C1747*D1747</f>
        <v/>
      </c>
      <c r="F1747" s="2">
        <f>C1747*INDEX(Products!$D$2:$D$201,MATCH(B1747,Products!$A$2:$A$201,0))</f>
        <v/>
      </c>
      <c r="G1747" s="2">
        <f>E1747-F1747</f>
        <v/>
      </c>
    </row>
    <row r="1748" ht="15" customHeight="1" s="1">
      <c r="A1748" s="2" t="n">
        <v>51746</v>
      </c>
      <c r="B1748" s="2" t="inlineStr">
        <is>
          <t>SKU-0056</t>
        </is>
      </c>
      <c r="C1748" s="2" t="n">
        <v>7</v>
      </c>
      <c r="D1748" s="2">
        <f>VLOOKUP(B1748,Products!$A$2:$D$201,3,FALSE())</f>
        <v/>
      </c>
      <c r="E1748" s="2">
        <f>C1748*D1748</f>
        <v/>
      </c>
      <c r="F1748" s="2">
        <f>C1748*INDEX(Products!$D$2:$D$201,MATCH(B1748,Products!$A$2:$A$201,0))</f>
        <v/>
      </c>
      <c r="G1748" s="2">
        <f>E1748-F1748</f>
        <v/>
      </c>
    </row>
    <row r="1749" ht="15" customHeight="1" s="1">
      <c r="A1749" s="2" t="n">
        <v>51747</v>
      </c>
      <c r="B1749" s="2" t="inlineStr">
        <is>
          <t>SKU-0055</t>
        </is>
      </c>
      <c r="C1749" s="2" t="n">
        <v>4</v>
      </c>
      <c r="D1749" s="2">
        <f>VLOOKUP(B1749,Products!$A$2:$D$201,3,FALSE())</f>
        <v/>
      </c>
      <c r="E1749" s="2">
        <f>C1749*D1749</f>
        <v/>
      </c>
      <c r="F1749" s="2">
        <f>C1749*INDEX(Products!$D$2:$D$201,MATCH(B1749,Products!$A$2:$A$201,0))</f>
        <v/>
      </c>
      <c r="G1749" s="2">
        <f>E1749-F1749</f>
        <v/>
      </c>
    </row>
    <row r="1750" ht="15" customHeight="1" s="1">
      <c r="A1750" s="2" t="n">
        <v>51748</v>
      </c>
      <c r="B1750" s="2" t="inlineStr">
        <is>
          <t>SKU-0152</t>
        </is>
      </c>
      <c r="C1750" s="2" t="n">
        <v>17</v>
      </c>
      <c r="D1750" s="2">
        <f>VLOOKUP(B1750,Products!$A$2:$D$201,3,FALSE())</f>
        <v/>
      </c>
      <c r="E1750" s="2">
        <f>C1750*D1750</f>
        <v/>
      </c>
      <c r="F1750" s="2">
        <f>C1750*INDEX(Products!$D$2:$D$201,MATCH(B1750,Products!$A$2:$A$201,0))</f>
        <v/>
      </c>
      <c r="G1750" s="2">
        <f>E1750-F1750</f>
        <v/>
      </c>
    </row>
    <row r="1751" ht="15" customHeight="1" s="1">
      <c r="A1751" s="2" t="n">
        <v>51749</v>
      </c>
      <c r="B1751" s="2" t="inlineStr">
        <is>
          <t>SKU-0088</t>
        </is>
      </c>
      <c r="C1751" s="2" t="n">
        <v>13</v>
      </c>
      <c r="D1751" s="2">
        <f>VLOOKUP(B1751,Products!$A$2:$D$201,3,FALSE())</f>
        <v/>
      </c>
      <c r="E1751" s="2">
        <f>C1751*D1751</f>
        <v/>
      </c>
      <c r="F1751" s="2">
        <f>C1751*INDEX(Products!$D$2:$D$201,MATCH(B1751,Products!$A$2:$A$201,0))</f>
        <v/>
      </c>
      <c r="G1751" s="2">
        <f>E1751-F1751</f>
        <v/>
      </c>
    </row>
    <row r="1752" ht="15" customHeight="1" s="1">
      <c r="A1752" s="2" t="n">
        <v>51750</v>
      </c>
      <c r="B1752" s="2" t="inlineStr">
        <is>
          <t>SKU-0141</t>
        </is>
      </c>
      <c r="C1752" s="2" t="n">
        <v>11</v>
      </c>
      <c r="D1752" s="2">
        <f>VLOOKUP(B1752,Products!$A$2:$D$201,3,FALSE())</f>
        <v/>
      </c>
      <c r="E1752" s="2">
        <f>C1752*D1752</f>
        <v/>
      </c>
      <c r="F1752" s="2">
        <f>C1752*INDEX(Products!$D$2:$D$201,MATCH(B1752,Products!$A$2:$A$201,0))</f>
        <v/>
      </c>
      <c r="G1752" s="2">
        <f>E1752-F1752</f>
        <v/>
      </c>
    </row>
    <row r="1753" ht="15" customHeight="1" s="1">
      <c r="A1753" s="2" t="n">
        <v>51751</v>
      </c>
      <c r="B1753" s="2" t="inlineStr">
        <is>
          <t>SKU-0045</t>
        </is>
      </c>
      <c r="C1753" s="2" t="n">
        <v>17</v>
      </c>
      <c r="D1753" s="2">
        <f>VLOOKUP(B1753,Products!$A$2:$D$201,3,FALSE())</f>
        <v/>
      </c>
      <c r="E1753" s="2">
        <f>C1753*D1753</f>
        <v/>
      </c>
      <c r="F1753" s="2">
        <f>C1753*INDEX(Products!$D$2:$D$201,MATCH(B1753,Products!$A$2:$A$201,0))</f>
        <v/>
      </c>
      <c r="G1753" s="2">
        <f>E1753-F1753</f>
        <v/>
      </c>
    </row>
    <row r="1754" ht="15" customHeight="1" s="1">
      <c r="A1754" s="2" t="n">
        <v>51752</v>
      </c>
      <c r="B1754" s="2" t="inlineStr">
        <is>
          <t>SKU-0022</t>
        </is>
      </c>
      <c r="C1754" s="2" t="n">
        <v>10</v>
      </c>
      <c r="D1754" s="2">
        <f>VLOOKUP(B1754,Products!$A$2:$D$201,3,FALSE())</f>
        <v/>
      </c>
      <c r="E1754" s="2">
        <f>C1754*D1754</f>
        <v/>
      </c>
      <c r="F1754" s="2">
        <f>C1754*INDEX(Products!$D$2:$D$201,MATCH(B1754,Products!$A$2:$A$201,0))</f>
        <v/>
      </c>
      <c r="G1754" s="2">
        <f>E1754-F1754</f>
        <v/>
      </c>
    </row>
    <row r="1755" ht="15" customHeight="1" s="1">
      <c r="A1755" s="2" t="n">
        <v>51753</v>
      </c>
      <c r="B1755" s="2" t="inlineStr">
        <is>
          <t>SKU-0129</t>
        </is>
      </c>
      <c r="C1755" s="2" t="n">
        <v>9</v>
      </c>
      <c r="D1755" s="2">
        <f>VLOOKUP(B1755,Products!$A$2:$D$201,3,FALSE())</f>
        <v/>
      </c>
      <c r="E1755" s="2">
        <f>C1755*D1755</f>
        <v/>
      </c>
      <c r="F1755" s="2">
        <f>C1755*INDEX(Products!$D$2:$D$201,MATCH(B1755,Products!$A$2:$A$201,0))</f>
        <v/>
      </c>
      <c r="G1755" s="2">
        <f>E1755-F1755</f>
        <v/>
      </c>
    </row>
    <row r="1756" ht="15" customHeight="1" s="1">
      <c r="A1756" s="2" t="n">
        <v>51754</v>
      </c>
      <c r="B1756" s="2" t="inlineStr">
        <is>
          <t>SKU-0033</t>
        </is>
      </c>
      <c r="C1756" s="2" t="n">
        <v>20</v>
      </c>
      <c r="D1756" s="2">
        <f>VLOOKUP(B1756,Products!$A$2:$D$201,3,FALSE())</f>
        <v/>
      </c>
      <c r="E1756" s="2">
        <f>C1756*D1756</f>
        <v/>
      </c>
      <c r="F1756" s="2">
        <f>C1756*INDEX(Products!$D$2:$D$201,MATCH(B1756,Products!$A$2:$A$201,0))</f>
        <v/>
      </c>
      <c r="G1756" s="2">
        <f>E1756-F1756</f>
        <v/>
      </c>
    </row>
    <row r="1757" ht="15" customHeight="1" s="1">
      <c r="A1757" s="2" t="n">
        <v>51755</v>
      </c>
      <c r="B1757" s="2" t="inlineStr">
        <is>
          <t>SKU-0173</t>
        </is>
      </c>
      <c r="C1757" s="2" t="n">
        <v>5</v>
      </c>
      <c r="D1757" s="2">
        <f>VLOOKUP(B1757,Products!$A$2:$D$201,3,FALSE())</f>
        <v/>
      </c>
      <c r="E1757" s="2">
        <f>C1757*D1757</f>
        <v/>
      </c>
      <c r="F1757" s="2">
        <f>C1757*INDEX(Products!$D$2:$D$201,MATCH(B1757,Products!$A$2:$A$201,0))</f>
        <v/>
      </c>
      <c r="G1757" s="2">
        <f>E1757-F1757</f>
        <v/>
      </c>
    </row>
    <row r="1758" ht="15" customHeight="1" s="1">
      <c r="A1758" s="2" t="n">
        <v>51756</v>
      </c>
      <c r="B1758" s="2" t="inlineStr">
        <is>
          <t>SKU-0166</t>
        </is>
      </c>
      <c r="C1758" s="2" t="n">
        <v>11</v>
      </c>
      <c r="D1758" s="2">
        <f>VLOOKUP(B1758,Products!$A$2:$D$201,3,FALSE())</f>
        <v/>
      </c>
      <c r="E1758" s="2">
        <f>C1758*D1758</f>
        <v/>
      </c>
      <c r="F1758" s="2">
        <f>C1758*INDEX(Products!$D$2:$D$201,MATCH(B1758,Products!$A$2:$A$201,0))</f>
        <v/>
      </c>
      <c r="G1758" s="2">
        <f>E1758-F1758</f>
        <v/>
      </c>
    </row>
    <row r="1759" ht="15" customHeight="1" s="1">
      <c r="A1759" s="2" t="n">
        <v>51757</v>
      </c>
      <c r="B1759" s="2" t="inlineStr">
        <is>
          <t>SKU-0002</t>
        </is>
      </c>
      <c r="C1759" s="2" t="n">
        <v>19</v>
      </c>
      <c r="D1759" s="2">
        <f>VLOOKUP(B1759,Products!$A$2:$D$201,3,FALSE())</f>
        <v/>
      </c>
      <c r="E1759" s="2">
        <f>C1759*D1759</f>
        <v/>
      </c>
      <c r="F1759" s="2">
        <f>C1759*INDEX(Products!$D$2:$D$201,MATCH(B1759,Products!$A$2:$A$201,0))</f>
        <v/>
      </c>
      <c r="G1759" s="2">
        <f>E1759-F1759</f>
        <v/>
      </c>
    </row>
    <row r="1760" ht="15" customHeight="1" s="1">
      <c r="A1760" s="2" t="n">
        <v>51758</v>
      </c>
      <c r="B1760" s="2" t="inlineStr">
        <is>
          <t>SKU-0198</t>
        </is>
      </c>
      <c r="C1760" s="2" t="n">
        <v>17</v>
      </c>
      <c r="D1760" s="2">
        <f>VLOOKUP(B1760,Products!$A$2:$D$201,3,FALSE())</f>
        <v/>
      </c>
      <c r="E1760" s="2">
        <f>C1760*D1760</f>
        <v/>
      </c>
      <c r="F1760" s="2">
        <f>C1760*INDEX(Products!$D$2:$D$201,MATCH(B1760,Products!$A$2:$A$201,0))</f>
        <v/>
      </c>
      <c r="G1760" s="2">
        <f>E1760-F1760</f>
        <v/>
      </c>
    </row>
    <row r="1761" ht="15" customHeight="1" s="1">
      <c r="A1761" s="2" t="n">
        <v>51759</v>
      </c>
      <c r="B1761" s="2" t="inlineStr">
        <is>
          <t>SKU-0192</t>
        </is>
      </c>
      <c r="C1761" s="2" t="n">
        <v>10</v>
      </c>
      <c r="D1761" s="2">
        <f>VLOOKUP(B1761,Products!$A$2:$D$201,3,FALSE())</f>
        <v/>
      </c>
      <c r="E1761" s="2">
        <f>C1761*D1761</f>
        <v/>
      </c>
      <c r="F1761" s="2">
        <f>C1761*INDEX(Products!$D$2:$D$201,MATCH(B1761,Products!$A$2:$A$201,0))</f>
        <v/>
      </c>
      <c r="G1761" s="2">
        <f>E1761-F1761</f>
        <v/>
      </c>
    </row>
    <row r="1762" ht="15" customHeight="1" s="1">
      <c r="A1762" s="2" t="n">
        <v>51760</v>
      </c>
      <c r="B1762" s="2" t="inlineStr">
        <is>
          <t>SKU-0148</t>
        </is>
      </c>
      <c r="C1762" s="2" t="n">
        <v>11</v>
      </c>
      <c r="D1762" s="2">
        <f>VLOOKUP(B1762,Products!$A$2:$D$201,3,FALSE())</f>
        <v/>
      </c>
      <c r="E1762" s="2">
        <f>C1762*D1762</f>
        <v/>
      </c>
      <c r="F1762" s="2">
        <f>C1762*INDEX(Products!$D$2:$D$201,MATCH(B1762,Products!$A$2:$A$201,0))</f>
        <v/>
      </c>
      <c r="G1762" s="2">
        <f>E1762-F1762</f>
        <v/>
      </c>
    </row>
    <row r="1763" ht="15" customHeight="1" s="1">
      <c r="A1763" s="2" t="n">
        <v>51761</v>
      </c>
      <c r="B1763" s="2" t="inlineStr">
        <is>
          <t>SKU-0144</t>
        </is>
      </c>
      <c r="C1763" s="2" t="n">
        <v>12</v>
      </c>
      <c r="D1763" s="2">
        <f>VLOOKUP(B1763,Products!$A$2:$D$201,3,FALSE())</f>
        <v/>
      </c>
      <c r="E1763" s="2">
        <f>C1763*D1763</f>
        <v/>
      </c>
      <c r="F1763" s="2">
        <f>C1763*INDEX(Products!$D$2:$D$201,MATCH(B1763,Products!$A$2:$A$201,0))</f>
        <v/>
      </c>
      <c r="G1763" s="2">
        <f>E1763-F1763</f>
        <v/>
      </c>
    </row>
    <row r="1764" ht="15" customHeight="1" s="1">
      <c r="A1764" s="2" t="n">
        <v>51762</v>
      </c>
      <c r="B1764" s="2" t="inlineStr">
        <is>
          <t>SKU-0084</t>
        </is>
      </c>
      <c r="C1764" s="2" t="n">
        <v>11</v>
      </c>
      <c r="D1764" s="2">
        <f>VLOOKUP(B1764,Products!$A$2:$D$201,3,FALSE())</f>
        <v/>
      </c>
      <c r="E1764" s="2">
        <f>C1764*D1764</f>
        <v/>
      </c>
      <c r="F1764" s="2">
        <f>C1764*INDEX(Products!$D$2:$D$201,MATCH(B1764,Products!$A$2:$A$201,0))</f>
        <v/>
      </c>
      <c r="G1764" s="2">
        <f>E1764-F1764</f>
        <v/>
      </c>
    </row>
    <row r="1765" ht="15" customHeight="1" s="1">
      <c r="A1765" s="2" t="n">
        <v>51763</v>
      </c>
      <c r="B1765" s="2" t="inlineStr">
        <is>
          <t>SKU-0122</t>
        </is>
      </c>
      <c r="C1765" s="2" t="n">
        <v>17</v>
      </c>
      <c r="D1765" s="2">
        <f>VLOOKUP(B1765,Products!$A$2:$D$201,3,FALSE())</f>
        <v/>
      </c>
      <c r="E1765" s="2">
        <f>C1765*D1765</f>
        <v/>
      </c>
      <c r="F1765" s="2">
        <f>C1765*INDEX(Products!$D$2:$D$201,MATCH(B1765,Products!$A$2:$A$201,0))</f>
        <v/>
      </c>
      <c r="G1765" s="2">
        <f>E1765-F1765</f>
        <v/>
      </c>
    </row>
    <row r="1766" ht="15" customHeight="1" s="1">
      <c r="A1766" s="2" t="n">
        <v>51764</v>
      </c>
      <c r="B1766" s="2" t="inlineStr">
        <is>
          <t>SKU-0052</t>
        </is>
      </c>
      <c r="C1766" s="2" t="n">
        <v>14</v>
      </c>
      <c r="D1766" s="2">
        <f>VLOOKUP(B1766,Products!$A$2:$D$201,3,FALSE())</f>
        <v/>
      </c>
      <c r="E1766" s="2">
        <f>C1766*D1766</f>
        <v/>
      </c>
      <c r="F1766" s="2">
        <f>C1766*INDEX(Products!$D$2:$D$201,MATCH(B1766,Products!$A$2:$A$201,0))</f>
        <v/>
      </c>
      <c r="G1766" s="2">
        <f>E1766-F1766</f>
        <v/>
      </c>
    </row>
    <row r="1767" ht="15" customHeight="1" s="1">
      <c r="A1767" s="2" t="n">
        <v>51765</v>
      </c>
      <c r="B1767" s="2" t="inlineStr">
        <is>
          <t>SKU-0080</t>
        </is>
      </c>
      <c r="C1767" s="2" t="n">
        <v>20</v>
      </c>
      <c r="D1767" s="2">
        <f>VLOOKUP(B1767,Products!$A$2:$D$201,3,FALSE())</f>
        <v/>
      </c>
      <c r="E1767" s="2">
        <f>C1767*D1767</f>
        <v/>
      </c>
      <c r="F1767" s="2">
        <f>C1767*INDEX(Products!$D$2:$D$201,MATCH(B1767,Products!$A$2:$A$201,0))</f>
        <v/>
      </c>
      <c r="G1767" s="2">
        <f>E1767-F1767</f>
        <v/>
      </c>
    </row>
    <row r="1768" ht="15" customHeight="1" s="1">
      <c r="A1768" s="2" t="n">
        <v>51766</v>
      </c>
      <c r="B1768" s="2" t="inlineStr">
        <is>
          <t>SKU-0133</t>
        </is>
      </c>
      <c r="C1768" s="2" t="n">
        <v>1</v>
      </c>
      <c r="D1768" s="2">
        <f>VLOOKUP(B1768,Products!$A$2:$D$201,3,FALSE())</f>
        <v/>
      </c>
      <c r="E1768" s="2">
        <f>C1768*D1768</f>
        <v/>
      </c>
      <c r="F1768" s="2">
        <f>C1768*INDEX(Products!$D$2:$D$201,MATCH(B1768,Products!$A$2:$A$201,0))</f>
        <v/>
      </c>
      <c r="G1768" s="2">
        <f>E1768-F1768</f>
        <v/>
      </c>
    </row>
    <row r="1769" ht="15" customHeight="1" s="1">
      <c r="A1769" s="2" t="n">
        <v>51767</v>
      </c>
      <c r="B1769" s="2" t="inlineStr">
        <is>
          <t>SKU-0101</t>
        </is>
      </c>
      <c r="C1769" s="2" t="n">
        <v>4</v>
      </c>
      <c r="D1769" s="2">
        <f>VLOOKUP(B1769,Products!$A$2:$D$201,3,FALSE())</f>
        <v/>
      </c>
      <c r="E1769" s="2">
        <f>C1769*D1769</f>
        <v/>
      </c>
      <c r="F1769" s="2">
        <f>C1769*INDEX(Products!$D$2:$D$201,MATCH(B1769,Products!$A$2:$A$201,0))</f>
        <v/>
      </c>
      <c r="G1769" s="2">
        <f>E1769-F1769</f>
        <v/>
      </c>
    </row>
    <row r="1770" ht="15" customHeight="1" s="1">
      <c r="A1770" s="2" t="n">
        <v>51768</v>
      </c>
      <c r="B1770" s="2" t="inlineStr">
        <is>
          <t>SKU-0184</t>
        </is>
      </c>
      <c r="C1770" s="2" t="n">
        <v>3</v>
      </c>
      <c r="D1770" s="2">
        <f>VLOOKUP(B1770,Products!$A$2:$D$201,3,FALSE())</f>
        <v/>
      </c>
      <c r="E1770" s="2">
        <f>C1770*D1770</f>
        <v/>
      </c>
      <c r="F1770" s="2">
        <f>C1770*INDEX(Products!$D$2:$D$201,MATCH(B1770,Products!$A$2:$A$201,0))</f>
        <v/>
      </c>
      <c r="G1770" s="2">
        <f>E1770-F1770</f>
        <v/>
      </c>
    </row>
    <row r="1771" ht="15" customHeight="1" s="1">
      <c r="A1771" s="2" t="n">
        <v>51769</v>
      </c>
      <c r="B1771" s="2" t="inlineStr">
        <is>
          <t>SKU-0144</t>
        </is>
      </c>
      <c r="C1771" s="2" t="n">
        <v>18</v>
      </c>
      <c r="D1771" s="2">
        <f>VLOOKUP(B1771,Products!$A$2:$D$201,3,FALSE())</f>
        <v/>
      </c>
      <c r="E1771" s="2">
        <f>C1771*D1771</f>
        <v/>
      </c>
      <c r="F1771" s="2">
        <f>C1771*INDEX(Products!$D$2:$D$201,MATCH(B1771,Products!$A$2:$A$201,0))</f>
        <v/>
      </c>
      <c r="G1771" s="2">
        <f>E1771-F1771</f>
        <v/>
      </c>
    </row>
    <row r="1772" ht="15" customHeight="1" s="1">
      <c r="A1772" s="2" t="n">
        <v>51770</v>
      </c>
      <c r="B1772" s="2" t="inlineStr">
        <is>
          <t>SKU-0107</t>
        </is>
      </c>
      <c r="C1772" s="2" t="n">
        <v>1</v>
      </c>
      <c r="D1772" s="2">
        <f>VLOOKUP(B1772,Products!$A$2:$D$201,3,FALSE())</f>
        <v/>
      </c>
      <c r="E1772" s="2">
        <f>C1772*D1772</f>
        <v/>
      </c>
      <c r="F1772" s="2">
        <f>C1772*INDEX(Products!$D$2:$D$201,MATCH(B1772,Products!$A$2:$A$201,0))</f>
        <v/>
      </c>
      <c r="G1772" s="2">
        <f>E1772-F1772</f>
        <v/>
      </c>
    </row>
    <row r="1773" ht="15" customHeight="1" s="1">
      <c r="A1773" s="2" t="n">
        <v>51771</v>
      </c>
      <c r="B1773" s="2" t="inlineStr">
        <is>
          <t>SKU-0113</t>
        </is>
      </c>
      <c r="C1773" s="2" t="n">
        <v>1</v>
      </c>
      <c r="D1773" s="2">
        <f>VLOOKUP(B1773,Products!$A$2:$D$201,3,FALSE())</f>
        <v/>
      </c>
      <c r="E1773" s="2">
        <f>C1773*D1773</f>
        <v/>
      </c>
      <c r="F1773" s="2">
        <f>C1773*INDEX(Products!$D$2:$D$201,MATCH(B1773,Products!$A$2:$A$201,0))</f>
        <v/>
      </c>
      <c r="G1773" s="2">
        <f>E1773-F1773</f>
        <v/>
      </c>
    </row>
    <row r="1774" ht="15" customHeight="1" s="1">
      <c r="A1774" s="2" t="n">
        <v>51772</v>
      </c>
      <c r="B1774" s="2" t="inlineStr">
        <is>
          <t>SKU-0035</t>
        </is>
      </c>
      <c r="C1774" s="2" t="n">
        <v>4</v>
      </c>
      <c r="D1774" s="2">
        <f>VLOOKUP(B1774,Products!$A$2:$D$201,3,FALSE())</f>
        <v/>
      </c>
      <c r="E1774" s="2">
        <f>C1774*D1774</f>
        <v/>
      </c>
      <c r="F1774" s="2">
        <f>C1774*INDEX(Products!$D$2:$D$201,MATCH(B1774,Products!$A$2:$A$201,0))</f>
        <v/>
      </c>
      <c r="G1774" s="2">
        <f>E1774-F1774</f>
        <v/>
      </c>
    </row>
    <row r="1775" ht="15" customHeight="1" s="1">
      <c r="A1775" s="2" t="n">
        <v>51773</v>
      </c>
      <c r="B1775" s="2" t="inlineStr">
        <is>
          <t>SKU-0089</t>
        </is>
      </c>
      <c r="C1775" s="2" t="n">
        <v>13</v>
      </c>
      <c r="D1775" s="2">
        <f>VLOOKUP(B1775,Products!$A$2:$D$201,3,FALSE())</f>
        <v/>
      </c>
      <c r="E1775" s="2">
        <f>C1775*D1775</f>
        <v/>
      </c>
      <c r="F1775" s="2">
        <f>C1775*INDEX(Products!$D$2:$D$201,MATCH(B1775,Products!$A$2:$A$201,0))</f>
        <v/>
      </c>
      <c r="G1775" s="2">
        <f>E1775-F1775</f>
        <v/>
      </c>
    </row>
    <row r="1776" ht="15" customHeight="1" s="1">
      <c r="A1776" s="2" t="n">
        <v>51774</v>
      </c>
      <c r="B1776" s="2" t="inlineStr">
        <is>
          <t>SKU-0194</t>
        </is>
      </c>
      <c r="C1776" s="2" t="n">
        <v>6</v>
      </c>
      <c r="D1776" s="2">
        <f>VLOOKUP(B1776,Products!$A$2:$D$201,3,FALSE())</f>
        <v/>
      </c>
      <c r="E1776" s="2">
        <f>C1776*D1776</f>
        <v/>
      </c>
      <c r="F1776" s="2">
        <f>C1776*INDEX(Products!$D$2:$D$201,MATCH(B1776,Products!$A$2:$A$201,0))</f>
        <v/>
      </c>
      <c r="G1776" s="2">
        <f>E1776-F1776</f>
        <v/>
      </c>
    </row>
    <row r="1777" ht="15" customHeight="1" s="1">
      <c r="A1777" s="2" t="n">
        <v>51775</v>
      </c>
      <c r="B1777" s="2" t="inlineStr">
        <is>
          <t>SKU-0126</t>
        </is>
      </c>
      <c r="C1777" s="2" t="n">
        <v>1</v>
      </c>
      <c r="D1777" s="2">
        <f>VLOOKUP(B1777,Products!$A$2:$D$201,3,FALSE())</f>
        <v/>
      </c>
      <c r="E1777" s="2">
        <f>C1777*D1777</f>
        <v/>
      </c>
      <c r="F1777" s="2">
        <f>C1777*INDEX(Products!$D$2:$D$201,MATCH(B1777,Products!$A$2:$A$201,0))</f>
        <v/>
      </c>
      <c r="G1777" s="2">
        <f>E1777-F1777</f>
        <v/>
      </c>
    </row>
    <row r="1778" ht="15" customHeight="1" s="1">
      <c r="A1778" s="2" t="n">
        <v>51776</v>
      </c>
      <c r="B1778" s="2" t="inlineStr">
        <is>
          <t>SKU-0188</t>
        </is>
      </c>
      <c r="C1778" s="2" t="n">
        <v>2</v>
      </c>
      <c r="D1778" s="2">
        <f>VLOOKUP(B1778,Products!$A$2:$D$201,3,FALSE())</f>
        <v/>
      </c>
      <c r="E1778" s="2">
        <f>C1778*D1778</f>
        <v/>
      </c>
      <c r="F1778" s="2">
        <f>C1778*INDEX(Products!$D$2:$D$201,MATCH(B1778,Products!$A$2:$A$201,0))</f>
        <v/>
      </c>
      <c r="G1778" s="2">
        <f>E1778-F1778</f>
        <v/>
      </c>
    </row>
    <row r="1779" ht="15" customHeight="1" s="1">
      <c r="A1779" s="2" t="n">
        <v>51777</v>
      </c>
      <c r="B1779" s="2" t="inlineStr">
        <is>
          <t>SKU-0020</t>
        </is>
      </c>
      <c r="C1779" s="2" t="n">
        <v>18</v>
      </c>
      <c r="D1779" s="2">
        <f>VLOOKUP(B1779,Products!$A$2:$D$201,3,FALSE())</f>
        <v/>
      </c>
      <c r="E1779" s="2">
        <f>C1779*D1779</f>
        <v/>
      </c>
      <c r="F1779" s="2">
        <f>C1779*INDEX(Products!$D$2:$D$201,MATCH(B1779,Products!$A$2:$A$201,0))</f>
        <v/>
      </c>
      <c r="G1779" s="2">
        <f>E1779-F1779</f>
        <v/>
      </c>
    </row>
    <row r="1780" ht="15" customHeight="1" s="1">
      <c r="A1780" s="2" t="n">
        <v>51778</v>
      </c>
      <c r="B1780" s="2" t="inlineStr">
        <is>
          <t>SKU-0071</t>
        </is>
      </c>
      <c r="C1780" s="2" t="n">
        <v>4</v>
      </c>
      <c r="D1780" s="2">
        <f>VLOOKUP(B1780,Products!$A$2:$D$201,3,FALSE())</f>
        <v/>
      </c>
      <c r="E1780" s="2">
        <f>C1780*D1780</f>
        <v/>
      </c>
      <c r="F1780" s="2">
        <f>C1780*INDEX(Products!$D$2:$D$201,MATCH(B1780,Products!$A$2:$A$201,0))</f>
        <v/>
      </c>
      <c r="G1780" s="2">
        <f>E1780-F1780</f>
        <v/>
      </c>
    </row>
    <row r="1781" ht="15" customHeight="1" s="1">
      <c r="A1781" s="2" t="n">
        <v>51779</v>
      </c>
      <c r="B1781" s="2" t="inlineStr">
        <is>
          <t>SKU-0085</t>
        </is>
      </c>
      <c r="C1781" s="2" t="n">
        <v>13</v>
      </c>
      <c r="D1781" s="2">
        <f>VLOOKUP(B1781,Products!$A$2:$D$201,3,FALSE())</f>
        <v/>
      </c>
      <c r="E1781" s="2">
        <f>C1781*D1781</f>
        <v/>
      </c>
      <c r="F1781" s="2">
        <f>C1781*INDEX(Products!$D$2:$D$201,MATCH(B1781,Products!$A$2:$A$201,0))</f>
        <v/>
      </c>
      <c r="G1781" s="2">
        <f>E1781-F1781</f>
        <v/>
      </c>
    </row>
    <row r="1782" ht="15" customHeight="1" s="1">
      <c r="A1782" s="2" t="n">
        <v>51780</v>
      </c>
      <c r="B1782" s="2" t="inlineStr">
        <is>
          <t>SKU-0145</t>
        </is>
      </c>
      <c r="C1782" s="2" t="n">
        <v>19</v>
      </c>
      <c r="D1782" s="2">
        <f>VLOOKUP(B1782,Products!$A$2:$D$201,3,FALSE())</f>
        <v/>
      </c>
      <c r="E1782" s="2">
        <f>C1782*D1782</f>
        <v/>
      </c>
      <c r="F1782" s="2">
        <f>C1782*INDEX(Products!$D$2:$D$201,MATCH(B1782,Products!$A$2:$A$201,0))</f>
        <v/>
      </c>
      <c r="G1782" s="2">
        <f>E1782-F1782</f>
        <v/>
      </c>
    </row>
    <row r="1783" ht="15" customHeight="1" s="1">
      <c r="A1783" s="2" t="n">
        <v>51781</v>
      </c>
      <c r="B1783" s="2" t="inlineStr">
        <is>
          <t>SKU-0101</t>
        </is>
      </c>
      <c r="C1783" s="2" t="n">
        <v>3</v>
      </c>
      <c r="D1783" s="2">
        <f>VLOOKUP(B1783,Products!$A$2:$D$201,3,FALSE())</f>
        <v/>
      </c>
      <c r="E1783" s="2">
        <f>C1783*D1783</f>
        <v/>
      </c>
      <c r="F1783" s="2">
        <f>C1783*INDEX(Products!$D$2:$D$201,MATCH(B1783,Products!$A$2:$A$201,0))</f>
        <v/>
      </c>
      <c r="G1783" s="2">
        <f>E1783-F1783</f>
        <v/>
      </c>
    </row>
    <row r="1784" ht="15" customHeight="1" s="1">
      <c r="A1784" s="2" t="n">
        <v>51782</v>
      </c>
      <c r="B1784" s="2" t="inlineStr">
        <is>
          <t>SKU-0141</t>
        </is>
      </c>
      <c r="C1784" s="2" t="n">
        <v>18</v>
      </c>
      <c r="D1784" s="2">
        <f>VLOOKUP(B1784,Products!$A$2:$D$201,3,FALSE())</f>
        <v/>
      </c>
      <c r="E1784" s="2">
        <f>C1784*D1784</f>
        <v/>
      </c>
      <c r="F1784" s="2">
        <f>C1784*INDEX(Products!$D$2:$D$201,MATCH(B1784,Products!$A$2:$A$201,0))</f>
        <v/>
      </c>
      <c r="G1784" s="2">
        <f>E1784-F1784</f>
        <v/>
      </c>
    </row>
    <row r="1785" ht="15" customHeight="1" s="1">
      <c r="A1785" s="2" t="n">
        <v>51783</v>
      </c>
      <c r="B1785" s="2" t="inlineStr">
        <is>
          <t>SKU-0066</t>
        </is>
      </c>
      <c r="C1785" s="2" t="n">
        <v>18</v>
      </c>
      <c r="D1785" s="2">
        <f>VLOOKUP(B1785,Products!$A$2:$D$201,3,FALSE())</f>
        <v/>
      </c>
      <c r="E1785" s="2">
        <f>C1785*D1785</f>
        <v/>
      </c>
      <c r="F1785" s="2">
        <f>C1785*INDEX(Products!$D$2:$D$201,MATCH(B1785,Products!$A$2:$A$201,0))</f>
        <v/>
      </c>
      <c r="G1785" s="2">
        <f>E1785-F1785</f>
        <v/>
      </c>
    </row>
    <row r="1786" ht="15" customHeight="1" s="1">
      <c r="A1786" s="2" t="n">
        <v>51784</v>
      </c>
      <c r="B1786" s="2" t="inlineStr">
        <is>
          <t>SKU-0027</t>
        </is>
      </c>
      <c r="C1786" s="2" t="n">
        <v>4</v>
      </c>
      <c r="D1786" s="2">
        <f>VLOOKUP(B1786,Products!$A$2:$D$201,3,FALSE())</f>
        <v/>
      </c>
      <c r="E1786" s="2">
        <f>C1786*D1786</f>
        <v/>
      </c>
      <c r="F1786" s="2">
        <f>C1786*INDEX(Products!$D$2:$D$201,MATCH(B1786,Products!$A$2:$A$201,0))</f>
        <v/>
      </c>
      <c r="G1786" s="2">
        <f>E1786-F1786</f>
        <v/>
      </c>
    </row>
    <row r="1787" ht="15" customHeight="1" s="1">
      <c r="A1787" s="2" t="n">
        <v>51785</v>
      </c>
      <c r="B1787" s="2" t="inlineStr">
        <is>
          <t>SKU-0161</t>
        </is>
      </c>
      <c r="C1787" s="2" t="n">
        <v>15</v>
      </c>
      <c r="D1787" s="2">
        <f>VLOOKUP(B1787,Products!$A$2:$D$201,3,FALSE())</f>
        <v/>
      </c>
      <c r="E1787" s="2">
        <f>C1787*D1787</f>
        <v/>
      </c>
      <c r="F1787" s="2">
        <f>C1787*INDEX(Products!$D$2:$D$201,MATCH(B1787,Products!$A$2:$A$201,0))</f>
        <v/>
      </c>
      <c r="G1787" s="2">
        <f>E1787-F1787</f>
        <v/>
      </c>
    </row>
    <row r="1788" ht="15" customHeight="1" s="1">
      <c r="A1788" s="2" t="n">
        <v>51786</v>
      </c>
      <c r="B1788" s="2" t="inlineStr">
        <is>
          <t>SKU-0011</t>
        </is>
      </c>
      <c r="C1788" s="2" t="n">
        <v>13</v>
      </c>
      <c r="D1788" s="2">
        <f>VLOOKUP(B1788,Products!$A$2:$D$201,3,FALSE())</f>
        <v/>
      </c>
      <c r="E1788" s="2">
        <f>C1788*D1788</f>
        <v/>
      </c>
      <c r="F1788" s="2">
        <f>C1788*INDEX(Products!$D$2:$D$201,MATCH(B1788,Products!$A$2:$A$201,0))</f>
        <v/>
      </c>
      <c r="G1788" s="2">
        <f>E1788-F1788</f>
        <v/>
      </c>
    </row>
    <row r="1789" ht="15" customHeight="1" s="1">
      <c r="A1789" s="2" t="n">
        <v>51787</v>
      </c>
      <c r="B1789" s="2" t="inlineStr">
        <is>
          <t>SKU-0189</t>
        </is>
      </c>
      <c r="C1789" s="2" t="n">
        <v>7</v>
      </c>
      <c r="D1789" s="2">
        <f>VLOOKUP(B1789,Products!$A$2:$D$201,3,FALSE())</f>
        <v/>
      </c>
      <c r="E1789" s="2">
        <f>C1789*D1789</f>
        <v/>
      </c>
      <c r="F1789" s="2">
        <f>C1789*INDEX(Products!$D$2:$D$201,MATCH(B1789,Products!$A$2:$A$201,0))</f>
        <v/>
      </c>
      <c r="G1789" s="2">
        <f>E1789-F1789</f>
        <v/>
      </c>
    </row>
    <row r="1790" ht="15" customHeight="1" s="1">
      <c r="A1790" s="2" t="n">
        <v>51788</v>
      </c>
      <c r="B1790" s="2" t="inlineStr">
        <is>
          <t>SKU-0002</t>
        </is>
      </c>
      <c r="C1790" s="2" t="n">
        <v>15</v>
      </c>
      <c r="D1790" s="2">
        <f>VLOOKUP(B1790,Products!$A$2:$D$201,3,FALSE())</f>
        <v/>
      </c>
      <c r="E1790" s="2">
        <f>C1790*D1790</f>
        <v/>
      </c>
      <c r="F1790" s="2">
        <f>C1790*INDEX(Products!$D$2:$D$201,MATCH(B1790,Products!$A$2:$A$201,0))</f>
        <v/>
      </c>
      <c r="G1790" s="2">
        <f>E1790-F1790</f>
        <v/>
      </c>
    </row>
    <row r="1791" ht="15" customHeight="1" s="1">
      <c r="A1791" s="2" t="n">
        <v>51789</v>
      </c>
      <c r="B1791" s="2" t="inlineStr">
        <is>
          <t>SKU-0045</t>
        </is>
      </c>
      <c r="C1791" s="2" t="n">
        <v>9</v>
      </c>
      <c r="D1791" s="2">
        <f>VLOOKUP(B1791,Products!$A$2:$D$201,3,FALSE())</f>
        <v/>
      </c>
      <c r="E1791" s="2">
        <f>C1791*D1791</f>
        <v/>
      </c>
      <c r="F1791" s="2">
        <f>C1791*INDEX(Products!$D$2:$D$201,MATCH(B1791,Products!$A$2:$A$201,0))</f>
        <v/>
      </c>
      <c r="G1791" s="2">
        <f>E1791-F1791</f>
        <v/>
      </c>
    </row>
    <row r="1792" ht="15" customHeight="1" s="1">
      <c r="A1792" s="2" t="n">
        <v>51790</v>
      </c>
      <c r="B1792" s="2" t="inlineStr">
        <is>
          <t>SKU-0150</t>
        </is>
      </c>
      <c r="C1792" s="2" t="n">
        <v>16</v>
      </c>
      <c r="D1792" s="2">
        <f>VLOOKUP(B1792,Products!$A$2:$D$201,3,FALSE())</f>
        <v/>
      </c>
      <c r="E1792" s="2">
        <f>C1792*D1792</f>
        <v/>
      </c>
      <c r="F1792" s="2">
        <f>C1792*INDEX(Products!$D$2:$D$201,MATCH(B1792,Products!$A$2:$A$201,0))</f>
        <v/>
      </c>
      <c r="G1792" s="2">
        <f>E1792-F1792</f>
        <v/>
      </c>
    </row>
    <row r="1793" ht="15" customHeight="1" s="1">
      <c r="A1793" s="2" t="n">
        <v>51791</v>
      </c>
      <c r="B1793" s="2" t="inlineStr">
        <is>
          <t>SKU-0026</t>
        </is>
      </c>
      <c r="C1793" s="2" t="n">
        <v>20</v>
      </c>
      <c r="D1793" s="2">
        <f>VLOOKUP(B1793,Products!$A$2:$D$201,3,FALSE())</f>
        <v/>
      </c>
      <c r="E1793" s="2">
        <f>C1793*D1793</f>
        <v/>
      </c>
      <c r="F1793" s="2">
        <f>C1793*INDEX(Products!$D$2:$D$201,MATCH(B1793,Products!$A$2:$A$201,0))</f>
        <v/>
      </c>
      <c r="G1793" s="2">
        <f>E1793-F1793</f>
        <v/>
      </c>
    </row>
    <row r="1794" ht="15" customHeight="1" s="1">
      <c r="A1794" s="2" t="n">
        <v>51792</v>
      </c>
      <c r="B1794" s="2" t="inlineStr">
        <is>
          <t>SKU-0007</t>
        </is>
      </c>
      <c r="C1794" s="2" t="n">
        <v>7</v>
      </c>
      <c r="D1794" s="2">
        <f>VLOOKUP(B1794,Products!$A$2:$D$201,3,FALSE())</f>
        <v/>
      </c>
      <c r="E1794" s="2">
        <f>C1794*D1794</f>
        <v/>
      </c>
      <c r="F1794" s="2">
        <f>C1794*INDEX(Products!$D$2:$D$201,MATCH(B1794,Products!$A$2:$A$201,0))</f>
        <v/>
      </c>
      <c r="G1794" s="2">
        <f>E1794-F1794</f>
        <v/>
      </c>
    </row>
    <row r="1795" ht="15" customHeight="1" s="1">
      <c r="A1795" s="2" t="n">
        <v>51793</v>
      </c>
      <c r="B1795" s="2" t="inlineStr">
        <is>
          <t>SKU-0002</t>
        </is>
      </c>
      <c r="C1795" s="2" t="n">
        <v>18</v>
      </c>
      <c r="D1795" s="2">
        <f>VLOOKUP(B1795,Products!$A$2:$D$201,3,FALSE())</f>
        <v/>
      </c>
      <c r="E1795" s="2">
        <f>C1795*D1795</f>
        <v/>
      </c>
      <c r="F1795" s="2">
        <f>C1795*INDEX(Products!$D$2:$D$201,MATCH(B1795,Products!$A$2:$A$201,0))</f>
        <v/>
      </c>
      <c r="G1795" s="2">
        <f>E1795-F1795</f>
        <v/>
      </c>
    </row>
    <row r="1796" ht="15" customHeight="1" s="1">
      <c r="A1796" s="2" t="n">
        <v>51794</v>
      </c>
      <c r="B1796" s="2" t="inlineStr">
        <is>
          <t>SKU-0179</t>
        </is>
      </c>
      <c r="C1796" s="2" t="n">
        <v>9</v>
      </c>
      <c r="D1796" s="2">
        <f>VLOOKUP(B1796,Products!$A$2:$D$201,3,FALSE())</f>
        <v/>
      </c>
      <c r="E1796" s="2">
        <f>C1796*D1796</f>
        <v/>
      </c>
      <c r="F1796" s="2">
        <f>C1796*INDEX(Products!$D$2:$D$201,MATCH(B1796,Products!$A$2:$A$201,0))</f>
        <v/>
      </c>
      <c r="G1796" s="2">
        <f>E1796-F1796</f>
        <v/>
      </c>
    </row>
    <row r="1797" ht="15" customHeight="1" s="1">
      <c r="A1797" s="2" t="n">
        <v>51795</v>
      </c>
      <c r="B1797" s="2" t="inlineStr">
        <is>
          <t>SKU-0038</t>
        </is>
      </c>
      <c r="C1797" s="2" t="n">
        <v>20</v>
      </c>
      <c r="D1797" s="2">
        <f>VLOOKUP(B1797,Products!$A$2:$D$201,3,FALSE())</f>
        <v/>
      </c>
      <c r="E1797" s="2">
        <f>C1797*D1797</f>
        <v/>
      </c>
      <c r="F1797" s="2">
        <f>C1797*INDEX(Products!$D$2:$D$201,MATCH(B1797,Products!$A$2:$A$201,0))</f>
        <v/>
      </c>
      <c r="G1797" s="2">
        <f>E1797-F1797</f>
        <v/>
      </c>
    </row>
    <row r="1798" ht="15" customHeight="1" s="1">
      <c r="A1798" s="2" t="n">
        <v>51796</v>
      </c>
      <c r="B1798" s="2" t="inlineStr">
        <is>
          <t>SKU-0055</t>
        </is>
      </c>
      <c r="C1798" s="2" t="n">
        <v>7</v>
      </c>
      <c r="D1798" s="2">
        <f>VLOOKUP(B1798,Products!$A$2:$D$201,3,FALSE())</f>
        <v/>
      </c>
      <c r="E1798" s="2">
        <f>C1798*D1798</f>
        <v/>
      </c>
      <c r="F1798" s="2">
        <f>C1798*INDEX(Products!$D$2:$D$201,MATCH(B1798,Products!$A$2:$A$201,0))</f>
        <v/>
      </c>
      <c r="G1798" s="2">
        <f>E1798-F1798</f>
        <v/>
      </c>
    </row>
    <row r="1799" ht="15" customHeight="1" s="1">
      <c r="A1799" s="2" t="n">
        <v>51797</v>
      </c>
      <c r="B1799" s="2" t="inlineStr">
        <is>
          <t>SKU-0027</t>
        </is>
      </c>
      <c r="C1799" s="2" t="n">
        <v>16</v>
      </c>
      <c r="D1799" s="2">
        <f>VLOOKUP(B1799,Products!$A$2:$D$201,3,FALSE())</f>
        <v/>
      </c>
      <c r="E1799" s="2">
        <f>C1799*D1799</f>
        <v/>
      </c>
      <c r="F1799" s="2">
        <f>C1799*INDEX(Products!$D$2:$D$201,MATCH(B1799,Products!$A$2:$A$201,0))</f>
        <v/>
      </c>
      <c r="G1799" s="2">
        <f>E1799-F1799</f>
        <v/>
      </c>
    </row>
    <row r="1800" ht="15" customHeight="1" s="1">
      <c r="A1800" s="2" t="n">
        <v>51798</v>
      </c>
      <c r="B1800" s="2" t="inlineStr">
        <is>
          <t>SKU-0003</t>
        </is>
      </c>
      <c r="C1800" s="2" t="n">
        <v>10</v>
      </c>
      <c r="D1800" s="2">
        <f>VLOOKUP(B1800,Products!$A$2:$D$201,3,FALSE())</f>
        <v/>
      </c>
      <c r="E1800" s="2">
        <f>C1800*D1800</f>
        <v/>
      </c>
      <c r="F1800" s="2">
        <f>C1800*INDEX(Products!$D$2:$D$201,MATCH(B1800,Products!$A$2:$A$201,0))</f>
        <v/>
      </c>
      <c r="G1800" s="2">
        <f>E1800-F1800</f>
        <v/>
      </c>
    </row>
    <row r="1801" ht="15" customHeight="1" s="1">
      <c r="A1801" s="2" t="n">
        <v>51799</v>
      </c>
      <c r="B1801" s="2" t="inlineStr">
        <is>
          <t>SKU-0194</t>
        </is>
      </c>
      <c r="C1801" s="2" t="n">
        <v>3</v>
      </c>
      <c r="D1801" s="2">
        <f>VLOOKUP(B1801,Products!$A$2:$D$201,3,FALSE())</f>
        <v/>
      </c>
      <c r="E1801" s="2">
        <f>C1801*D1801</f>
        <v/>
      </c>
      <c r="F1801" s="2">
        <f>C1801*INDEX(Products!$D$2:$D$201,MATCH(B1801,Products!$A$2:$A$201,0))</f>
        <v/>
      </c>
      <c r="G1801" s="2">
        <f>E1801-F1801</f>
        <v/>
      </c>
    </row>
    <row r="1802" ht="15" customHeight="1" s="1">
      <c r="A1802" s="2" t="n">
        <v>51800</v>
      </c>
      <c r="B1802" s="2" t="inlineStr">
        <is>
          <t>SKU-0010</t>
        </is>
      </c>
      <c r="C1802" s="2" t="n">
        <v>19</v>
      </c>
      <c r="D1802" s="2">
        <f>VLOOKUP(B1802,Products!$A$2:$D$201,3,FALSE())</f>
        <v/>
      </c>
      <c r="E1802" s="2">
        <f>C1802*D1802</f>
        <v/>
      </c>
      <c r="F1802" s="2">
        <f>C1802*INDEX(Products!$D$2:$D$201,MATCH(B1802,Products!$A$2:$A$201,0))</f>
        <v/>
      </c>
      <c r="G1802" s="2">
        <f>E1802-F1802</f>
        <v/>
      </c>
    </row>
    <row r="1803" ht="15" customHeight="1" s="1">
      <c r="A1803" s="2" t="n">
        <v>51801</v>
      </c>
      <c r="B1803" s="2" t="inlineStr">
        <is>
          <t>SKU-0164</t>
        </is>
      </c>
      <c r="C1803" s="2" t="n">
        <v>7</v>
      </c>
      <c r="D1803" s="2">
        <f>VLOOKUP(B1803,Products!$A$2:$D$201,3,FALSE())</f>
        <v/>
      </c>
      <c r="E1803" s="2">
        <f>C1803*D1803</f>
        <v/>
      </c>
      <c r="F1803" s="2">
        <f>C1803*INDEX(Products!$D$2:$D$201,MATCH(B1803,Products!$A$2:$A$201,0))</f>
        <v/>
      </c>
      <c r="G1803" s="2">
        <f>E1803-F1803</f>
        <v/>
      </c>
    </row>
    <row r="1804" ht="15" customHeight="1" s="1">
      <c r="A1804" s="2" t="n">
        <v>51802</v>
      </c>
      <c r="B1804" s="2" t="inlineStr">
        <is>
          <t>SKU-0027</t>
        </is>
      </c>
      <c r="C1804" s="2" t="n">
        <v>4</v>
      </c>
      <c r="D1804" s="2">
        <f>VLOOKUP(B1804,Products!$A$2:$D$201,3,FALSE())</f>
        <v/>
      </c>
      <c r="E1804" s="2">
        <f>C1804*D1804</f>
        <v/>
      </c>
      <c r="F1804" s="2">
        <f>C1804*INDEX(Products!$D$2:$D$201,MATCH(B1804,Products!$A$2:$A$201,0))</f>
        <v/>
      </c>
      <c r="G1804" s="2">
        <f>E1804-F1804</f>
        <v/>
      </c>
    </row>
    <row r="1805" ht="15" customHeight="1" s="1">
      <c r="A1805" s="2" t="n">
        <v>51803</v>
      </c>
      <c r="B1805" s="2" t="inlineStr">
        <is>
          <t>SKU-0121</t>
        </is>
      </c>
      <c r="C1805" s="2" t="n">
        <v>14</v>
      </c>
      <c r="D1805" s="2">
        <f>VLOOKUP(B1805,Products!$A$2:$D$201,3,FALSE())</f>
        <v/>
      </c>
      <c r="E1805" s="2">
        <f>C1805*D1805</f>
        <v/>
      </c>
      <c r="F1805" s="2">
        <f>C1805*INDEX(Products!$D$2:$D$201,MATCH(B1805,Products!$A$2:$A$201,0))</f>
        <v/>
      </c>
      <c r="G1805" s="2">
        <f>E1805-F1805</f>
        <v/>
      </c>
    </row>
    <row r="1806" ht="15" customHeight="1" s="1">
      <c r="A1806" s="2" t="n">
        <v>51804</v>
      </c>
      <c r="B1806" s="2" t="inlineStr">
        <is>
          <t>SKU-0178</t>
        </is>
      </c>
      <c r="C1806" s="2" t="n">
        <v>8</v>
      </c>
      <c r="D1806" s="2">
        <f>VLOOKUP(B1806,Products!$A$2:$D$201,3,FALSE())</f>
        <v/>
      </c>
      <c r="E1806" s="2">
        <f>C1806*D1806</f>
        <v/>
      </c>
      <c r="F1806" s="2">
        <f>C1806*INDEX(Products!$D$2:$D$201,MATCH(B1806,Products!$A$2:$A$201,0))</f>
        <v/>
      </c>
      <c r="G1806" s="2">
        <f>E1806-F1806</f>
        <v/>
      </c>
    </row>
    <row r="1807" ht="15" customHeight="1" s="1">
      <c r="A1807" s="2" t="n">
        <v>51805</v>
      </c>
      <c r="B1807" s="2" t="inlineStr">
        <is>
          <t>SKU-0047</t>
        </is>
      </c>
      <c r="C1807" s="2" t="n">
        <v>5</v>
      </c>
      <c r="D1807" s="2">
        <f>VLOOKUP(B1807,Products!$A$2:$D$201,3,FALSE())</f>
        <v/>
      </c>
      <c r="E1807" s="2">
        <f>C1807*D1807</f>
        <v/>
      </c>
      <c r="F1807" s="2">
        <f>C1807*INDEX(Products!$D$2:$D$201,MATCH(B1807,Products!$A$2:$A$201,0))</f>
        <v/>
      </c>
      <c r="G1807" s="2">
        <f>E1807-F1807</f>
        <v/>
      </c>
    </row>
    <row r="1808" ht="15" customHeight="1" s="1">
      <c r="A1808" s="2" t="n">
        <v>51806</v>
      </c>
      <c r="B1808" s="2" t="inlineStr">
        <is>
          <t>SKU-0161</t>
        </is>
      </c>
      <c r="C1808" s="2" t="n">
        <v>17</v>
      </c>
      <c r="D1808" s="2">
        <f>VLOOKUP(B1808,Products!$A$2:$D$201,3,FALSE())</f>
        <v/>
      </c>
      <c r="E1808" s="2">
        <f>C1808*D1808</f>
        <v/>
      </c>
      <c r="F1808" s="2">
        <f>C1808*INDEX(Products!$D$2:$D$201,MATCH(B1808,Products!$A$2:$A$201,0))</f>
        <v/>
      </c>
      <c r="G1808" s="2">
        <f>E1808-F1808</f>
        <v/>
      </c>
    </row>
    <row r="1809" ht="15" customHeight="1" s="1">
      <c r="A1809" s="2" t="n">
        <v>51807</v>
      </c>
      <c r="B1809" s="2" t="inlineStr">
        <is>
          <t>SKU-0075</t>
        </is>
      </c>
      <c r="C1809" s="2" t="n">
        <v>20</v>
      </c>
      <c r="D1809" s="2">
        <f>VLOOKUP(B1809,Products!$A$2:$D$201,3,FALSE())</f>
        <v/>
      </c>
      <c r="E1809" s="2">
        <f>C1809*D1809</f>
        <v/>
      </c>
      <c r="F1809" s="2">
        <f>C1809*INDEX(Products!$D$2:$D$201,MATCH(B1809,Products!$A$2:$A$201,0))</f>
        <v/>
      </c>
      <c r="G1809" s="2">
        <f>E1809-F1809</f>
        <v/>
      </c>
    </row>
    <row r="1810" ht="15" customHeight="1" s="1">
      <c r="A1810" s="2" t="n">
        <v>51808</v>
      </c>
      <c r="B1810" s="2" t="inlineStr">
        <is>
          <t>SKU-0156</t>
        </is>
      </c>
      <c r="C1810" s="2" t="n">
        <v>16</v>
      </c>
      <c r="D1810" s="2">
        <f>VLOOKUP(B1810,Products!$A$2:$D$201,3,FALSE())</f>
        <v/>
      </c>
      <c r="E1810" s="2">
        <f>C1810*D1810</f>
        <v/>
      </c>
      <c r="F1810" s="2">
        <f>C1810*INDEX(Products!$D$2:$D$201,MATCH(B1810,Products!$A$2:$A$201,0))</f>
        <v/>
      </c>
      <c r="G1810" s="2">
        <f>E1810-F1810</f>
        <v/>
      </c>
    </row>
    <row r="1811" ht="15" customHeight="1" s="1">
      <c r="A1811" s="2" t="n">
        <v>51809</v>
      </c>
      <c r="B1811" s="2" t="inlineStr">
        <is>
          <t>SKU-0008</t>
        </is>
      </c>
      <c r="C1811" s="2" t="n">
        <v>15</v>
      </c>
      <c r="D1811" s="2">
        <f>VLOOKUP(B1811,Products!$A$2:$D$201,3,FALSE())</f>
        <v/>
      </c>
      <c r="E1811" s="2">
        <f>C1811*D1811</f>
        <v/>
      </c>
      <c r="F1811" s="2">
        <f>C1811*INDEX(Products!$D$2:$D$201,MATCH(B1811,Products!$A$2:$A$201,0))</f>
        <v/>
      </c>
      <c r="G1811" s="2">
        <f>E1811-F1811</f>
        <v/>
      </c>
    </row>
    <row r="1812" ht="15" customHeight="1" s="1">
      <c r="A1812" s="2" t="n">
        <v>51810</v>
      </c>
      <c r="B1812" s="2" t="inlineStr">
        <is>
          <t>SKU-0185</t>
        </is>
      </c>
      <c r="C1812" s="2" t="n">
        <v>14</v>
      </c>
      <c r="D1812" s="2">
        <f>VLOOKUP(B1812,Products!$A$2:$D$201,3,FALSE())</f>
        <v/>
      </c>
      <c r="E1812" s="2">
        <f>C1812*D1812</f>
        <v/>
      </c>
      <c r="F1812" s="2">
        <f>C1812*INDEX(Products!$D$2:$D$201,MATCH(B1812,Products!$A$2:$A$201,0))</f>
        <v/>
      </c>
      <c r="G1812" s="2">
        <f>E1812-F1812</f>
        <v/>
      </c>
    </row>
    <row r="1813" ht="15" customHeight="1" s="1">
      <c r="A1813" s="2" t="n">
        <v>51811</v>
      </c>
      <c r="B1813" s="2" t="inlineStr">
        <is>
          <t>SKU-0103</t>
        </is>
      </c>
      <c r="C1813" s="2" t="n">
        <v>4</v>
      </c>
      <c r="D1813" s="2">
        <f>VLOOKUP(B1813,Products!$A$2:$D$201,3,FALSE())</f>
        <v/>
      </c>
      <c r="E1813" s="2">
        <f>C1813*D1813</f>
        <v/>
      </c>
      <c r="F1813" s="2">
        <f>C1813*INDEX(Products!$D$2:$D$201,MATCH(B1813,Products!$A$2:$A$201,0))</f>
        <v/>
      </c>
      <c r="G1813" s="2">
        <f>E1813-F1813</f>
        <v/>
      </c>
    </row>
    <row r="1814" ht="15" customHeight="1" s="1">
      <c r="A1814" s="2" t="n">
        <v>51812</v>
      </c>
      <c r="B1814" s="2" t="inlineStr">
        <is>
          <t>SKU-0147</t>
        </is>
      </c>
      <c r="C1814" s="2" t="n">
        <v>2</v>
      </c>
      <c r="D1814" s="2">
        <f>VLOOKUP(B1814,Products!$A$2:$D$201,3,FALSE())</f>
        <v/>
      </c>
      <c r="E1814" s="2">
        <f>C1814*D1814</f>
        <v/>
      </c>
      <c r="F1814" s="2">
        <f>C1814*INDEX(Products!$D$2:$D$201,MATCH(B1814,Products!$A$2:$A$201,0))</f>
        <v/>
      </c>
      <c r="G1814" s="2">
        <f>E1814-F1814</f>
        <v/>
      </c>
    </row>
    <row r="1815" ht="15" customHeight="1" s="1">
      <c r="A1815" s="2" t="n">
        <v>51813</v>
      </c>
      <c r="B1815" s="2" t="inlineStr">
        <is>
          <t>SKU-0084</t>
        </is>
      </c>
      <c r="C1815" s="2" t="n">
        <v>8</v>
      </c>
      <c r="D1815" s="2">
        <f>VLOOKUP(B1815,Products!$A$2:$D$201,3,FALSE())</f>
        <v/>
      </c>
      <c r="E1815" s="2">
        <f>C1815*D1815</f>
        <v/>
      </c>
      <c r="F1815" s="2">
        <f>C1815*INDEX(Products!$D$2:$D$201,MATCH(B1815,Products!$A$2:$A$201,0))</f>
        <v/>
      </c>
      <c r="G1815" s="2">
        <f>E1815-F1815</f>
        <v/>
      </c>
    </row>
    <row r="1816" ht="15" customHeight="1" s="1">
      <c r="A1816" s="2" t="n">
        <v>51814</v>
      </c>
      <c r="B1816" s="2" t="inlineStr">
        <is>
          <t>SKU-0186</t>
        </is>
      </c>
      <c r="C1816" s="2" t="n">
        <v>4</v>
      </c>
      <c r="D1816" s="2">
        <f>VLOOKUP(B1816,Products!$A$2:$D$201,3,FALSE())</f>
        <v/>
      </c>
      <c r="E1816" s="2">
        <f>C1816*D1816</f>
        <v/>
      </c>
      <c r="F1816" s="2">
        <f>C1816*INDEX(Products!$D$2:$D$201,MATCH(B1816,Products!$A$2:$A$201,0))</f>
        <v/>
      </c>
      <c r="G1816" s="2">
        <f>E1816-F1816</f>
        <v/>
      </c>
    </row>
    <row r="1817" ht="15" customHeight="1" s="1">
      <c r="A1817" s="2" t="n">
        <v>51815</v>
      </c>
      <c r="B1817" s="2" t="inlineStr">
        <is>
          <t>SKU-0128</t>
        </is>
      </c>
      <c r="C1817" s="2" t="n">
        <v>15</v>
      </c>
      <c r="D1817" s="2">
        <f>VLOOKUP(B1817,Products!$A$2:$D$201,3,FALSE())</f>
        <v/>
      </c>
      <c r="E1817" s="2">
        <f>C1817*D1817</f>
        <v/>
      </c>
      <c r="F1817" s="2">
        <f>C1817*INDEX(Products!$D$2:$D$201,MATCH(B1817,Products!$A$2:$A$201,0))</f>
        <v/>
      </c>
      <c r="G1817" s="2">
        <f>E1817-F1817</f>
        <v/>
      </c>
    </row>
    <row r="1818" ht="15" customHeight="1" s="1">
      <c r="A1818" s="2" t="n">
        <v>51816</v>
      </c>
      <c r="B1818" s="2" t="inlineStr">
        <is>
          <t>SKU-0028</t>
        </is>
      </c>
      <c r="C1818" s="2" t="n">
        <v>19</v>
      </c>
      <c r="D1818" s="2">
        <f>VLOOKUP(B1818,Products!$A$2:$D$201,3,FALSE())</f>
        <v/>
      </c>
      <c r="E1818" s="2">
        <f>C1818*D1818</f>
        <v/>
      </c>
      <c r="F1818" s="2">
        <f>C1818*INDEX(Products!$D$2:$D$201,MATCH(B1818,Products!$A$2:$A$201,0))</f>
        <v/>
      </c>
      <c r="G1818" s="2">
        <f>E1818-F1818</f>
        <v/>
      </c>
    </row>
    <row r="1819" ht="15" customHeight="1" s="1">
      <c r="A1819" s="2" t="n">
        <v>51817</v>
      </c>
      <c r="B1819" s="2" t="inlineStr">
        <is>
          <t>SKU-0088</t>
        </is>
      </c>
      <c r="C1819" s="2" t="n">
        <v>7</v>
      </c>
      <c r="D1819" s="2">
        <f>VLOOKUP(B1819,Products!$A$2:$D$201,3,FALSE())</f>
        <v/>
      </c>
      <c r="E1819" s="2">
        <f>C1819*D1819</f>
        <v/>
      </c>
      <c r="F1819" s="2">
        <f>C1819*INDEX(Products!$D$2:$D$201,MATCH(B1819,Products!$A$2:$A$201,0))</f>
        <v/>
      </c>
      <c r="G1819" s="2">
        <f>E1819-F1819</f>
        <v/>
      </c>
    </row>
    <row r="1820" ht="15" customHeight="1" s="1">
      <c r="A1820" s="2" t="n">
        <v>51818</v>
      </c>
      <c r="B1820" s="2" t="inlineStr">
        <is>
          <t>SKU-0003</t>
        </is>
      </c>
      <c r="C1820" s="2" t="n">
        <v>18</v>
      </c>
      <c r="D1820" s="2">
        <f>VLOOKUP(B1820,Products!$A$2:$D$201,3,FALSE())</f>
        <v/>
      </c>
      <c r="E1820" s="2">
        <f>C1820*D1820</f>
        <v/>
      </c>
      <c r="F1820" s="2">
        <f>C1820*INDEX(Products!$D$2:$D$201,MATCH(B1820,Products!$A$2:$A$201,0))</f>
        <v/>
      </c>
      <c r="G1820" s="2">
        <f>E1820-F1820</f>
        <v/>
      </c>
    </row>
    <row r="1821" ht="15" customHeight="1" s="1">
      <c r="A1821" s="2" t="n">
        <v>51819</v>
      </c>
      <c r="B1821" s="2" t="inlineStr">
        <is>
          <t>SKU-0171</t>
        </is>
      </c>
      <c r="C1821" s="2" t="n">
        <v>13</v>
      </c>
      <c r="D1821" s="2">
        <f>VLOOKUP(B1821,Products!$A$2:$D$201,3,FALSE())</f>
        <v/>
      </c>
      <c r="E1821" s="2">
        <f>C1821*D1821</f>
        <v/>
      </c>
      <c r="F1821" s="2">
        <f>C1821*INDEX(Products!$D$2:$D$201,MATCH(B1821,Products!$A$2:$A$201,0))</f>
        <v/>
      </c>
      <c r="G1821" s="2">
        <f>E1821-F1821</f>
        <v/>
      </c>
    </row>
    <row r="1822" ht="15" customHeight="1" s="1">
      <c r="A1822" s="2" t="n">
        <v>51820</v>
      </c>
      <c r="B1822" s="2" t="inlineStr">
        <is>
          <t>SKU-0174</t>
        </is>
      </c>
      <c r="C1822" s="2" t="n">
        <v>2</v>
      </c>
      <c r="D1822" s="2">
        <f>VLOOKUP(B1822,Products!$A$2:$D$201,3,FALSE())</f>
        <v/>
      </c>
      <c r="E1822" s="2">
        <f>C1822*D1822</f>
        <v/>
      </c>
      <c r="F1822" s="2">
        <f>C1822*INDEX(Products!$D$2:$D$201,MATCH(B1822,Products!$A$2:$A$201,0))</f>
        <v/>
      </c>
      <c r="G1822" s="2">
        <f>E1822-F1822</f>
        <v/>
      </c>
    </row>
    <row r="1823" ht="15" customHeight="1" s="1">
      <c r="A1823" s="2" t="n">
        <v>51821</v>
      </c>
      <c r="B1823" s="2" t="inlineStr">
        <is>
          <t>SKU-0056</t>
        </is>
      </c>
      <c r="C1823" s="2" t="n">
        <v>12</v>
      </c>
      <c r="D1823" s="2">
        <f>VLOOKUP(B1823,Products!$A$2:$D$201,3,FALSE())</f>
        <v/>
      </c>
      <c r="E1823" s="2">
        <f>C1823*D1823</f>
        <v/>
      </c>
      <c r="F1823" s="2">
        <f>C1823*INDEX(Products!$D$2:$D$201,MATCH(B1823,Products!$A$2:$A$201,0))</f>
        <v/>
      </c>
      <c r="G1823" s="2">
        <f>E1823-F1823</f>
        <v/>
      </c>
    </row>
    <row r="1824" ht="15" customHeight="1" s="1">
      <c r="A1824" s="2" t="n">
        <v>51822</v>
      </c>
      <c r="B1824" s="2" t="inlineStr">
        <is>
          <t>SKU-0182</t>
        </is>
      </c>
      <c r="C1824" s="2" t="n">
        <v>9</v>
      </c>
      <c r="D1824" s="2">
        <f>VLOOKUP(B1824,Products!$A$2:$D$201,3,FALSE())</f>
        <v/>
      </c>
      <c r="E1824" s="2">
        <f>C1824*D1824</f>
        <v/>
      </c>
      <c r="F1824" s="2">
        <f>C1824*INDEX(Products!$D$2:$D$201,MATCH(B1824,Products!$A$2:$A$201,0))</f>
        <v/>
      </c>
      <c r="G1824" s="2">
        <f>E1824-F1824</f>
        <v/>
      </c>
    </row>
    <row r="1825" ht="15" customHeight="1" s="1">
      <c r="A1825" s="2" t="n">
        <v>51823</v>
      </c>
      <c r="B1825" s="2" t="inlineStr">
        <is>
          <t>SKU-0022</t>
        </is>
      </c>
      <c r="C1825" s="2" t="n">
        <v>15</v>
      </c>
      <c r="D1825" s="2">
        <f>VLOOKUP(B1825,Products!$A$2:$D$201,3,FALSE())</f>
        <v/>
      </c>
      <c r="E1825" s="2">
        <f>C1825*D1825</f>
        <v/>
      </c>
      <c r="F1825" s="2">
        <f>C1825*INDEX(Products!$D$2:$D$201,MATCH(B1825,Products!$A$2:$A$201,0))</f>
        <v/>
      </c>
      <c r="G1825" s="2">
        <f>E1825-F1825</f>
        <v/>
      </c>
    </row>
    <row r="1826" ht="15" customHeight="1" s="1">
      <c r="A1826" s="2" t="n">
        <v>51824</v>
      </c>
      <c r="B1826" s="2" t="inlineStr">
        <is>
          <t>SKU-0003</t>
        </is>
      </c>
      <c r="C1826" s="2" t="n">
        <v>2</v>
      </c>
      <c r="D1826" s="2">
        <f>VLOOKUP(B1826,Products!$A$2:$D$201,3,FALSE())</f>
        <v/>
      </c>
      <c r="E1826" s="2">
        <f>C1826*D1826</f>
        <v/>
      </c>
      <c r="F1826" s="2">
        <f>C1826*INDEX(Products!$D$2:$D$201,MATCH(B1826,Products!$A$2:$A$201,0))</f>
        <v/>
      </c>
      <c r="G1826" s="2">
        <f>E1826-F1826</f>
        <v/>
      </c>
    </row>
    <row r="1827" ht="15" customHeight="1" s="1">
      <c r="A1827" s="2" t="n">
        <v>51825</v>
      </c>
      <c r="B1827" s="2" t="inlineStr">
        <is>
          <t>SKU-0156</t>
        </is>
      </c>
      <c r="C1827" s="2" t="n">
        <v>16</v>
      </c>
      <c r="D1827" s="2">
        <f>VLOOKUP(B1827,Products!$A$2:$D$201,3,FALSE())</f>
        <v/>
      </c>
      <c r="E1827" s="2">
        <f>C1827*D1827</f>
        <v/>
      </c>
      <c r="F1827" s="2">
        <f>C1827*INDEX(Products!$D$2:$D$201,MATCH(B1827,Products!$A$2:$A$201,0))</f>
        <v/>
      </c>
      <c r="G1827" s="2">
        <f>E1827-F1827</f>
        <v/>
      </c>
    </row>
    <row r="1828" ht="15" customHeight="1" s="1">
      <c r="A1828" s="2" t="n">
        <v>51826</v>
      </c>
      <c r="B1828" s="2" t="inlineStr">
        <is>
          <t>SKU-0124</t>
        </is>
      </c>
      <c r="C1828" s="2" t="n">
        <v>20</v>
      </c>
      <c r="D1828" s="2">
        <f>VLOOKUP(B1828,Products!$A$2:$D$201,3,FALSE())</f>
        <v/>
      </c>
      <c r="E1828" s="2">
        <f>C1828*D1828</f>
        <v/>
      </c>
      <c r="F1828" s="2">
        <f>C1828*INDEX(Products!$D$2:$D$201,MATCH(B1828,Products!$A$2:$A$201,0))</f>
        <v/>
      </c>
      <c r="G1828" s="2">
        <f>E1828-F1828</f>
        <v/>
      </c>
    </row>
    <row r="1829" ht="15" customHeight="1" s="1">
      <c r="A1829" s="2" t="n">
        <v>51827</v>
      </c>
      <c r="B1829" s="2" t="inlineStr">
        <is>
          <t>SKU-0146</t>
        </is>
      </c>
      <c r="C1829" s="2" t="n">
        <v>16</v>
      </c>
      <c r="D1829" s="2">
        <f>VLOOKUP(B1829,Products!$A$2:$D$201,3,FALSE())</f>
        <v/>
      </c>
      <c r="E1829" s="2">
        <f>C1829*D1829</f>
        <v/>
      </c>
      <c r="F1829" s="2">
        <f>C1829*INDEX(Products!$D$2:$D$201,MATCH(B1829,Products!$A$2:$A$201,0))</f>
        <v/>
      </c>
      <c r="G1829" s="2">
        <f>E1829-F1829</f>
        <v/>
      </c>
    </row>
    <row r="1830" ht="15" customHeight="1" s="1">
      <c r="A1830" s="2" t="n">
        <v>51828</v>
      </c>
      <c r="B1830" s="2" t="inlineStr">
        <is>
          <t>SKU-0113</t>
        </is>
      </c>
      <c r="C1830" s="2" t="n">
        <v>9</v>
      </c>
      <c r="D1830" s="2">
        <f>VLOOKUP(B1830,Products!$A$2:$D$201,3,FALSE())</f>
        <v/>
      </c>
      <c r="E1830" s="2">
        <f>C1830*D1830</f>
        <v/>
      </c>
      <c r="F1830" s="2">
        <f>C1830*INDEX(Products!$D$2:$D$201,MATCH(B1830,Products!$A$2:$A$201,0))</f>
        <v/>
      </c>
      <c r="G1830" s="2">
        <f>E1830-F1830</f>
        <v/>
      </c>
    </row>
    <row r="1831" ht="15" customHeight="1" s="1">
      <c r="A1831" s="2" t="n">
        <v>51829</v>
      </c>
      <c r="B1831" s="2" t="inlineStr">
        <is>
          <t>SKU-0117</t>
        </is>
      </c>
      <c r="C1831" s="2" t="n">
        <v>17</v>
      </c>
      <c r="D1831" s="2">
        <f>VLOOKUP(B1831,Products!$A$2:$D$201,3,FALSE())</f>
        <v/>
      </c>
      <c r="E1831" s="2">
        <f>C1831*D1831</f>
        <v/>
      </c>
      <c r="F1831" s="2">
        <f>C1831*INDEX(Products!$D$2:$D$201,MATCH(B1831,Products!$A$2:$A$201,0))</f>
        <v/>
      </c>
      <c r="G1831" s="2">
        <f>E1831-F1831</f>
        <v/>
      </c>
    </row>
    <row r="1832" ht="15" customHeight="1" s="1">
      <c r="A1832" s="2" t="n">
        <v>51830</v>
      </c>
      <c r="B1832" s="2" t="inlineStr">
        <is>
          <t>SKU-0002</t>
        </is>
      </c>
      <c r="C1832" s="2" t="n">
        <v>2</v>
      </c>
      <c r="D1832" s="2">
        <f>VLOOKUP(B1832,Products!$A$2:$D$201,3,FALSE())</f>
        <v/>
      </c>
      <c r="E1832" s="2">
        <f>C1832*D1832</f>
        <v/>
      </c>
      <c r="F1832" s="2">
        <f>C1832*INDEX(Products!$D$2:$D$201,MATCH(B1832,Products!$A$2:$A$201,0))</f>
        <v/>
      </c>
      <c r="G1832" s="2">
        <f>E1832-F1832</f>
        <v/>
      </c>
    </row>
    <row r="1833" ht="15" customHeight="1" s="1">
      <c r="A1833" s="2" t="n">
        <v>51831</v>
      </c>
      <c r="B1833" s="2" t="inlineStr">
        <is>
          <t>SKU-0151</t>
        </is>
      </c>
      <c r="C1833" s="2" t="n">
        <v>10</v>
      </c>
      <c r="D1833" s="2">
        <f>VLOOKUP(B1833,Products!$A$2:$D$201,3,FALSE())</f>
        <v/>
      </c>
      <c r="E1833" s="2">
        <f>C1833*D1833</f>
        <v/>
      </c>
      <c r="F1833" s="2">
        <f>C1833*INDEX(Products!$D$2:$D$201,MATCH(B1833,Products!$A$2:$A$201,0))</f>
        <v/>
      </c>
      <c r="G1833" s="2">
        <f>E1833-F1833</f>
        <v/>
      </c>
    </row>
    <row r="1834" ht="15" customHeight="1" s="1">
      <c r="A1834" s="2" t="n">
        <v>51832</v>
      </c>
      <c r="B1834" s="2" t="inlineStr">
        <is>
          <t>SKU-0022</t>
        </is>
      </c>
      <c r="C1834" s="2" t="n">
        <v>12</v>
      </c>
      <c r="D1834" s="2">
        <f>VLOOKUP(B1834,Products!$A$2:$D$201,3,FALSE())</f>
        <v/>
      </c>
      <c r="E1834" s="2">
        <f>C1834*D1834</f>
        <v/>
      </c>
      <c r="F1834" s="2">
        <f>C1834*INDEX(Products!$D$2:$D$201,MATCH(B1834,Products!$A$2:$A$201,0))</f>
        <v/>
      </c>
      <c r="G1834" s="2">
        <f>E1834-F1834</f>
        <v/>
      </c>
    </row>
    <row r="1835" ht="15" customHeight="1" s="1">
      <c r="A1835" s="2" t="n">
        <v>51833</v>
      </c>
      <c r="B1835" s="2" t="inlineStr">
        <is>
          <t>SKU-0148</t>
        </is>
      </c>
      <c r="C1835" s="2" t="n">
        <v>17</v>
      </c>
      <c r="D1835" s="2">
        <f>VLOOKUP(B1835,Products!$A$2:$D$201,3,FALSE())</f>
        <v/>
      </c>
      <c r="E1835" s="2">
        <f>C1835*D1835</f>
        <v/>
      </c>
      <c r="F1835" s="2">
        <f>C1835*INDEX(Products!$D$2:$D$201,MATCH(B1835,Products!$A$2:$A$201,0))</f>
        <v/>
      </c>
      <c r="G1835" s="2">
        <f>E1835-F1835</f>
        <v/>
      </c>
    </row>
    <row r="1836" ht="15" customHeight="1" s="1">
      <c r="A1836" s="2" t="n">
        <v>51834</v>
      </c>
      <c r="B1836" s="2" t="inlineStr">
        <is>
          <t>SKU-0154</t>
        </is>
      </c>
      <c r="C1836" s="2" t="n">
        <v>10</v>
      </c>
      <c r="D1836" s="2">
        <f>VLOOKUP(B1836,Products!$A$2:$D$201,3,FALSE())</f>
        <v/>
      </c>
      <c r="E1836" s="2">
        <f>C1836*D1836</f>
        <v/>
      </c>
      <c r="F1836" s="2">
        <f>C1836*INDEX(Products!$D$2:$D$201,MATCH(B1836,Products!$A$2:$A$201,0))</f>
        <v/>
      </c>
      <c r="G1836" s="2">
        <f>E1836-F1836</f>
        <v/>
      </c>
    </row>
    <row r="1837" ht="15" customHeight="1" s="1">
      <c r="A1837" s="2" t="n">
        <v>51835</v>
      </c>
      <c r="B1837" s="2" t="inlineStr">
        <is>
          <t>SKU-0044</t>
        </is>
      </c>
      <c r="C1837" s="2" t="n">
        <v>12</v>
      </c>
      <c r="D1837" s="2">
        <f>VLOOKUP(B1837,Products!$A$2:$D$201,3,FALSE())</f>
        <v/>
      </c>
      <c r="E1837" s="2">
        <f>C1837*D1837</f>
        <v/>
      </c>
      <c r="F1837" s="2">
        <f>C1837*INDEX(Products!$D$2:$D$201,MATCH(B1837,Products!$A$2:$A$201,0))</f>
        <v/>
      </c>
      <c r="G1837" s="2">
        <f>E1837-F1837</f>
        <v/>
      </c>
    </row>
    <row r="1838" ht="15" customHeight="1" s="1">
      <c r="A1838" s="2" t="n">
        <v>51836</v>
      </c>
      <c r="B1838" s="2" t="inlineStr">
        <is>
          <t>SKU-0076</t>
        </is>
      </c>
      <c r="C1838" s="2" t="n">
        <v>1</v>
      </c>
      <c r="D1838" s="2">
        <f>VLOOKUP(B1838,Products!$A$2:$D$201,3,FALSE())</f>
        <v/>
      </c>
      <c r="E1838" s="2">
        <f>C1838*D1838</f>
        <v/>
      </c>
      <c r="F1838" s="2">
        <f>C1838*INDEX(Products!$D$2:$D$201,MATCH(B1838,Products!$A$2:$A$201,0))</f>
        <v/>
      </c>
      <c r="G1838" s="2">
        <f>E1838-F1838</f>
        <v/>
      </c>
    </row>
    <row r="1839" ht="15" customHeight="1" s="1">
      <c r="A1839" s="2" t="n">
        <v>51837</v>
      </c>
      <c r="B1839" s="2" t="inlineStr">
        <is>
          <t>SKU-0102</t>
        </is>
      </c>
      <c r="C1839" s="2" t="n">
        <v>17</v>
      </c>
      <c r="D1839" s="2">
        <f>VLOOKUP(B1839,Products!$A$2:$D$201,3,FALSE())</f>
        <v/>
      </c>
      <c r="E1839" s="2">
        <f>C1839*D1839</f>
        <v/>
      </c>
      <c r="F1839" s="2">
        <f>C1839*INDEX(Products!$D$2:$D$201,MATCH(B1839,Products!$A$2:$A$201,0))</f>
        <v/>
      </c>
      <c r="G1839" s="2">
        <f>E1839-F1839</f>
        <v/>
      </c>
    </row>
    <row r="1840" ht="15" customHeight="1" s="1">
      <c r="A1840" s="2" t="n">
        <v>51838</v>
      </c>
      <c r="B1840" s="2" t="inlineStr">
        <is>
          <t>SKU-0097</t>
        </is>
      </c>
      <c r="C1840" s="2" t="n">
        <v>9</v>
      </c>
      <c r="D1840" s="2">
        <f>VLOOKUP(B1840,Products!$A$2:$D$201,3,FALSE())</f>
        <v/>
      </c>
      <c r="E1840" s="2">
        <f>C1840*D1840</f>
        <v/>
      </c>
      <c r="F1840" s="2">
        <f>C1840*INDEX(Products!$D$2:$D$201,MATCH(B1840,Products!$A$2:$A$201,0))</f>
        <v/>
      </c>
      <c r="G1840" s="2">
        <f>E1840-F1840</f>
        <v/>
      </c>
    </row>
    <row r="1841" ht="15" customHeight="1" s="1">
      <c r="A1841" s="2" t="n">
        <v>51839</v>
      </c>
      <c r="B1841" s="2" t="inlineStr">
        <is>
          <t>SKU-0005</t>
        </is>
      </c>
      <c r="C1841" s="2" t="n">
        <v>20</v>
      </c>
      <c r="D1841" s="2">
        <f>VLOOKUP(B1841,Products!$A$2:$D$201,3,FALSE())</f>
        <v/>
      </c>
      <c r="E1841" s="2">
        <f>C1841*D1841</f>
        <v/>
      </c>
      <c r="F1841" s="2">
        <f>C1841*INDEX(Products!$D$2:$D$201,MATCH(B1841,Products!$A$2:$A$201,0))</f>
        <v/>
      </c>
      <c r="G1841" s="2">
        <f>E1841-F1841</f>
        <v/>
      </c>
    </row>
    <row r="1842" ht="15" customHeight="1" s="1">
      <c r="A1842" s="2" t="n">
        <v>51840</v>
      </c>
      <c r="B1842" s="2" t="inlineStr">
        <is>
          <t>SKU-0067</t>
        </is>
      </c>
      <c r="C1842" s="2" t="n">
        <v>17</v>
      </c>
      <c r="D1842" s="2">
        <f>VLOOKUP(B1842,Products!$A$2:$D$201,3,FALSE())</f>
        <v/>
      </c>
      <c r="E1842" s="2">
        <f>C1842*D1842</f>
        <v/>
      </c>
      <c r="F1842" s="2">
        <f>C1842*INDEX(Products!$D$2:$D$201,MATCH(B1842,Products!$A$2:$A$201,0))</f>
        <v/>
      </c>
      <c r="G1842" s="2">
        <f>E1842-F1842</f>
        <v/>
      </c>
    </row>
    <row r="1843" ht="15" customHeight="1" s="1">
      <c r="A1843" s="2" t="n">
        <v>51841</v>
      </c>
      <c r="B1843" s="2" t="inlineStr">
        <is>
          <t>SKU-0035</t>
        </is>
      </c>
      <c r="C1843" s="2" t="n">
        <v>6</v>
      </c>
      <c r="D1843" s="2">
        <f>VLOOKUP(B1843,Products!$A$2:$D$201,3,FALSE())</f>
        <v/>
      </c>
      <c r="E1843" s="2">
        <f>C1843*D1843</f>
        <v/>
      </c>
      <c r="F1843" s="2">
        <f>C1843*INDEX(Products!$D$2:$D$201,MATCH(B1843,Products!$A$2:$A$201,0))</f>
        <v/>
      </c>
      <c r="G1843" s="2">
        <f>E1843-F1843</f>
        <v/>
      </c>
    </row>
    <row r="1844" ht="15" customHeight="1" s="1">
      <c r="A1844" s="2" t="n">
        <v>51842</v>
      </c>
      <c r="B1844" s="2" t="inlineStr">
        <is>
          <t>SKU-0085</t>
        </is>
      </c>
      <c r="C1844" s="2" t="n">
        <v>20</v>
      </c>
      <c r="D1844" s="2">
        <f>VLOOKUP(B1844,Products!$A$2:$D$201,3,FALSE())</f>
        <v/>
      </c>
      <c r="E1844" s="2">
        <f>C1844*D1844</f>
        <v/>
      </c>
      <c r="F1844" s="2">
        <f>C1844*INDEX(Products!$D$2:$D$201,MATCH(B1844,Products!$A$2:$A$201,0))</f>
        <v/>
      </c>
      <c r="G1844" s="2">
        <f>E1844-F1844</f>
        <v/>
      </c>
    </row>
    <row r="1845" ht="15" customHeight="1" s="1">
      <c r="A1845" s="2" t="n">
        <v>51843</v>
      </c>
      <c r="B1845" s="2" t="inlineStr">
        <is>
          <t>SKU-0085</t>
        </is>
      </c>
      <c r="C1845" s="2" t="n">
        <v>11</v>
      </c>
      <c r="D1845" s="2">
        <f>VLOOKUP(B1845,Products!$A$2:$D$201,3,FALSE())</f>
        <v/>
      </c>
      <c r="E1845" s="2">
        <f>C1845*D1845</f>
        <v/>
      </c>
      <c r="F1845" s="2">
        <f>C1845*INDEX(Products!$D$2:$D$201,MATCH(B1845,Products!$A$2:$A$201,0))</f>
        <v/>
      </c>
      <c r="G1845" s="2">
        <f>E1845-F1845</f>
        <v/>
      </c>
    </row>
    <row r="1846" ht="15" customHeight="1" s="1">
      <c r="A1846" s="2" t="n">
        <v>51844</v>
      </c>
      <c r="B1846" s="2" t="inlineStr">
        <is>
          <t>SKU-0119</t>
        </is>
      </c>
      <c r="C1846" s="2" t="n">
        <v>14</v>
      </c>
      <c r="D1846" s="2">
        <f>VLOOKUP(B1846,Products!$A$2:$D$201,3,FALSE())</f>
        <v/>
      </c>
      <c r="E1846" s="2">
        <f>C1846*D1846</f>
        <v/>
      </c>
      <c r="F1846" s="2">
        <f>C1846*INDEX(Products!$D$2:$D$201,MATCH(B1846,Products!$A$2:$A$201,0))</f>
        <v/>
      </c>
      <c r="G1846" s="2">
        <f>E1846-F1846</f>
        <v/>
      </c>
    </row>
    <row r="1847" ht="15" customHeight="1" s="1">
      <c r="A1847" s="2" t="n">
        <v>51845</v>
      </c>
      <c r="B1847" s="2" t="inlineStr">
        <is>
          <t>SKU-0142</t>
        </is>
      </c>
      <c r="C1847" s="2" t="n">
        <v>3</v>
      </c>
      <c r="D1847" s="2">
        <f>VLOOKUP(B1847,Products!$A$2:$D$201,3,FALSE())</f>
        <v/>
      </c>
      <c r="E1847" s="2">
        <f>C1847*D1847</f>
        <v/>
      </c>
      <c r="F1847" s="2">
        <f>C1847*INDEX(Products!$D$2:$D$201,MATCH(B1847,Products!$A$2:$A$201,0))</f>
        <v/>
      </c>
      <c r="G1847" s="2">
        <f>E1847-F1847</f>
        <v/>
      </c>
    </row>
    <row r="1848" ht="15" customHeight="1" s="1">
      <c r="A1848" s="2" t="n">
        <v>51846</v>
      </c>
      <c r="B1848" s="2" t="inlineStr">
        <is>
          <t>SKU-0041</t>
        </is>
      </c>
      <c r="C1848" s="2" t="n">
        <v>17</v>
      </c>
      <c r="D1848" s="2">
        <f>VLOOKUP(B1848,Products!$A$2:$D$201,3,FALSE())</f>
        <v/>
      </c>
      <c r="E1848" s="2">
        <f>C1848*D1848</f>
        <v/>
      </c>
      <c r="F1848" s="2">
        <f>C1848*INDEX(Products!$D$2:$D$201,MATCH(B1848,Products!$A$2:$A$201,0))</f>
        <v/>
      </c>
      <c r="G1848" s="2">
        <f>E1848-F1848</f>
        <v/>
      </c>
    </row>
    <row r="1849" ht="15" customHeight="1" s="1">
      <c r="A1849" s="2" t="n">
        <v>51847</v>
      </c>
      <c r="B1849" s="2" t="inlineStr">
        <is>
          <t>SKU-0087</t>
        </is>
      </c>
      <c r="C1849" s="2" t="n">
        <v>14</v>
      </c>
      <c r="D1849" s="2">
        <f>VLOOKUP(B1849,Products!$A$2:$D$201,3,FALSE())</f>
        <v/>
      </c>
      <c r="E1849" s="2">
        <f>C1849*D1849</f>
        <v/>
      </c>
      <c r="F1849" s="2">
        <f>C1849*INDEX(Products!$D$2:$D$201,MATCH(B1849,Products!$A$2:$A$201,0))</f>
        <v/>
      </c>
      <c r="G1849" s="2">
        <f>E1849-F1849</f>
        <v/>
      </c>
    </row>
    <row r="1850" ht="15" customHeight="1" s="1">
      <c r="A1850" s="2" t="n">
        <v>51848</v>
      </c>
      <c r="B1850" s="2" t="inlineStr">
        <is>
          <t>SKU-0090</t>
        </is>
      </c>
      <c r="C1850" s="2" t="n">
        <v>4</v>
      </c>
      <c r="D1850" s="2">
        <f>VLOOKUP(B1850,Products!$A$2:$D$201,3,FALSE())</f>
        <v/>
      </c>
      <c r="E1850" s="2">
        <f>C1850*D1850</f>
        <v/>
      </c>
      <c r="F1850" s="2">
        <f>C1850*INDEX(Products!$D$2:$D$201,MATCH(B1850,Products!$A$2:$A$201,0))</f>
        <v/>
      </c>
      <c r="G1850" s="2">
        <f>E1850-F1850</f>
        <v/>
      </c>
    </row>
    <row r="1851" ht="15" customHeight="1" s="1">
      <c r="A1851" s="2" t="n">
        <v>51849</v>
      </c>
      <c r="B1851" s="2" t="inlineStr">
        <is>
          <t>SKU-0033</t>
        </is>
      </c>
      <c r="C1851" s="2" t="n">
        <v>3</v>
      </c>
      <c r="D1851" s="2">
        <f>VLOOKUP(B1851,Products!$A$2:$D$201,3,FALSE())</f>
        <v/>
      </c>
      <c r="E1851" s="2">
        <f>C1851*D1851</f>
        <v/>
      </c>
      <c r="F1851" s="2">
        <f>C1851*INDEX(Products!$D$2:$D$201,MATCH(B1851,Products!$A$2:$A$201,0))</f>
        <v/>
      </c>
      <c r="G1851" s="2">
        <f>E1851-F1851</f>
        <v/>
      </c>
    </row>
    <row r="1852" ht="15" customHeight="1" s="1">
      <c r="A1852" s="2" t="n">
        <v>51850</v>
      </c>
      <c r="B1852" s="2" t="inlineStr">
        <is>
          <t>SKU-0075</t>
        </is>
      </c>
      <c r="C1852" s="2" t="n">
        <v>9</v>
      </c>
      <c r="D1852" s="2">
        <f>VLOOKUP(B1852,Products!$A$2:$D$201,3,FALSE())</f>
        <v/>
      </c>
      <c r="E1852" s="2">
        <f>C1852*D1852</f>
        <v/>
      </c>
      <c r="F1852" s="2">
        <f>C1852*INDEX(Products!$D$2:$D$201,MATCH(B1852,Products!$A$2:$A$201,0))</f>
        <v/>
      </c>
      <c r="G1852" s="2">
        <f>E1852-F1852</f>
        <v/>
      </c>
    </row>
    <row r="1853" ht="15" customHeight="1" s="1">
      <c r="A1853" s="2" t="n">
        <v>51851</v>
      </c>
      <c r="B1853" s="2" t="inlineStr">
        <is>
          <t>SKU-0007</t>
        </is>
      </c>
      <c r="C1853" s="2" t="n">
        <v>18</v>
      </c>
      <c r="D1853" s="2">
        <f>VLOOKUP(B1853,Products!$A$2:$D$201,3,FALSE())</f>
        <v/>
      </c>
      <c r="E1853" s="2">
        <f>C1853*D1853</f>
        <v/>
      </c>
      <c r="F1853" s="2">
        <f>C1853*INDEX(Products!$D$2:$D$201,MATCH(B1853,Products!$A$2:$A$201,0))</f>
        <v/>
      </c>
      <c r="G1853" s="2">
        <f>E1853-F1853</f>
        <v/>
      </c>
    </row>
    <row r="1854" ht="15" customHeight="1" s="1">
      <c r="A1854" s="2" t="n">
        <v>51852</v>
      </c>
      <c r="B1854" s="2" t="inlineStr">
        <is>
          <t>SKU-0017</t>
        </is>
      </c>
      <c r="C1854" s="2" t="n">
        <v>12</v>
      </c>
      <c r="D1854" s="2">
        <f>VLOOKUP(B1854,Products!$A$2:$D$201,3,FALSE())</f>
        <v/>
      </c>
      <c r="E1854" s="2">
        <f>C1854*D1854</f>
        <v/>
      </c>
      <c r="F1854" s="2">
        <f>C1854*INDEX(Products!$D$2:$D$201,MATCH(B1854,Products!$A$2:$A$201,0))</f>
        <v/>
      </c>
      <c r="G1854" s="2">
        <f>E1854-F1854</f>
        <v/>
      </c>
    </row>
    <row r="1855" ht="15" customHeight="1" s="1">
      <c r="A1855" s="2" t="n">
        <v>51853</v>
      </c>
      <c r="B1855" s="2" t="inlineStr">
        <is>
          <t>SKU-0121</t>
        </is>
      </c>
      <c r="C1855" s="2" t="n">
        <v>5</v>
      </c>
      <c r="D1855" s="2">
        <f>VLOOKUP(B1855,Products!$A$2:$D$201,3,FALSE())</f>
        <v/>
      </c>
      <c r="E1855" s="2">
        <f>C1855*D1855</f>
        <v/>
      </c>
      <c r="F1855" s="2">
        <f>C1855*INDEX(Products!$D$2:$D$201,MATCH(B1855,Products!$A$2:$A$201,0))</f>
        <v/>
      </c>
      <c r="G1855" s="2">
        <f>E1855-F1855</f>
        <v/>
      </c>
    </row>
    <row r="1856" ht="15" customHeight="1" s="1">
      <c r="A1856" s="2" t="n">
        <v>51854</v>
      </c>
      <c r="B1856" s="2" t="inlineStr">
        <is>
          <t>SKU-0080</t>
        </is>
      </c>
      <c r="C1856" s="2" t="n">
        <v>17</v>
      </c>
      <c r="D1856" s="2">
        <f>VLOOKUP(B1856,Products!$A$2:$D$201,3,FALSE())</f>
        <v/>
      </c>
      <c r="E1856" s="2">
        <f>C1856*D1856</f>
        <v/>
      </c>
      <c r="F1856" s="2">
        <f>C1856*INDEX(Products!$D$2:$D$201,MATCH(B1856,Products!$A$2:$A$201,0))</f>
        <v/>
      </c>
      <c r="G1856" s="2">
        <f>E1856-F1856</f>
        <v/>
      </c>
    </row>
    <row r="1857" ht="15" customHeight="1" s="1">
      <c r="A1857" s="2" t="n">
        <v>51855</v>
      </c>
      <c r="B1857" s="2" t="inlineStr">
        <is>
          <t>SKU-0021</t>
        </is>
      </c>
      <c r="C1857" s="2" t="n">
        <v>16</v>
      </c>
      <c r="D1857" s="2">
        <f>VLOOKUP(B1857,Products!$A$2:$D$201,3,FALSE())</f>
        <v/>
      </c>
      <c r="E1857" s="2">
        <f>C1857*D1857</f>
        <v/>
      </c>
      <c r="F1857" s="2">
        <f>C1857*INDEX(Products!$D$2:$D$201,MATCH(B1857,Products!$A$2:$A$201,0))</f>
        <v/>
      </c>
      <c r="G1857" s="2">
        <f>E1857-F1857</f>
        <v/>
      </c>
    </row>
    <row r="1858" ht="15" customHeight="1" s="1">
      <c r="A1858" s="2" t="n">
        <v>51856</v>
      </c>
      <c r="B1858" s="2" t="inlineStr">
        <is>
          <t>SKU-0181</t>
        </is>
      </c>
      <c r="C1858" s="2" t="n">
        <v>7</v>
      </c>
      <c r="D1858" s="2">
        <f>VLOOKUP(B1858,Products!$A$2:$D$201,3,FALSE())</f>
        <v/>
      </c>
      <c r="E1858" s="2">
        <f>C1858*D1858</f>
        <v/>
      </c>
      <c r="F1858" s="2">
        <f>C1858*INDEX(Products!$D$2:$D$201,MATCH(B1858,Products!$A$2:$A$201,0))</f>
        <v/>
      </c>
      <c r="G1858" s="2">
        <f>E1858-F1858</f>
        <v/>
      </c>
    </row>
    <row r="1859" ht="15" customHeight="1" s="1">
      <c r="A1859" s="2" t="n">
        <v>51857</v>
      </c>
      <c r="B1859" s="2" t="inlineStr">
        <is>
          <t>SKU-0085</t>
        </is>
      </c>
      <c r="C1859" s="2" t="n">
        <v>17</v>
      </c>
      <c r="D1859" s="2">
        <f>VLOOKUP(B1859,Products!$A$2:$D$201,3,FALSE())</f>
        <v/>
      </c>
      <c r="E1859" s="2">
        <f>C1859*D1859</f>
        <v/>
      </c>
      <c r="F1859" s="2">
        <f>C1859*INDEX(Products!$D$2:$D$201,MATCH(B1859,Products!$A$2:$A$201,0))</f>
        <v/>
      </c>
      <c r="G1859" s="2">
        <f>E1859-F1859</f>
        <v/>
      </c>
    </row>
    <row r="1860" ht="15" customHeight="1" s="1">
      <c r="A1860" s="2" t="n">
        <v>51858</v>
      </c>
      <c r="B1860" s="2" t="inlineStr">
        <is>
          <t>SKU-0042</t>
        </is>
      </c>
      <c r="C1860" s="2" t="n">
        <v>20</v>
      </c>
      <c r="D1860" s="2">
        <f>VLOOKUP(B1860,Products!$A$2:$D$201,3,FALSE())</f>
        <v/>
      </c>
      <c r="E1860" s="2">
        <f>C1860*D1860</f>
        <v/>
      </c>
      <c r="F1860" s="2">
        <f>C1860*INDEX(Products!$D$2:$D$201,MATCH(B1860,Products!$A$2:$A$201,0))</f>
        <v/>
      </c>
      <c r="G1860" s="2">
        <f>E1860-F1860</f>
        <v/>
      </c>
    </row>
    <row r="1861" ht="15" customHeight="1" s="1">
      <c r="A1861" s="2" t="n">
        <v>51859</v>
      </c>
      <c r="B1861" s="2" t="inlineStr">
        <is>
          <t>SKU-0182</t>
        </is>
      </c>
      <c r="C1861" s="2" t="n">
        <v>20</v>
      </c>
      <c r="D1861" s="2">
        <f>VLOOKUP(B1861,Products!$A$2:$D$201,3,FALSE())</f>
        <v/>
      </c>
      <c r="E1861" s="2">
        <f>C1861*D1861</f>
        <v/>
      </c>
      <c r="F1861" s="2">
        <f>C1861*INDEX(Products!$D$2:$D$201,MATCH(B1861,Products!$A$2:$A$201,0))</f>
        <v/>
      </c>
      <c r="G1861" s="2">
        <f>E1861-F1861</f>
        <v/>
      </c>
    </row>
    <row r="1862" ht="15" customHeight="1" s="1">
      <c r="A1862" s="2" t="n">
        <v>51860</v>
      </c>
      <c r="B1862" s="2" t="inlineStr">
        <is>
          <t>SKU-0095</t>
        </is>
      </c>
      <c r="C1862" s="2" t="n">
        <v>8</v>
      </c>
      <c r="D1862" s="2">
        <f>VLOOKUP(B1862,Products!$A$2:$D$201,3,FALSE())</f>
        <v/>
      </c>
      <c r="E1862" s="2">
        <f>C1862*D1862</f>
        <v/>
      </c>
      <c r="F1862" s="2">
        <f>C1862*INDEX(Products!$D$2:$D$201,MATCH(B1862,Products!$A$2:$A$201,0))</f>
        <v/>
      </c>
      <c r="G1862" s="2">
        <f>E1862-F1862</f>
        <v/>
      </c>
    </row>
    <row r="1863" ht="15" customHeight="1" s="1">
      <c r="A1863" s="2" t="n">
        <v>51861</v>
      </c>
      <c r="B1863" s="2" t="inlineStr">
        <is>
          <t>SKU-0090</t>
        </is>
      </c>
      <c r="C1863" s="2" t="n">
        <v>6</v>
      </c>
      <c r="D1863" s="2">
        <f>VLOOKUP(B1863,Products!$A$2:$D$201,3,FALSE())</f>
        <v/>
      </c>
      <c r="E1863" s="2">
        <f>C1863*D1863</f>
        <v/>
      </c>
      <c r="F1863" s="2">
        <f>C1863*INDEX(Products!$D$2:$D$201,MATCH(B1863,Products!$A$2:$A$201,0))</f>
        <v/>
      </c>
      <c r="G1863" s="2">
        <f>E1863-F1863</f>
        <v/>
      </c>
    </row>
    <row r="1864" ht="15" customHeight="1" s="1">
      <c r="A1864" s="2" t="n">
        <v>51862</v>
      </c>
      <c r="B1864" s="2" t="inlineStr">
        <is>
          <t>SKU-0013</t>
        </is>
      </c>
      <c r="C1864" s="2" t="n">
        <v>4</v>
      </c>
      <c r="D1864" s="2">
        <f>VLOOKUP(B1864,Products!$A$2:$D$201,3,FALSE())</f>
        <v/>
      </c>
      <c r="E1864" s="2">
        <f>C1864*D1864</f>
        <v/>
      </c>
      <c r="F1864" s="2">
        <f>C1864*INDEX(Products!$D$2:$D$201,MATCH(B1864,Products!$A$2:$A$201,0))</f>
        <v/>
      </c>
      <c r="G1864" s="2">
        <f>E1864-F1864</f>
        <v/>
      </c>
    </row>
    <row r="1865" ht="15" customHeight="1" s="1">
      <c r="A1865" s="2" t="n">
        <v>51863</v>
      </c>
      <c r="B1865" s="2" t="inlineStr">
        <is>
          <t>SKU-0107</t>
        </is>
      </c>
      <c r="C1865" s="2" t="n">
        <v>3</v>
      </c>
      <c r="D1865" s="2">
        <f>VLOOKUP(B1865,Products!$A$2:$D$201,3,FALSE())</f>
        <v/>
      </c>
      <c r="E1865" s="2">
        <f>C1865*D1865</f>
        <v/>
      </c>
      <c r="F1865" s="2">
        <f>C1865*INDEX(Products!$D$2:$D$201,MATCH(B1865,Products!$A$2:$A$201,0))</f>
        <v/>
      </c>
      <c r="G1865" s="2">
        <f>E1865-F1865</f>
        <v/>
      </c>
    </row>
    <row r="1866" ht="15" customHeight="1" s="1">
      <c r="A1866" s="2" t="n">
        <v>51864</v>
      </c>
      <c r="B1866" s="2" t="inlineStr">
        <is>
          <t>SKU-0039</t>
        </is>
      </c>
      <c r="C1866" s="2" t="n">
        <v>10</v>
      </c>
      <c r="D1866" s="2">
        <f>VLOOKUP(B1866,Products!$A$2:$D$201,3,FALSE())</f>
        <v/>
      </c>
      <c r="E1866" s="2">
        <f>C1866*D1866</f>
        <v/>
      </c>
      <c r="F1866" s="2">
        <f>C1866*INDEX(Products!$D$2:$D$201,MATCH(B1866,Products!$A$2:$A$201,0))</f>
        <v/>
      </c>
      <c r="G1866" s="2">
        <f>E1866-F1866</f>
        <v/>
      </c>
    </row>
    <row r="1867" ht="15" customHeight="1" s="1">
      <c r="A1867" s="2" t="n">
        <v>51865</v>
      </c>
      <c r="B1867" s="2" t="inlineStr">
        <is>
          <t>SKU-0021</t>
        </is>
      </c>
      <c r="C1867" s="2" t="n">
        <v>9</v>
      </c>
      <c r="D1867" s="2">
        <f>VLOOKUP(B1867,Products!$A$2:$D$201,3,FALSE())</f>
        <v/>
      </c>
      <c r="E1867" s="2">
        <f>C1867*D1867</f>
        <v/>
      </c>
      <c r="F1867" s="2">
        <f>C1867*INDEX(Products!$D$2:$D$201,MATCH(B1867,Products!$A$2:$A$201,0))</f>
        <v/>
      </c>
      <c r="G1867" s="2">
        <f>E1867-F1867</f>
        <v/>
      </c>
    </row>
    <row r="1868" ht="15" customHeight="1" s="1">
      <c r="A1868" s="2" t="n">
        <v>51866</v>
      </c>
      <c r="B1868" s="2" t="inlineStr">
        <is>
          <t>SKU-0157</t>
        </is>
      </c>
      <c r="C1868" s="2" t="n">
        <v>12</v>
      </c>
      <c r="D1868" s="2">
        <f>VLOOKUP(B1868,Products!$A$2:$D$201,3,FALSE())</f>
        <v/>
      </c>
      <c r="E1868" s="2">
        <f>C1868*D1868</f>
        <v/>
      </c>
      <c r="F1868" s="2">
        <f>C1868*INDEX(Products!$D$2:$D$201,MATCH(B1868,Products!$A$2:$A$201,0))</f>
        <v/>
      </c>
      <c r="G1868" s="2">
        <f>E1868-F1868</f>
        <v/>
      </c>
    </row>
    <row r="1869" ht="15" customHeight="1" s="1">
      <c r="A1869" s="2" t="n">
        <v>51867</v>
      </c>
      <c r="B1869" s="2" t="inlineStr">
        <is>
          <t>SKU-0164</t>
        </is>
      </c>
      <c r="C1869" s="2" t="n">
        <v>18</v>
      </c>
      <c r="D1869" s="2">
        <f>VLOOKUP(B1869,Products!$A$2:$D$201,3,FALSE())</f>
        <v/>
      </c>
      <c r="E1869" s="2">
        <f>C1869*D1869</f>
        <v/>
      </c>
      <c r="F1869" s="2">
        <f>C1869*INDEX(Products!$D$2:$D$201,MATCH(B1869,Products!$A$2:$A$201,0))</f>
        <v/>
      </c>
      <c r="G1869" s="2">
        <f>E1869-F1869</f>
        <v/>
      </c>
    </row>
    <row r="1870" ht="15" customHeight="1" s="1">
      <c r="A1870" s="2" t="n">
        <v>51868</v>
      </c>
      <c r="B1870" s="2" t="inlineStr">
        <is>
          <t>SKU-0079</t>
        </is>
      </c>
      <c r="C1870" s="2" t="n">
        <v>7</v>
      </c>
      <c r="D1870" s="2">
        <f>VLOOKUP(B1870,Products!$A$2:$D$201,3,FALSE())</f>
        <v/>
      </c>
      <c r="E1870" s="2">
        <f>C1870*D1870</f>
        <v/>
      </c>
      <c r="F1870" s="2">
        <f>C1870*INDEX(Products!$D$2:$D$201,MATCH(B1870,Products!$A$2:$A$201,0))</f>
        <v/>
      </c>
      <c r="G1870" s="2">
        <f>E1870-F1870</f>
        <v/>
      </c>
    </row>
    <row r="1871" ht="15" customHeight="1" s="1">
      <c r="A1871" s="2" t="n">
        <v>51869</v>
      </c>
      <c r="B1871" s="2" t="inlineStr">
        <is>
          <t>SKU-0187</t>
        </is>
      </c>
      <c r="C1871" s="2" t="n">
        <v>18</v>
      </c>
      <c r="D1871" s="2">
        <f>VLOOKUP(B1871,Products!$A$2:$D$201,3,FALSE())</f>
        <v/>
      </c>
      <c r="E1871" s="2">
        <f>C1871*D1871</f>
        <v/>
      </c>
      <c r="F1871" s="2">
        <f>C1871*INDEX(Products!$D$2:$D$201,MATCH(B1871,Products!$A$2:$A$201,0))</f>
        <v/>
      </c>
      <c r="G1871" s="2">
        <f>E1871-F1871</f>
        <v/>
      </c>
    </row>
    <row r="1872" ht="15" customHeight="1" s="1">
      <c r="A1872" s="2" t="n">
        <v>51870</v>
      </c>
      <c r="B1872" s="2" t="inlineStr">
        <is>
          <t>SKU-0170</t>
        </is>
      </c>
      <c r="C1872" s="2" t="n">
        <v>17</v>
      </c>
      <c r="D1872" s="2">
        <f>VLOOKUP(B1872,Products!$A$2:$D$201,3,FALSE())</f>
        <v/>
      </c>
      <c r="E1872" s="2">
        <f>C1872*D1872</f>
        <v/>
      </c>
      <c r="F1872" s="2">
        <f>C1872*INDEX(Products!$D$2:$D$201,MATCH(B1872,Products!$A$2:$A$201,0))</f>
        <v/>
      </c>
      <c r="G1872" s="2">
        <f>E1872-F1872</f>
        <v/>
      </c>
    </row>
    <row r="1873" ht="15" customHeight="1" s="1">
      <c r="A1873" s="2" t="n">
        <v>51871</v>
      </c>
      <c r="B1873" s="2" t="inlineStr">
        <is>
          <t>SKU-0007</t>
        </is>
      </c>
      <c r="C1873" s="2" t="n">
        <v>7</v>
      </c>
      <c r="D1873" s="2">
        <f>VLOOKUP(B1873,Products!$A$2:$D$201,3,FALSE())</f>
        <v/>
      </c>
      <c r="E1873" s="2">
        <f>C1873*D1873</f>
        <v/>
      </c>
      <c r="F1873" s="2">
        <f>C1873*INDEX(Products!$D$2:$D$201,MATCH(B1873,Products!$A$2:$A$201,0))</f>
        <v/>
      </c>
      <c r="G1873" s="2">
        <f>E1873-F1873</f>
        <v/>
      </c>
    </row>
    <row r="1874" ht="15" customHeight="1" s="1">
      <c r="A1874" s="2" t="n">
        <v>51872</v>
      </c>
      <c r="B1874" s="2" t="inlineStr">
        <is>
          <t>SKU-0029</t>
        </is>
      </c>
      <c r="C1874" s="2" t="n">
        <v>3</v>
      </c>
      <c r="D1874" s="2">
        <f>VLOOKUP(B1874,Products!$A$2:$D$201,3,FALSE())</f>
        <v/>
      </c>
      <c r="E1874" s="2">
        <f>C1874*D1874</f>
        <v/>
      </c>
      <c r="F1874" s="2">
        <f>C1874*INDEX(Products!$D$2:$D$201,MATCH(B1874,Products!$A$2:$A$201,0))</f>
        <v/>
      </c>
      <c r="G1874" s="2">
        <f>E1874-F1874</f>
        <v/>
      </c>
    </row>
    <row r="1875" ht="15" customHeight="1" s="1">
      <c r="A1875" s="2" t="n">
        <v>51873</v>
      </c>
      <c r="B1875" s="2" t="inlineStr">
        <is>
          <t>SKU-0106</t>
        </is>
      </c>
      <c r="C1875" s="2" t="n">
        <v>5</v>
      </c>
      <c r="D1875" s="2">
        <f>VLOOKUP(B1875,Products!$A$2:$D$201,3,FALSE())</f>
        <v/>
      </c>
      <c r="E1875" s="2">
        <f>C1875*D1875</f>
        <v/>
      </c>
      <c r="F1875" s="2">
        <f>C1875*INDEX(Products!$D$2:$D$201,MATCH(B1875,Products!$A$2:$A$201,0))</f>
        <v/>
      </c>
      <c r="G1875" s="2">
        <f>E1875-F1875</f>
        <v/>
      </c>
    </row>
    <row r="1876" ht="15" customHeight="1" s="1">
      <c r="A1876" s="2" t="n">
        <v>51874</v>
      </c>
      <c r="B1876" s="2" t="inlineStr">
        <is>
          <t>SKU-0115</t>
        </is>
      </c>
      <c r="C1876" s="2" t="n">
        <v>15</v>
      </c>
      <c r="D1876" s="2">
        <f>VLOOKUP(B1876,Products!$A$2:$D$201,3,FALSE())</f>
        <v/>
      </c>
      <c r="E1876" s="2">
        <f>C1876*D1876</f>
        <v/>
      </c>
      <c r="F1876" s="2">
        <f>C1876*INDEX(Products!$D$2:$D$201,MATCH(B1876,Products!$A$2:$A$201,0))</f>
        <v/>
      </c>
      <c r="G1876" s="2">
        <f>E1876-F1876</f>
        <v/>
      </c>
    </row>
    <row r="1877" ht="15" customHeight="1" s="1">
      <c r="A1877" s="2" t="n">
        <v>51875</v>
      </c>
      <c r="B1877" s="2" t="inlineStr">
        <is>
          <t>SKU-0062</t>
        </is>
      </c>
      <c r="C1877" s="2" t="n">
        <v>13</v>
      </c>
      <c r="D1877" s="2">
        <f>VLOOKUP(B1877,Products!$A$2:$D$201,3,FALSE())</f>
        <v/>
      </c>
      <c r="E1877" s="2">
        <f>C1877*D1877</f>
        <v/>
      </c>
      <c r="F1877" s="2">
        <f>C1877*INDEX(Products!$D$2:$D$201,MATCH(B1877,Products!$A$2:$A$201,0))</f>
        <v/>
      </c>
      <c r="G1877" s="2">
        <f>E1877-F1877</f>
        <v/>
      </c>
    </row>
    <row r="1878" ht="15" customHeight="1" s="1">
      <c r="A1878" s="2" t="n">
        <v>51876</v>
      </c>
      <c r="B1878" s="2" t="inlineStr">
        <is>
          <t>SKU-0004</t>
        </is>
      </c>
      <c r="C1878" s="2" t="n">
        <v>8</v>
      </c>
      <c r="D1878" s="2">
        <f>VLOOKUP(B1878,Products!$A$2:$D$201,3,FALSE())</f>
        <v/>
      </c>
      <c r="E1878" s="2">
        <f>C1878*D1878</f>
        <v/>
      </c>
      <c r="F1878" s="2">
        <f>C1878*INDEX(Products!$D$2:$D$201,MATCH(B1878,Products!$A$2:$A$201,0))</f>
        <v/>
      </c>
      <c r="G1878" s="2">
        <f>E1878-F1878</f>
        <v/>
      </c>
    </row>
    <row r="1879" ht="15" customHeight="1" s="1">
      <c r="A1879" s="2" t="n">
        <v>51877</v>
      </c>
      <c r="B1879" s="2" t="inlineStr">
        <is>
          <t>SKU-0155</t>
        </is>
      </c>
      <c r="C1879" s="2" t="n">
        <v>17</v>
      </c>
      <c r="D1879" s="2">
        <f>VLOOKUP(B1879,Products!$A$2:$D$201,3,FALSE())</f>
        <v/>
      </c>
      <c r="E1879" s="2">
        <f>C1879*D1879</f>
        <v/>
      </c>
      <c r="F1879" s="2">
        <f>C1879*INDEX(Products!$D$2:$D$201,MATCH(B1879,Products!$A$2:$A$201,0))</f>
        <v/>
      </c>
      <c r="G1879" s="2">
        <f>E1879-F1879</f>
        <v/>
      </c>
    </row>
    <row r="1880" ht="15" customHeight="1" s="1">
      <c r="A1880" s="2" t="n">
        <v>51878</v>
      </c>
      <c r="B1880" s="2" t="inlineStr">
        <is>
          <t>SKU-0119</t>
        </is>
      </c>
      <c r="C1880" s="2" t="n">
        <v>19</v>
      </c>
      <c r="D1880" s="2">
        <f>VLOOKUP(B1880,Products!$A$2:$D$201,3,FALSE())</f>
        <v/>
      </c>
      <c r="E1880" s="2">
        <f>C1880*D1880</f>
        <v/>
      </c>
      <c r="F1880" s="2">
        <f>C1880*INDEX(Products!$D$2:$D$201,MATCH(B1880,Products!$A$2:$A$201,0))</f>
        <v/>
      </c>
      <c r="G1880" s="2">
        <f>E1880-F1880</f>
        <v/>
      </c>
    </row>
    <row r="1881" ht="15" customHeight="1" s="1">
      <c r="A1881" s="2" t="n">
        <v>51879</v>
      </c>
      <c r="B1881" s="2" t="inlineStr">
        <is>
          <t>SKU-0008</t>
        </is>
      </c>
      <c r="C1881" s="2" t="n">
        <v>3</v>
      </c>
      <c r="D1881" s="2">
        <f>VLOOKUP(B1881,Products!$A$2:$D$201,3,FALSE())</f>
        <v/>
      </c>
      <c r="E1881" s="2">
        <f>C1881*D1881</f>
        <v/>
      </c>
      <c r="F1881" s="2">
        <f>C1881*INDEX(Products!$D$2:$D$201,MATCH(B1881,Products!$A$2:$A$201,0))</f>
        <v/>
      </c>
      <c r="G1881" s="2">
        <f>E1881-F1881</f>
        <v/>
      </c>
    </row>
    <row r="1882" ht="15" customHeight="1" s="1">
      <c r="A1882" s="2" t="n">
        <v>51880</v>
      </c>
      <c r="B1882" s="2" t="inlineStr">
        <is>
          <t>SKU-0124</t>
        </is>
      </c>
      <c r="C1882" s="2" t="n">
        <v>7</v>
      </c>
      <c r="D1882" s="2">
        <f>VLOOKUP(B1882,Products!$A$2:$D$201,3,FALSE())</f>
        <v/>
      </c>
      <c r="E1882" s="2">
        <f>C1882*D1882</f>
        <v/>
      </c>
      <c r="F1882" s="2">
        <f>C1882*INDEX(Products!$D$2:$D$201,MATCH(B1882,Products!$A$2:$A$201,0))</f>
        <v/>
      </c>
      <c r="G1882" s="2">
        <f>E1882-F1882</f>
        <v/>
      </c>
    </row>
    <row r="1883" ht="15" customHeight="1" s="1">
      <c r="A1883" s="2" t="n">
        <v>51881</v>
      </c>
      <c r="B1883" s="2" t="inlineStr">
        <is>
          <t>SKU-0108</t>
        </is>
      </c>
      <c r="C1883" s="2" t="n">
        <v>8</v>
      </c>
      <c r="D1883" s="2">
        <f>VLOOKUP(B1883,Products!$A$2:$D$201,3,FALSE())</f>
        <v/>
      </c>
      <c r="E1883" s="2">
        <f>C1883*D1883</f>
        <v/>
      </c>
      <c r="F1883" s="2">
        <f>C1883*INDEX(Products!$D$2:$D$201,MATCH(B1883,Products!$A$2:$A$201,0))</f>
        <v/>
      </c>
      <c r="G1883" s="2">
        <f>E1883-F1883</f>
        <v/>
      </c>
    </row>
    <row r="1884" ht="15" customHeight="1" s="1">
      <c r="A1884" s="2" t="n">
        <v>51882</v>
      </c>
      <c r="B1884" s="2" t="inlineStr">
        <is>
          <t>SKU-0014</t>
        </is>
      </c>
      <c r="C1884" s="2" t="n">
        <v>3</v>
      </c>
      <c r="D1884" s="2">
        <f>VLOOKUP(B1884,Products!$A$2:$D$201,3,FALSE())</f>
        <v/>
      </c>
      <c r="E1884" s="2">
        <f>C1884*D1884</f>
        <v/>
      </c>
      <c r="F1884" s="2">
        <f>C1884*INDEX(Products!$D$2:$D$201,MATCH(B1884,Products!$A$2:$A$201,0))</f>
        <v/>
      </c>
      <c r="G1884" s="2">
        <f>E1884-F1884</f>
        <v/>
      </c>
    </row>
    <row r="1885" ht="15" customHeight="1" s="1">
      <c r="A1885" s="2" t="n">
        <v>51883</v>
      </c>
      <c r="B1885" s="2" t="inlineStr">
        <is>
          <t>SKU-0098</t>
        </is>
      </c>
      <c r="C1885" s="2" t="n">
        <v>19</v>
      </c>
      <c r="D1885" s="2">
        <f>VLOOKUP(B1885,Products!$A$2:$D$201,3,FALSE())</f>
        <v/>
      </c>
      <c r="E1885" s="2">
        <f>C1885*D1885</f>
        <v/>
      </c>
      <c r="F1885" s="2">
        <f>C1885*INDEX(Products!$D$2:$D$201,MATCH(B1885,Products!$A$2:$A$201,0))</f>
        <v/>
      </c>
      <c r="G1885" s="2">
        <f>E1885-F1885</f>
        <v/>
      </c>
    </row>
    <row r="1886" ht="15" customHeight="1" s="1">
      <c r="A1886" s="2" t="n">
        <v>51884</v>
      </c>
      <c r="B1886" s="2" t="inlineStr">
        <is>
          <t>SKU-0155</t>
        </is>
      </c>
      <c r="C1886" s="2" t="n">
        <v>8</v>
      </c>
      <c r="D1886" s="2">
        <f>VLOOKUP(B1886,Products!$A$2:$D$201,3,FALSE())</f>
        <v/>
      </c>
      <c r="E1886" s="2">
        <f>C1886*D1886</f>
        <v/>
      </c>
      <c r="F1886" s="2">
        <f>C1886*INDEX(Products!$D$2:$D$201,MATCH(B1886,Products!$A$2:$A$201,0))</f>
        <v/>
      </c>
      <c r="G1886" s="2">
        <f>E1886-F1886</f>
        <v/>
      </c>
    </row>
    <row r="1887" ht="15" customHeight="1" s="1">
      <c r="A1887" s="2" t="n">
        <v>51885</v>
      </c>
      <c r="B1887" s="2" t="inlineStr">
        <is>
          <t>SKU-0112</t>
        </is>
      </c>
      <c r="C1887" s="2" t="n">
        <v>2</v>
      </c>
      <c r="D1887" s="2">
        <f>VLOOKUP(B1887,Products!$A$2:$D$201,3,FALSE())</f>
        <v/>
      </c>
      <c r="E1887" s="2">
        <f>C1887*D1887</f>
        <v/>
      </c>
      <c r="F1887" s="2">
        <f>C1887*INDEX(Products!$D$2:$D$201,MATCH(B1887,Products!$A$2:$A$201,0))</f>
        <v/>
      </c>
      <c r="G1887" s="2">
        <f>E1887-F1887</f>
        <v/>
      </c>
    </row>
    <row r="1888" ht="15" customHeight="1" s="1">
      <c r="A1888" s="2" t="n">
        <v>51886</v>
      </c>
      <c r="B1888" s="2" t="inlineStr">
        <is>
          <t>SKU-0137</t>
        </is>
      </c>
      <c r="C1888" s="2" t="n">
        <v>9</v>
      </c>
      <c r="D1888" s="2">
        <f>VLOOKUP(B1888,Products!$A$2:$D$201,3,FALSE())</f>
        <v/>
      </c>
      <c r="E1888" s="2">
        <f>C1888*D1888</f>
        <v/>
      </c>
      <c r="F1888" s="2">
        <f>C1888*INDEX(Products!$D$2:$D$201,MATCH(B1888,Products!$A$2:$A$201,0))</f>
        <v/>
      </c>
      <c r="G1888" s="2">
        <f>E1888-F1888</f>
        <v/>
      </c>
    </row>
    <row r="1889" ht="15" customHeight="1" s="1">
      <c r="A1889" s="2" t="n">
        <v>51887</v>
      </c>
      <c r="B1889" s="2" t="inlineStr">
        <is>
          <t>SKU-0088</t>
        </is>
      </c>
      <c r="C1889" s="2" t="n">
        <v>20</v>
      </c>
      <c r="D1889" s="2">
        <f>VLOOKUP(B1889,Products!$A$2:$D$201,3,FALSE())</f>
        <v/>
      </c>
      <c r="E1889" s="2">
        <f>C1889*D1889</f>
        <v/>
      </c>
      <c r="F1889" s="2">
        <f>C1889*INDEX(Products!$D$2:$D$201,MATCH(B1889,Products!$A$2:$A$201,0))</f>
        <v/>
      </c>
      <c r="G1889" s="2">
        <f>E1889-F1889</f>
        <v/>
      </c>
    </row>
    <row r="1890" ht="15" customHeight="1" s="1">
      <c r="A1890" s="2" t="n">
        <v>51888</v>
      </c>
      <c r="B1890" s="2" t="inlineStr">
        <is>
          <t>SKU-0192</t>
        </is>
      </c>
      <c r="C1890" s="2" t="n">
        <v>4</v>
      </c>
      <c r="D1890" s="2">
        <f>VLOOKUP(B1890,Products!$A$2:$D$201,3,FALSE())</f>
        <v/>
      </c>
      <c r="E1890" s="2">
        <f>C1890*D1890</f>
        <v/>
      </c>
      <c r="F1890" s="2">
        <f>C1890*INDEX(Products!$D$2:$D$201,MATCH(B1890,Products!$A$2:$A$201,0))</f>
        <v/>
      </c>
      <c r="G1890" s="2">
        <f>E1890-F1890</f>
        <v/>
      </c>
    </row>
    <row r="1891" ht="15" customHeight="1" s="1">
      <c r="A1891" s="2" t="n">
        <v>51889</v>
      </c>
      <c r="B1891" s="2" t="inlineStr">
        <is>
          <t>SKU-0065</t>
        </is>
      </c>
      <c r="C1891" s="2" t="n">
        <v>4</v>
      </c>
      <c r="D1891" s="2">
        <f>VLOOKUP(B1891,Products!$A$2:$D$201,3,FALSE())</f>
        <v/>
      </c>
      <c r="E1891" s="2">
        <f>C1891*D1891</f>
        <v/>
      </c>
      <c r="F1891" s="2">
        <f>C1891*INDEX(Products!$D$2:$D$201,MATCH(B1891,Products!$A$2:$A$201,0))</f>
        <v/>
      </c>
      <c r="G1891" s="2">
        <f>E1891-F1891</f>
        <v/>
      </c>
    </row>
    <row r="1892" ht="15" customHeight="1" s="1">
      <c r="A1892" s="2" t="n">
        <v>51890</v>
      </c>
      <c r="B1892" s="2" t="inlineStr">
        <is>
          <t>SKU-0145</t>
        </is>
      </c>
      <c r="C1892" s="2" t="n">
        <v>15</v>
      </c>
      <c r="D1892" s="2">
        <f>VLOOKUP(B1892,Products!$A$2:$D$201,3,FALSE())</f>
        <v/>
      </c>
      <c r="E1892" s="2">
        <f>C1892*D1892</f>
        <v/>
      </c>
      <c r="F1892" s="2">
        <f>C1892*INDEX(Products!$D$2:$D$201,MATCH(B1892,Products!$A$2:$A$201,0))</f>
        <v/>
      </c>
      <c r="G1892" s="2">
        <f>E1892-F1892</f>
        <v/>
      </c>
    </row>
    <row r="1893" ht="15" customHeight="1" s="1">
      <c r="A1893" s="2" t="n">
        <v>51891</v>
      </c>
      <c r="B1893" s="2" t="inlineStr">
        <is>
          <t>SKU-0114</t>
        </is>
      </c>
      <c r="C1893" s="2" t="n">
        <v>7</v>
      </c>
      <c r="D1893" s="2">
        <f>VLOOKUP(B1893,Products!$A$2:$D$201,3,FALSE())</f>
        <v/>
      </c>
      <c r="E1893" s="2">
        <f>C1893*D1893</f>
        <v/>
      </c>
      <c r="F1893" s="2">
        <f>C1893*INDEX(Products!$D$2:$D$201,MATCH(B1893,Products!$A$2:$A$201,0))</f>
        <v/>
      </c>
      <c r="G1893" s="2">
        <f>E1893-F1893</f>
        <v/>
      </c>
    </row>
    <row r="1894" ht="15" customHeight="1" s="1">
      <c r="A1894" s="2" t="n">
        <v>51892</v>
      </c>
      <c r="B1894" s="2" t="inlineStr">
        <is>
          <t>SKU-0154</t>
        </is>
      </c>
      <c r="C1894" s="2" t="n">
        <v>2</v>
      </c>
      <c r="D1894" s="2">
        <f>VLOOKUP(B1894,Products!$A$2:$D$201,3,FALSE())</f>
        <v/>
      </c>
      <c r="E1894" s="2">
        <f>C1894*D1894</f>
        <v/>
      </c>
      <c r="F1894" s="2">
        <f>C1894*INDEX(Products!$D$2:$D$201,MATCH(B1894,Products!$A$2:$A$201,0))</f>
        <v/>
      </c>
      <c r="G1894" s="2">
        <f>E1894-F1894</f>
        <v/>
      </c>
    </row>
    <row r="1895" ht="15" customHeight="1" s="1">
      <c r="A1895" s="2" t="n">
        <v>51893</v>
      </c>
      <c r="B1895" s="2" t="inlineStr">
        <is>
          <t>SKU-0154</t>
        </is>
      </c>
      <c r="C1895" s="2" t="n">
        <v>13</v>
      </c>
      <c r="D1895" s="2">
        <f>VLOOKUP(B1895,Products!$A$2:$D$201,3,FALSE())</f>
        <v/>
      </c>
      <c r="E1895" s="2">
        <f>C1895*D1895</f>
        <v/>
      </c>
      <c r="F1895" s="2">
        <f>C1895*INDEX(Products!$D$2:$D$201,MATCH(B1895,Products!$A$2:$A$201,0))</f>
        <v/>
      </c>
      <c r="G1895" s="2">
        <f>E1895-F1895</f>
        <v/>
      </c>
    </row>
    <row r="1896" ht="15" customHeight="1" s="1">
      <c r="A1896" s="2" t="n">
        <v>51894</v>
      </c>
      <c r="B1896" s="2" t="inlineStr">
        <is>
          <t>SKU-0039</t>
        </is>
      </c>
      <c r="C1896" s="2" t="n">
        <v>2</v>
      </c>
      <c r="D1896" s="2">
        <f>VLOOKUP(B1896,Products!$A$2:$D$201,3,FALSE())</f>
        <v/>
      </c>
      <c r="E1896" s="2">
        <f>C1896*D1896</f>
        <v/>
      </c>
      <c r="F1896" s="2">
        <f>C1896*INDEX(Products!$D$2:$D$201,MATCH(B1896,Products!$A$2:$A$201,0))</f>
        <v/>
      </c>
      <c r="G1896" s="2">
        <f>E1896-F1896</f>
        <v/>
      </c>
    </row>
    <row r="1897" ht="15" customHeight="1" s="1">
      <c r="A1897" s="2" t="n">
        <v>51895</v>
      </c>
      <c r="B1897" s="2" t="inlineStr">
        <is>
          <t>SKU-0066</t>
        </is>
      </c>
      <c r="C1897" s="2" t="n">
        <v>10</v>
      </c>
      <c r="D1897" s="2">
        <f>VLOOKUP(B1897,Products!$A$2:$D$201,3,FALSE())</f>
        <v/>
      </c>
      <c r="E1897" s="2">
        <f>C1897*D1897</f>
        <v/>
      </c>
      <c r="F1897" s="2">
        <f>C1897*INDEX(Products!$D$2:$D$201,MATCH(B1897,Products!$A$2:$A$201,0))</f>
        <v/>
      </c>
      <c r="G1897" s="2">
        <f>E1897-F1897</f>
        <v/>
      </c>
    </row>
    <row r="1898" ht="15" customHeight="1" s="1">
      <c r="A1898" s="2" t="n">
        <v>51896</v>
      </c>
      <c r="B1898" s="2" t="inlineStr">
        <is>
          <t>SKU-0019</t>
        </is>
      </c>
      <c r="C1898" s="2" t="n">
        <v>10</v>
      </c>
      <c r="D1898" s="2">
        <f>VLOOKUP(B1898,Products!$A$2:$D$201,3,FALSE())</f>
        <v/>
      </c>
      <c r="E1898" s="2">
        <f>C1898*D1898</f>
        <v/>
      </c>
      <c r="F1898" s="2">
        <f>C1898*INDEX(Products!$D$2:$D$201,MATCH(B1898,Products!$A$2:$A$201,0))</f>
        <v/>
      </c>
      <c r="G1898" s="2">
        <f>E1898-F1898</f>
        <v/>
      </c>
    </row>
    <row r="1899" ht="15" customHeight="1" s="1">
      <c r="A1899" s="2" t="n">
        <v>51897</v>
      </c>
      <c r="B1899" s="2" t="inlineStr">
        <is>
          <t>SKU-0028</t>
        </is>
      </c>
      <c r="C1899" s="2" t="n">
        <v>17</v>
      </c>
      <c r="D1899" s="2">
        <f>VLOOKUP(B1899,Products!$A$2:$D$201,3,FALSE())</f>
        <v/>
      </c>
      <c r="E1899" s="2">
        <f>C1899*D1899</f>
        <v/>
      </c>
      <c r="F1899" s="2">
        <f>C1899*INDEX(Products!$D$2:$D$201,MATCH(B1899,Products!$A$2:$A$201,0))</f>
        <v/>
      </c>
      <c r="G1899" s="2">
        <f>E1899-F1899</f>
        <v/>
      </c>
    </row>
    <row r="1900" ht="15" customHeight="1" s="1">
      <c r="A1900" s="2" t="n">
        <v>51898</v>
      </c>
      <c r="B1900" s="2" t="inlineStr">
        <is>
          <t>SKU-0143</t>
        </is>
      </c>
      <c r="C1900" s="2" t="n">
        <v>19</v>
      </c>
      <c r="D1900" s="2">
        <f>VLOOKUP(B1900,Products!$A$2:$D$201,3,FALSE())</f>
        <v/>
      </c>
      <c r="E1900" s="2">
        <f>C1900*D1900</f>
        <v/>
      </c>
      <c r="F1900" s="2">
        <f>C1900*INDEX(Products!$D$2:$D$201,MATCH(B1900,Products!$A$2:$A$201,0))</f>
        <v/>
      </c>
      <c r="G1900" s="2">
        <f>E1900-F1900</f>
        <v/>
      </c>
    </row>
    <row r="1901" ht="15" customHeight="1" s="1">
      <c r="A1901" s="2" t="n">
        <v>51899</v>
      </c>
      <c r="B1901" s="2" t="inlineStr">
        <is>
          <t>SKU-0144</t>
        </is>
      </c>
      <c r="C1901" s="2" t="n">
        <v>7</v>
      </c>
      <c r="D1901" s="2">
        <f>VLOOKUP(B1901,Products!$A$2:$D$201,3,FALSE())</f>
        <v/>
      </c>
      <c r="E1901" s="2">
        <f>C1901*D1901</f>
        <v/>
      </c>
      <c r="F1901" s="2">
        <f>C1901*INDEX(Products!$D$2:$D$201,MATCH(B1901,Products!$A$2:$A$201,0))</f>
        <v/>
      </c>
      <c r="G1901" s="2">
        <f>E1901-F1901</f>
        <v/>
      </c>
    </row>
    <row r="1902" ht="15" customHeight="1" s="1">
      <c r="A1902" s="2" t="n">
        <v>51900</v>
      </c>
      <c r="B1902" s="2" t="inlineStr">
        <is>
          <t>SKU-0044</t>
        </is>
      </c>
      <c r="C1902" s="2" t="n">
        <v>13</v>
      </c>
      <c r="D1902" s="2">
        <f>VLOOKUP(B1902,Products!$A$2:$D$201,3,FALSE())</f>
        <v/>
      </c>
      <c r="E1902" s="2">
        <f>C1902*D1902</f>
        <v/>
      </c>
      <c r="F1902" s="2">
        <f>C1902*INDEX(Products!$D$2:$D$201,MATCH(B1902,Products!$A$2:$A$201,0))</f>
        <v/>
      </c>
      <c r="G1902" s="2">
        <f>E1902-F1902</f>
        <v/>
      </c>
    </row>
    <row r="1903" ht="15" customHeight="1" s="1">
      <c r="A1903" s="2" t="n">
        <v>51901</v>
      </c>
      <c r="B1903" s="2" t="inlineStr">
        <is>
          <t>SKU-0146</t>
        </is>
      </c>
      <c r="C1903" s="2" t="n">
        <v>9</v>
      </c>
      <c r="D1903" s="2">
        <f>VLOOKUP(B1903,Products!$A$2:$D$201,3,FALSE())</f>
        <v/>
      </c>
      <c r="E1903" s="2">
        <f>C1903*D1903</f>
        <v/>
      </c>
      <c r="F1903" s="2">
        <f>C1903*INDEX(Products!$D$2:$D$201,MATCH(B1903,Products!$A$2:$A$201,0))</f>
        <v/>
      </c>
      <c r="G1903" s="2">
        <f>E1903-F1903</f>
        <v/>
      </c>
    </row>
    <row r="1904" ht="15" customHeight="1" s="1">
      <c r="A1904" s="2" t="n">
        <v>51902</v>
      </c>
      <c r="B1904" s="2" t="inlineStr">
        <is>
          <t>SKU-0151</t>
        </is>
      </c>
      <c r="C1904" s="2" t="n">
        <v>14</v>
      </c>
      <c r="D1904" s="2">
        <f>VLOOKUP(B1904,Products!$A$2:$D$201,3,FALSE())</f>
        <v/>
      </c>
      <c r="E1904" s="2">
        <f>C1904*D1904</f>
        <v/>
      </c>
      <c r="F1904" s="2">
        <f>C1904*INDEX(Products!$D$2:$D$201,MATCH(B1904,Products!$A$2:$A$201,0))</f>
        <v/>
      </c>
      <c r="G1904" s="2">
        <f>E1904-F1904</f>
        <v/>
      </c>
    </row>
    <row r="1905" ht="15" customHeight="1" s="1">
      <c r="A1905" s="2" t="n">
        <v>51903</v>
      </c>
      <c r="B1905" s="2" t="inlineStr">
        <is>
          <t>SKU-0178</t>
        </is>
      </c>
      <c r="C1905" s="2" t="n">
        <v>4</v>
      </c>
      <c r="D1905" s="2">
        <f>VLOOKUP(B1905,Products!$A$2:$D$201,3,FALSE())</f>
        <v/>
      </c>
      <c r="E1905" s="2">
        <f>C1905*D1905</f>
        <v/>
      </c>
      <c r="F1905" s="2">
        <f>C1905*INDEX(Products!$D$2:$D$201,MATCH(B1905,Products!$A$2:$A$201,0))</f>
        <v/>
      </c>
      <c r="G1905" s="2">
        <f>E1905-F1905</f>
        <v/>
      </c>
    </row>
    <row r="1906" ht="15" customHeight="1" s="1">
      <c r="A1906" s="2" t="n">
        <v>51904</v>
      </c>
      <c r="B1906" s="2" t="inlineStr">
        <is>
          <t>SKU-0129</t>
        </is>
      </c>
      <c r="C1906" s="2" t="n">
        <v>14</v>
      </c>
      <c r="D1906" s="2">
        <f>VLOOKUP(B1906,Products!$A$2:$D$201,3,FALSE())</f>
        <v/>
      </c>
      <c r="E1906" s="2">
        <f>C1906*D1906</f>
        <v/>
      </c>
      <c r="F1906" s="2">
        <f>C1906*INDEX(Products!$D$2:$D$201,MATCH(B1906,Products!$A$2:$A$201,0))</f>
        <v/>
      </c>
      <c r="G1906" s="2">
        <f>E1906-F1906</f>
        <v/>
      </c>
    </row>
    <row r="1907" ht="15" customHeight="1" s="1">
      <c r="A1907" s="2" t="n">
        <v>51905</v>
      </c>
      <c r="B1907" s="2" t="inlineStr">
        <is>
          <t>SKU-0025</t>
        </is>
      </c>
      <c r="C1907" s="2" t="n">
        <v>9</v>
      </c>
      <c r="D1907" s="2">
        <f>VLOOKUP(B1907,Products!$A$2:$D$201,3,FALSE())</f>
        <v/>
      </c>
      <c r="E1907" s="2">
        <f>C1907*D1907</f>
        <v/>
      </c>
      <c r="F1907" s="2">
        <f>C1907*INDEX(Products!$D$2:$D$201,MATCH(B1907,Products!$A$2:$A$201,0))</f>
        <v/>
      </c>
      <c r="G1907" s="2">
        <f>E1907-F1907</f>
        <v/>
      </c>
    </row>
    <row r="1908" ht="15" customHeight="1" s="1">
      <c r="A1908" s="2" t="n">
        <v>51906</v>
      </c>
      <c r="B1908" s="2" t="inlineStr">
        <is>
          <t>SKU-0018</t>
        </is>
      </c>
      <c r="C1908" s="2" t="n">
        <v>19</v>
      </c>
      <c r="D1908" s="2">
        <f>VLOOKUP(B1908,Products!$A$2:$D$201,3,FALSE())</f>
        <v/>
      </c>
      <c r="E1908" s="2">
        <f>C1908*D1908</f>
        <v/>
      </c>
      <c r="F1908" s="2">
        <f>C1908*INDEX(Products!$D$2:$D$201,MATCH(B1908,Products!$A$2:$A$201,0))</f>
        <v/>
      </c>
      <c r="G1908" s="2">
        <f>E1908-F1908</f>
        <v/>
      </c>
    </row>
    <row r="1909" ht="15" customHeight="1" s="1">
      <c r="A1909" s="2" t="n">
        <v>51907</v>
      </c>
      <c r="B1909" s="2" t="inlineStr">
        <is>
          <t>SKU-0001</t>
        </is>
      </c>
      <c r="C1909" s="2" t="n">
        <v>5</v>
      </c>
      <c r="D1909" s="2">
        <f>VLOOKUP(B1909,Products!$A$2:$D$201,3,FALSE())</f>
        <v/>
      </c>
      <c r="E1909" s="2">
        <f>C1909*D1909</f>
        <v/>
      </c>
      <c r="F1909" s="2">
        <f>C1909*INDEX(Products!$D$2:$D$201,MATCH(B1909,Products!$A$2:$A$201,0))</f>
        <v/>
      </c>
      <c r="G1909" s="2">
        <f>E1909-F1909</f>
        <v/>
      </c>
    </row>
    <row r="1910" ht="15" customHeight="1" s="1">
      <c r="A1910" s="2" t="n">
        <v>51908</v>
      </c>
      <c r="B1910" s="2" t="inlineStr">
        <is>
          <t>SKU-0159</t>
        </is>
      </c>
      <c r="C1910" s="2" t="n">
        <v>4</v>
      </c>
      <c r="D1910" s="2">
        <f>VLOOKUP(B1910,Products!$A$2:$D$201,3,FALSE())</f>
        <v/>
      </c>
      <c r="E1910" s="2">
        <f>C1910*D1910</f>
        <v/>
      </c>
      <c r="F1910" s="2">
        <f>C1910*INDEX(Products!$D$2:$D$201,MATCH(B1910,Products!$A$2:$A$201,0))</f>
        <v/>
      </c>
      <c r="G1910" s="2">
        <f>E1910-F1910</f>
        <v/>
      </c>
    </row>
    <row r="1911" ht="15" customHeight="1" s="1">
      <c r="A1911" s="2" t="n">
        <v>51909</v>
      </c>
      <c r="B1911" s="2" t="inlineStr">
        <is>
          <t>SKU-0076</t>
        </is>
      </c>
      <c r="C1911" s="2" t="n">
        <v>3</v>
      </c>
      <c r="D1911" s="2">
        <f>VLOOKUP(B1911,Products!$A$2:$D$201,3,FALSE())</f>
        <v/>
      </c>
      <c r="E1911" s="2">
        <f>C1911*D1911</f>
        <v/>
      </c>
      <c r="F1911" s="2">
        <f>C1911*INDEX(Products!$D$2:$D$201,MATCH(B1911,Products!$A$2:$A$201,0))</f>
        <v/>
      </c>
      <c r="G1911" s="2">
        <f>E1911-F1911</f>
        <v/>
      </c>
    </row>
    <row r="1912" ht="15" customHeight="1" s="1">
      <c r="A1912" s="2" t="n">
        <v>51910</v>
      </c>
      <c r="B1912" s="2" t="inlineStr">
        <is>
          <t>SKU-0093</t>
        </is>
      </c>
      <c r="C1912" s="2" t="n">
        <v>9</v>
      </c>
      <c r="D1912" s="2">
        <f>VLOOKUP(B1912,Products!$A$2:$D$201,3,FALSE())</f>
        <v/>
      </c>
      <c r="E1912" s="2">
        <f>C1912*D1912</f>
        <v/>
      </c>
      <c r="F1912" s="2">
        <f>C1912*INDEX(Products!$D$2:$D$201,MATCH(B1912,Products!$A$2:$A$201,0))</f>
        <v/>
      </c>
      <c r="G1912" s="2">
        <f>E1912-F1912</f>
        <v/>
      </c>
    </row>
    <row r="1913" ht="15" customHeight="1" s="1">
      <c r="A1913" s="2" t="n">
        <v>51911</v>
      </c>
      <c r="B1913" s="2" t="inlineStr">
        <is>
          <t>SKU-0160</t>
        </is>
      </c>
      <c r="C1913" s="2" t="n">
        <v>18</v>
      </c>
      <c r="D1913" s="2">
        <f>VLOOKUP(B1913,Products!$A$2:$D$201,3,FALSE())</f>
        <v/>
      </c>
      <c r="E1913" s="2">
        <f>C1913*D1913</f>
        <v/>
      </c>
      <c r="F1913" s="2">
        <f>C1913*INDEX(Products!$D$2:$D$201,MATCH(B1913,Products!$A$2:$A$201,0))</f>
        <v/>
      </c>
      <c r="G1913" s="2">
        <f>E1913-F1913</f>
        <v/>
      </c>
    </row>
    <row r="1914" ht="15" customHeight="1" s="1">
      <c r="A1914" s="2" t="n">
        <v>51912</v>
      </c>
      <c r="B1914" s="2" t="inlineStr">
        <is>
          <t>SKU-0008</t>
        </is>
      </c>
      <c r="C1914" s="2" t="n">
        <v>14</v>
      </c>
      <c r="D1914" s="2">
        <f>VLOOKUP(B1914,Products!$A$2:$D$201,3,FALSE())</f>
        <v/>
      </c>
      <c r="E1914" s="2">
        <f>C1914*D1914</f>
        <v/>
      </c>
      <c r="F1914" s="2">
        <f>C1914*INDEX(Products!$D$2:$D$201,MATCH(B1914,Products!$A$2:$A$201,0))</f>
        <v/>
      </c>
      <c r="G1914" s="2">
        <f>E1914-F1914</f>
        <v/>
      </c>
    </row>
    <row r="1915" ht="15" customHeight="1" s="1">
      <c r="A1915" s="2" t="n">
        <v>51913</v>
      </c>
      <c r="B1915" s="2" t="inlineStr">
        <is>
          <t>SKU-0043</t>
        </is>
      </c>
      <c r="C1915" s="2" t="n">
        <v>7</v>
      </c>
      <c r="D1915" s="2">
        <f>VLOOKUP(B1915,Products!$A$2:$D$201,3,FALSE())</f>
        <v/>
      </c>
      <c r="E1915" s="2">
        <f>C1915*D1915</f>
        <v/>
      </c>
      <c r="F1915" s="2">
        <f>C1915*INDEX(Products!$D$2:$D$201,MATCH(B1915,Products!$A$2:$A$201,0))</f>
        <v/>
      </c>
      <c r="G1915" s="2">
        <f>E1915-F1915</f>
        <v/>
      </c>
    </row>
    <row r="1916" ht="15" customHeight="1" s="1">
      <c r="A1916" s="2" t="n">
        <v>51914</v>
      </c>
      <c r="B1916" s="2" t="inlineStr">
        <is>
          <t>SKU-0158</t>
        </is>
      </c>
      <c r="C1916" s="2" t="n">
        <v>8</v>
      </c>
      <c r="D1916" s="2">
        <f>VLOOKUP(B1916,Products!$A$2:$D$201,3,FALSE())</f>
        <v/>
      </c>
      <c r="E1916" s="2">
        <f>C1916*D1916</f>
        <v/>
      </c>
      <c r="F1916" s="2">
        <f>C1916*INDEX(Products!$D$2:$D$201,MATCH(B1916,Products!$A$2:$A$201,0))</f>
        <v/>
      </c>
      <c r="G1916" s="2">
        <f>E1916-F1916</f>
        <v/>
      </c>
    </row>
    <row r="1917" ht="15" customHeight="1" s="1">
      <c r="A1917" s="2" t="n">
        <v>51915</v>
      </c>
      <c r="B1917" s="2" t="inlineStr">
        <is>
          <t>SKU-0077</t>
        </is>
      </c>
      <c r="C1917" s="2" t="n">
        <v>19</v>
      </c>
      <c r="D1917" s="2">
        <f>VLOOKUP(B1917,Products!$A$2:$D$201,3,FALSE())</f>
        <v/>
      </c>
      <c r="E1917" s="2">
        <f>C1917*D1917</f>
        <v/>
      </c>
      <c r="F1917" s="2">
        <f>C1917*INDEX(Products!$D$2:$D$201,MATCH(B1917,Products!$A$2:$A$201,0))</f>
        <v/>
      </c>
      <c r="G1917" s="2">
        <f>E1917-F1917</f>
        <v/>
      </c>
    </row>
    <row r="1918" ht="15" customHeight="1" s="1">
      <c r="A1918" s="2" t="n">
        <v>51916</v>
      </c>
      <c r="B1918" s="2" t="inlineStr">
        <is>
          <t>SKU-0010</t>
        </is>
      </c>
      <c r="C1918" s="2" t="n">
        <v>10</v>
      </c>
      <c r="D1918" s="2">
        <f>VLOOKUP(B1918,Products!$A$2:$D$201,3,FALSE())</f>
        <v/>
      </c>
      <c r="E1918" s="2">
        <f>C1918*D1918</f>
        <v/>
      </c>
      <c r="F1918" s="2">
        <f>C1918*INDEX(Products!$D$2:$D$201,MATCH(B1918,Products!$A$2:$A$201,0))</f>
        <v/>
      </c>
      <c r="G1918" s="2">
        <f>E1918-F1918</f>
        <v/>
      </c>
    </row>
    <row r="1919" ht="15" customHeight="1" s="1">
      <c r="A1919" s="2" t="n">
        <v>51917</v>
      </c>
      <c r="B1919" s="2" t="inlineStr">
        <is>
          <t>SKU-0047</t>
        </is>
      </c>
      <c r="C1919" s="2" t="n">
        <v>4</v>
      </c>
      <c r="D1919" s="2">
        <f>VLOOKUP(B1919,Products!$A$2:$D$201,3,FALSE())</f>
        <v/>
      </c>
      <c r="E1919" s="2">
        <f>C1919*D1919</f>
        <v/>
      </c>
      <c r="F1919" s="2">
        <f>C1919*INDEX(Products!$D$2:$D$201,MATCH(B1919,Products!$A$2:$A$201,0))</f>
        <v/>
      </c>
      <c r="G1919" s="2">
        <f>E1919-F1919</f>
        <v/>
      </c>
    </row>
    <row r="1920" ht="15" customHeight="1" s="1">
      <c r="A1920" s="2" t="n">
        <v>51918</v>
      </c>
      <c r="B1920" s="2" t="inlineStr">
        <is>
          <t>SKU-0011</t>
        </is>
      </c>
      <c r="C1920" s="2" t="n">
        <v>6</v>
      </c>
      <c r="D1920" s="2">
        <f>VLOOKUP(B1920,Products!$A$2:$D$201,3,FALSE())</f>
        <v/>
      </c>
      <c r="E1920" s="2">
        <f>C1920*D1920</f>
        <v/>
      </c>
      <c r="F1920" s="2">
        <f>C1920*INDEX(Products!$D$2:$D$201,MATCH(B1920,Products!$A$2:$A$201,0))</f>
        <v/>
      </c>
      <c r="G1920" s="2">
        <f>E1920-F1920</f>
        <v/>
      </c>
    </row>
    <row r="1921" ht="15" customHeight="1" s="1">
      <c r="A1921" s="2" t="n">
        <v>51919</v>
      </c>
      <c r="B1921" s="2" t="inlineStr">
        <is>
          <t>SKU-0119</t>
        </is>
      </c>
      <c r="C1921" s="2" t="n">
        <v>2</v>
      </c>
      <c r="D1921" s="2">
        <f>VLOOKUP(B1921,Products!$A$2:$D$201,3,FALSE())</f>
        <v/>
      </c>
      <c r="E1921" s="2">
        <f>C1921*D1921</f>
        <v/>
      </c>
      <c r="F1921" s="2">
        <f>C1921*INDEX(Products!$D$2:$D$201,MATCH(B1921,Products!$A$2:$A$201,0))</f>
        <v/>
      </c>
      <c r="G1921" s="2">
        <f>E1921-F1921</f>
        <v/>
      </c>
    </row>
    <row r="1922" ht="15" customHeight="1" s="1">
      <c r="A1922" s="2" t="n">
        <v>51920</v>
      </c>
      <c r="B1922" s="2" t="inlineStr">
        <is>
          <t>SKU-0169</t>
        </is>
      </c>
      <c r="C1922" s="2" t="n">
        <v>12</v>
      </c>
      <c r="D1922" s="2">
        <f>VLOOKUP(B1922,Products!$A$2:$D$201,3,FALSE())</f>
        <v/>
      </c>
      <c r="E1922" s="2">
        <f>C1922*D1922</f>
        <v/>
      </c>
      <c r="F1922" s="2">
        <f>C1922*INDEX(Products!$D$2:$D$201,MATCH(B1922,Products!$A$2:$A$201,0))</f>
        <v/>
      </c>
      <c r="G1922" s="2">
        <f>E1922-F1922</f>
        <v/>
      </c>
    </row>
    <row r="1923" ht="15" customHeight="1" s="1">
      <c r="A1923" s="2" t="n">
        <v>51921</v>
      </c>
      <c r="B1923" s="2" t="inlineStr">
        <is>
          <t>SKU-0191</t>
        </is>
      </c>
      <c r="C1923" s="2" t="n">
        <v>20</v>
      </c>
      <c r="D1923" s="2">
        <f>VLOOKUP(B1923,Products!$A$2:$D$201,3,FALSE())</f>
        <v/>
      </c>
      <c r="E1923" s="2">
        <f>C1923*D1923</f>
        <v/>
      </c>
      <c r="F1923" s="2">
        <f>C1923*INDEX(Products!$D$2:$D$201,MATCH(B1923,Products!$A$2:$A$201,0))</f>
        <v/>
      </c>
      <c r="G1923" s="2">
        <f>E1923-F1923</f>
        <v/>
      </c>
    </row>
    <row r="1924" ht="15" customHeight="1" s="1">
      <c r="A1924" s="2" t="n">
        <v>51922</v>
      </c>
      <c r="B1924" s="2" t="inlineStr">
        <is>
          <t>SKU-0108</t>
        </is>
      </c>
      <c r="C1924" s="2" t="n">
        <v>3</v>
      </c>
      <c r="D1924" s="2">
        <f>VLOOKUP(B1924,Products!$A$2:$D$201,3,FALSE())</f>
        <v/>
      </c>
      <c r="E1924" s="2">
        <f>C1924*D1924</f>
        <v/>
      </c>
      <c r="F1924" s="2">
        <f>C1924*INDEX(Products!$D$2:$D$201,MATCH(B1924,Products!$A$2:$A$201,0))</f>
        <v/>
      </c>
      <c r="G1924" s="2">
        <f>E1924-F1924</f>
        <v/>
      </c>
    </row>
    <row r="1925" ht="15" customHeight="1" s="1">
      <c r="A1925" s="2" t="n">
        <v>51923</v>
      </c>
      <c r="B1925" s="2" t="inlineStr">
        <is>
          <t>SKU-0130</t>
        </is>
      </c>
      <c r="C1925" s="2" t="n">
        <v>7</v>
      </c>
      <c r="D1925" s="2">
        <f>VLOOKUP(B1925,Products!$A$2:$D$201,3,FALSE())</f>
        <v/>
      </c>
      <c r="E1925" s="2">
        <f>C1925*D1925</f>
        <v/>
      </c>
      <c r="F1925" s="2">
        <f>C1925*INDEX(Products!$D$2:$D$201,MATCH(B1925,Products!$A$2:$A$201,0))</f>
        <v/>
      </c>
      <c r="G1925" s="2">
        <f>E1925-F1925</f>
        <v/>
      </c>
    </row>
    <row r="1926" ht="15" customHeight="1" s="1">
      <c r="A1926" s="2" t="n">
        <v>51924</v>
      </c>
      <c r="B1926" s="2" t="inlineStr">
        <is>
          <t>SKU-0064</t>
        </is>
      </c>
      <c r="C1926" s="2" t="n">
        <v>9</v>
      </c>
      <c r="D1926" s="2">
        <f>VLOOKUP(B1926,Products!$A$2:$D$201,3,FALSE())</f>
        <v/>
      </c>
      <c r="E1926" s="2">
        <f>C1926*D1926</f>
        <v/>
      </c>
      <c r="F1926" s="2">
        <f>C1926*INDEX(Products!$D$2:$D$201,MATCH(B1926,Products!$A$2:$A$201,0))</f>
        <v/>
      </c>
      <c r="G1926" s="2">
        <f>E1926-F1926</f>
        <v/>
      </c>
    </row>
    <row r="1927" ht="15" customHeight="1" s="1">
      <c r="A1927" s="2" t="n">
        <v>51925</v>
      </c>
      <c r="B1927" s="2" t="inlineStr">
        <is>
          <t>SKU-0054</t>
        </is>
      </c>
      <c r="C1927" s="2" t="n">
        <v>13</v>
      </c>
      <c r="D1927" s="2">
        <f>VLOOKUP(B1927,Products!$A$2:$D$201,3,FALSE())</f>
        <v/>
      </c>
      <c r="E1927" s="2">
        <f>C1927*D1927</f>
        <v/>
      </c>
      <c r="F1927" s="2">
        <f>C1927*INDEX(Products!$D$2:$D$201,MATCH(B1927,Products!$A$2:$A$201,0))</f>
        <v/>
      </c>
      <c r="G1927" s="2">
        <f>E1927-F1927</f>
        <v/>
      </c>
    </row>
    <row r="1928" ht="15" customHeight="1" s="1">
      <c r="A1928" s="2" t="n">
        <v>51926</v>
      </c>
      <c r="B1928" s="2" t="inlineStr">
        <is>
          <t>SKU-0084</t>
        </is>
      </c>
      <c r="C1928" s="2" t="n">
        <v>16</v>
      </c>
      <c r="D1928" s="2">
        <f>VLOOKUP(B1928,Products!$A$2:$D$201,3,FALSE())</f>
        <v/>
      </c>
      <c r="E1928" s="2">
        <f>C1928*D1928</f>
        <v/>
      </c>
      <c r="F1928" s="2">
        <f>C1928*INDEX(Products!$D$2:$D$201,MATCH(B1928,Products!$A$2:$A$201,0))</f>
        <v/>
      </c>
      <c r="G1928" s="2">
        <f>E1928-F1928</f>
        <v/>
      </c>
    </row>
    <row r="1929" ht="15" customHeight="1" s="1">
      <c r="A1929" s="2" t="n">
        <v>51927</v>
      </c>
      <c r="B1929" s="2" t="inlineStr">
        <is>
          <t>SKU-0101</t>
        </is>
      </c>
      <c r="C1929" s="2" t="n">
        <v>4</v>
      </c>
      <c r="D1929" s="2">
        <f>VLOOKUP(B1929,Products!$A$2:$D$201,3,FALSE())</f>
        <v/>
      </c>
      <c r="E1929" s="2">
        <f>C1929*D1929</f>
        <v/>
      </c>
      <c r="F1929" s="2">
        <f>C1929*INDEX(Products!$D$2:$D$201,MATCH(B1929,Products!$A$2:$A$201,0))</f>
        <v/>
      </c>
      <c r="G1929" s="2">
        <f>E1929-F1929</f>
        <v/>
      </c>
    </row>
    <row r="1930" ht="15" customHeight="1" s="1">
      <c r="A1930" s="2" t="n">
        <v>51928</v>
      </c>
      <c r="B1930" s="2" t="inlineStr">
        <is>
          <t>SKU-0167</t>
        </is>
      </c>
      <c r="C1930" s="2" t="n">
        <v>19</v>
      </c>
      <c r="D1930" s="2">
        <f>VLOOKUP(B1930,Products!$A$2:$D$201,3,FALSE())</f>
        <v/>
      </c>
      <c r="E1930" s="2">
        <f>C1930*D1930</f>
        <v/>
      </c>
      <c r="F1930" s="2">
        <f>C1930*INDEX(Products!$D$2:$D$201,MATCH(B1930,Products!$A$2:$A$201,0))</f>
        <v/>
      </c>
      <c r="G1930" s="2">
        <f>E1930-F1930</f>
        <v/>
      </c>
    </row>
    <row r="1931" ht="15" customHeight="1" s="1">
      <c r="A1931" s="2" t="n">
        <v>51929</v>
      </c>
      <c r="B1931" s="2" t="inlineStr">
        <is>
          <t>SKU-0145</t>
        </is>
      </c>
      <c r="C1931" s="2" t="n">
        <v>19</v>
      </c>
      <c r="D1931" s="2">
        <f>VLOOKUP(B1931,Products!$A$2:$D$201,3,FALSE())</f>
        <v/>
      </c>
      <c r="E1931" s="2">
        <f>C1931*D1931</f>
        <v/>
      </c>
      <c r="F1931" s="2">
        <f>C1931*INDEX(Products!$D$2:$D$201,MATCH(B1931,Products!$A$2:$A$201,0))</f>
        <v/>
      </c>
      <c r="G1931" s="2">
        <f>E1931-F1931</f>
        <v/>
      </c>
    </row>
    <row r="1932" ht="15" customHeight="1" s="1">
      <c r="A1932" s="2" t="n">
        <v>51930</v>
      </c>
      <c r="B1932" s="2" t="inlineStr">
        <is>
          <t>SKU-0160</t>
        </is>
      </c>
      <c r="C1932" s="2" t="n">
        <v>15</v>
      </c>
      <c r="D1932" s="2">
        <f>VLOOKUP(B1932,Products!$A$2:$D$201,3,FALSE())</f>
        <v/>
      </c>
      <c r="E1932" s="2">
        <f>C1932*D1932</f>
        <v/>
      </c>
      <c r="F1932" s="2">
        <f>C1932*INDEX(Products!$D$2:$D$201,MATCH(B1932,Products!$A$2:$A$201,0))</f>
        <v/>
      </c>
      <c r="G1932" s="2">
        <f>E1932-F1932</f>
        <v/>
      </c>
    </row>
    <row r="1933" ht="15" customHeight="1" s="1">
      <c r="A1933" s="2" t="n">
        <v>51931</v>
      </c>
      <c r="B1933" s="2" t="inlineStr">
        <is>
          <t>SKU-0155</t>
        </is>
      </c>
      <c r="C1933" s="2" t="n">
        <v>1</v>
      </c>
      <c r="D1933" s="2">
        <f>VLOOKUP(B1933,Products!$A$2:$D$201,3,FALSE())</f>
        <v/>
      </c>
      <c r="E1933" s="2">
        <f>C1933*D1933</f>
        <v/>
      </c>
      <c r="F1933" s="2">
        <f>C1933*INDEX(Products!$D$2:$D$201,MATCH(B1933,Products!$A$2:$A$201,0))</f>
        <v/>
      </c>
      <c r="G1933" s="2">
        <f>E1933-F1933</f>
        <v/>
      </c>
    </row>
    <row r="1934" ht="15" customHeight="1" s="1">
      <c r="A1934" s="2" t="n">
        <v>51932</v>
      </c>
      <c r="B1934" s="2" t="inlineStr">
        <is>
          <t>SKU-0105</t>
        </is>
      </c>
      <c r="C1934" s="2" t="n">
        <v>5</v>
      </c>
      <c r="D1934" s="2">
        <f>VLOOKUP(B1934,Products!$A$2:$D$201,3,FALSE())</f>
        <v/>
      </c>
      <c r="E1934" s="2">
        <f>C1934*D1934</f>
        <v/>
      </c>
      <c r="F1934" s="2">
        <f>C1934*INDEX(Products!$D$2:$D$201,MATCH(B1934,Products!$A$2:$A$201,0))</f>
        <v/>
      </c>
      <c r="G1934" s="2">
        <f>E1934-F1934</f>
        <v/>
      </c>
    </row>
    <row r="1935" ht="15" customHeight="1" s="1">
      <c r="A1935" s="2" t="n">
        <v>51933</v>
      </c>
      <c r="B1935" s="2" t="inlineStr">
        <is>
          <t>SKU-0070</t>
        </is>
      </c>
      <c r="C1935" s="2" t="n">
        <v>17</v>
      </c>
      <c r="D1935" s="2">
        <f>VLOOKUP(B1935,Products!$A$2:$D$201,3,FALSE())</f>
        <v/>
      </c>
      <c r="E1935" s="2">
        <f>C1935*D1935</f>
        <v/>
      </c>
      <c r="F1935" s="2">
        <f>C1935*INDEX(Products!$D$2:$D$201,MATCH(B1935,Products!$A$2:$A$201,0))</f>
        <v/>
      </c>
      <c r="G1935" s="2">
        <f>E1935-F1935</f>
        <v/>
      </c>
    </row>
    <row r="1936" ht="15" customHeight="1" s="1">
      <c r="A1936" s="2" t="n">
        <v>51934</v>
      </c>
      <c r="B1936" s="2" t="inlineStr">
        <is>
          <t>SKU-0179</t>
        </is>
      </c>
      <c r="C1936" s="2" t="n">
        <v>6</v>
      </c>
      <c r="D1936" s="2">
        <f>VLOOKUP(B1936,Products!$A$2:$D$201,3,FALSE())</f>
        <v/>
      </c>
      <c r="E1936" s="2">
        <f>C1936*D1936</f>
        <v/>
      </c>
      <c r="F1936" s="2">
        <f>C1936*INDEX(Products!$D$2:$D$201,MATCH(B1936,Products!$A$2:$A$201,0))</f>
        <v/>
      </c>
      <c r="G1936" s="2">
        <f>E1936-F1936</f>
        <v/>
      </c>
    </row>
    <row r="1937" ht="15" customHeight="1" s="1">
      <c r="A1937" s="2" t="n">
        <v>51935</v>
      </c>
      <c r="B1937" s="2" t="inlineStr">
        <is>
          <t>SKU-0139</t>
        </is>
      </c>
      <c r="C1937" s="2" t="n">
        <v>1</v>
      </c>
      <c r="D1937" s="2">
        <f>VLOOKUP(B1937,Products!$A$2:$D$201,3,FALSE())</f>
        <v/>
      </c>
      <c r="E1937" s="2">
        <f>C1937*D1937</f>
        <v/>
      </c>
      <c r="F1937" s="2">
        <f>C1937*INDEX(Products!$D$2:$D$201,MATCH(B1937,Products!$A$2:$A$201,0))</f>
        <v/>
      </c>
      <c r="G1937" s="2">
        <f>E1937-F1937</f>
        <v/>
      </c>
    </row>
    <row r="1938" ht="15" customHeight="1" s="1">
      <c r="A1938" s="2" t="n">
        <v>51936</v>
      </c>
      <c r="B1938" s="2" t="inlineStr">
        <is>
          <t>SKU-0030</t>
        </is>
      </c>
      <c r="C1938" s="2" t="n">
        <v>15</v>
      </c>
      <c r="D1938" s="2">
        <f>VLOOKUP(B1938,Products!$A$2:$D$201,3,FALSE())</f>
        <v/>
      </c>
      <c r="E1938" s="2">
        <f>C1938*D1938</f>
        <v/>
      </c>
      <c r="F1938" s="2">
        <f>C1938*INDEX(Products!$D$2:$D$201,MATCH(B1938,Products!$A$2:$A$201,0))</f>
        <v/>
      </c>
      <c r="G1938" s="2">
        <f>E1938-F1938</f>
        <v/>
      </c>
    </row>
    <row r="1939" ht="15" customHeight="1" s="1">
      <c r="A1939" s="2" t="n">
        <v>51937</v>
      </c>
      <c r="B1939" s="2" t="inlineStr">
        <is>
          <t>SKU-0075</t>
        </is>
      </c>
      <c r="C1939" s="2" t="n">
        <v>8</v>
      </c>
      <c r="D1939" s="2">
        <f>VLOOKUP(B1939,Products!$A$2:$D$201,3,FALSE())</f>
        <v/>
      </c>
      <c r="E1939" s="2">
        <f>C1939*D1939</f>
        <v/>
      </c>
      <c r="F1939" s="2">
        <f>C1939*INDEX(Products!$D$2:$D$201,MATCH(B1939,Products!$A$2:$A$201,0))</f>
        <v/>
      </c>
      <c r="G1939" s="2">
        <f>E1939-F1939</f>
        <v/>
      </c>
    </row>
    <row r="1940" ht="15" customHeight="1" s="1">
      <c r="A1940" s="2" t="n">
        <v>51938</v>
      </c>
      <c r="B1940" s="2" t="inlineStr">
        <is>
          <t>SKU-0174</t>
        </is>
      </c>
      <c r="C1940" s="2" t="n">
        <v>13</v>
      </c>
      <c r="D1940" s="2">
        <f>VLOOKUP(B1940,Products!$A$2:$D$201,3,FALSE())</f>
        <v/>
      </c>
      <c r="E1940" s="2">
        <f>C1940*D1940</f>
        <v/>
      </c>
      <c r="F1940" s="2">
        <f>C1940*INDEX(Products!$D$2:$D$201,MATCH(B1940,Products!$A$2:$A$201,0))</f>
        <v/>
      </c>
      <c r="G1940" s="2">
        <f>E1940-F1940</f>
        <v/>
      </c>
    </row>
    <row r="1941" ht="15" customHeight="1" s="1">
      <c r="A1941" s="2" t="n">
        <v>51939</v>
      </c>
      <c r="B1941" s="2" t="inlineStr">
        <is>
          <t>SKU-0070</t>
        </is>
      </c>
      <c r="C1941" s="2" t="n">
        <v>5</v>
      </c>
      <c r="D1941" s="2">
        <f>VLOOKUP(B1941,Products!$A$2:$D$201,3,FALSE())</f>
        <v/>
      </c>
      <c r="E1941" s="2">
        <f>C1941*D1941</f>
        <v/>
      </c>
      <c r="F1941" s="2">
        <f>C1941*INDEX(Products!$D$2:$D$201,MATCH(B1941,Products!$A$2:$A$201,0))</f>
        <v/>
      </c>
      <c r="G1941" s="2">
        <f>E1941-F1941</f>
        <v/>
      </c>
    </row>
    <row r="1942" ht="15" customHeight="1" s="1">
      <c r="A1942" s="2" t="n">
        <v>51940</v>
      </c>
      <c r="B1942" s="2" t="inlineStr">
        <is>
          <t>SKU-0082</t>
        </is>
      </c>
      <c r="C1942" s="2" t="n">
        <v>19</v>
      </c>
      <c r="D1942" s="2">
        <f>VLOOKUP(B1942,Products!$A$2:$D$201,3,FALSE())</f>
        <v/>
      </c>
      <c r="E1942" s="2">
        <f>C1942*D1942</f>
        <v/>
      </c>
      <c r="F1942" s="2">
        <f>C1942*INDEX(Products!$D$2:$D$201,MATCH(B1942,Products!$A$2:$A$201,0))</f>
        <v/>
      </c>
      <c r="G1942" s="2">
        <f>E1942-F1942</f>
        <v/>
      </c>
    </row>
    <row r="1943" ht="15" customHeight="1" s="1">
      <c r="A1943" s="2" t="n">
        <v>51941</v>
      </c>
      <c r="B1943" s="2" t="inlineStr">
        <is>
          <t>SKU-0101</t>
        </is>
      </c>
      <c r="C1943" s="2" t="n">
        <v>12</v>
      </c>
      <c r="D1943" s="2">
        <f>VLOOKUP(B1943,Products!$A$2:$D$201,3,FALSE())</f>
        <v/>
      </c>
      <c r="E1943" s="2">
        <f>C1943*D1943</f>
        <v/>
      </c>
      <c r="F1943" s="2">
        <f>C1943*INDEX(Products!$D$2:$D$201,MATCH(B1943,Products!$A$2:$A$201,0))</f>
        <v/>
      </c>
      <c r="G1943" s="2">
        <f>E1943-F1943</f>
        <v/>
      </c>
    </row>
    <row r="1944" ht="15" customHeight="1" s="1">
      <c r="A1944" s="2" t="n">
        <v>51942</v>
      </c>
      <c r="B1944" s="2" t="inlineStr">
        <is>
          <t>SKU-0064</t>
        </is>
      </c>
      <c r="C1944" s="2" t="n">
        <v>8</v>
      </c>
      <c r="D1944" s="2">
        <f>VLOOKUP(B1944,Products!$A$2:$D$201,3,FALSE())</f>
        <v/>
      </c>
      <c r="E1944" s="2">
        <f>C1944*D1944</f>
        <v/>
      </c>
      <c r="F1944" s="2">
        <f>C1944*INDEX(Products!$D$2:$D$201,MATCH(B1944,Products!$A$2:$A$201,0))</f>
        <v/>
      </c>
      <c r="G1944" s="2">
        <f>E1944-F1944</f>
        <v/>
      </c>
    </row>
    <row r="1945" ht="15" customHeight="1" s="1">
      <c r="A1945" s="2" t="n">
        <v>51943</v>
      </c>
      <c r="B1945" s="2" t="inlineStr">
        <is>
          <t>SKU-0191</t>
        </is>
      </c>
      <c r="C1945" s="2" t="n">
        <v>4</v>
      </c>
      <c r="D1945" s="2">
        <f>VLOOKUP(B1945,Products!$A$2:$D$201,3,FALSE())</f>
        <v/>
      </c>
      <c r="E1945" s="2">
        <f>C1945*D1945</f>
        <v/>
      </c>
      <c r="F1945" s="2">
        <f>C1945*INDEX(Products!$D$2:$D$201,MATCH(B1945,Products!$A$2:$A$201,0))</f>
        <v/>
      </c>
      <c r="G1945" s="2">
        <f>E1945-F1945</f>
        <v/>
      </c>
    </row>
    <row r="1946" ht="15" customHeight="1" s="1">
      <c r="A1946" s="2" t="n">
        <v>51944</v>
      </c>
      <c r="B1946" s="2" t="inlineStr">
        <is>
          <t>SKU-0099</t>
        </is>
      </c>
      <c r="C1946" s="2" t="n">
        <v>2</v>
      </c>
      <c r="D1946" s="2">
        <f>VLOOKUP(B1946,Products!$A$2:$D$201,3,FALSE())</f>
        <v/>
      </c>
      <c r="E1946" s="2">
        <f>C1946*D1946</f>
        <v/>
      </c>
      <c r="F1946" s="2">
        <f>C1946*INDEX(Products!$D$2:$D$201,MATCH(B1946,Products!$A$2:$A$201,0))</f>
        <v/>
      </c>
      <c r="G1946" s="2">
        <f>E1946-F1946</f>
        <v/>
      </c>
    </row>
    <row r="1947" ht="15" customHeight="1" s="1">
      <c r="A1947" s="2" t="n">
        <v>51945</v>
      </c>
      <c r="B1947" s="2" t="inlineStr">
        <is>
          <t>SKU-0007</t>
        </is>
      </c>
      <c r="C1947" s="2" t="n">
        <v>14</v>
      </c>
      <c r="D1947" s="2">
        <f>VLOOKUP(B1947,Products!$A$2:$D$201,3,FALSE())</f>
        <v/>
      </c>
      <c r="E1947" s="2">
        <f>C1947*D1947</f>
        <v/>
      </c>
      <c r="F1947" s="2">
        <f>C1947*INDEX(Products!$D$2:$D$201,MATCH(B1947,Products!$A$2:$A$201,0))</f>
        <v/>
      </c>
      <c r="G1947" s="2">
        <f>E1947-F1947</f>
        <v/>
      </c>
    </row>
    <row r="1948" ht="15" customHeight="1" s="1">
      <c r="A1948" s="2" t="n">
        <v>51946</v>
      </c>
      <c r="B1948" s="2" t="inlineStr">
        <is>
          <t>SKU-0153</t>
        </is>
      </c>
      <c r="C1948" s="2" t="n">
        <v>4</v>
      </c>
      <c r="D1948" s="2">
        <f>VLOOKUP(B1948,Products!$A$2:$D$201,3,FALSE())</f>
        <v/>
      </c>
      <c r="E1948" s="2">
        <f>C1948*D1948</f>
        <v/>
      </c>
      <c r="F1948" s="2">
        <f>C1948*INDEX(Products!$D$2:$D$201,MATCH(B1948,Products!$A$2:$A$201,0))</f>
        <v/>
      </c>
      <c r="G1948" s="2">
        <f>E1948-F1948</f>
        <v/>
      </c>
    </row>
    <row r="1949" ht="15" customHeight="1" s="1">
      <c r="A1949" s="2" t="n">
        <v>51947</v>
      </c>
      <c r="B1949" s="2" t="inlineStr">
        <is>
          <t>SKU-0052</t>
        </is>
      </c>
      <c r="C1949" s="2" t="n">
        <v>10</v>
      </c>
      <c r="D1949" s="2">
        <f>VLOOKUP(B1949,Products!$A$2:$D$201,3,FALSE())</f>
        <v/>
      </c>
      <c r="E1949" s="2">
        <f>C1949*D1949</f>
        <v/>
      </c>
      <c r="F1949" s="2">
        <f>C1949*INDEX(Products!$D$2:$D$201,MATCH(B1949,Products!$A$2:$A$201,0))</f>
        <v/>
      </c>
      <c r="G1949" s="2">
        <f>E1949-F1949</f>
        <v/>
      </c>
    </row>
    <row r="1950" ht="15" customHeight="1" s="1">
      <c r="A1950" s="2" t="n">
        <v>51948</v>
      </c>
      <c r="B1950" s="2" t="inlineStr">
        <is>
          <t>SKU-0082</t>
        </is>
      </c>
      <c r="C1950" s="2" t="n">
        <v>11</v>
      </c>
      <c r="D1950" s="2">
        <f>VLOOKUP(B1950,Products!$A$2:$D$201,3,FALSE())</f>
        <v/>
      </c>
      <c r="E1950" s="2">
        <f>C1950*D1950</f>
        <v/>
      </c>
      <c r="F1950" s="2">
        <f>C1950*INDEX(Products!$D$2:$D$201,MATCH(B1950,Products!$A$2:$A$201,0))</f>
        <v/>
      </c>
      <c r="G1950" s="2">
        <f>E1950-F1950</f>
        <v/>
      </c>
    </row>
    <row r="1951" ht="15" customHeight="1" s="1">
      <c r="A1951" s="2" t="n">
        <v>51949</v>
      </c>
      <c r="B1951" s="2" t="inlineStr">
        <is>
          <t>SKU-0034</t>
        </is>
      </c>
      <c r="C1951" s="2" t="n">
        <v>15</v>
      </c>
      <c r="D1951" s="2">
        <f>VLOOKUP(B1951,Products!$A$2:$D$201,3,FALSE())</f>
        <v/>
      </c>
      <c r="E1951" s="2">
        <f>C1951*D1951</f>
        <v/>
      </c>
      <c r="F1951" s="2">
        <f>C1951*INDEX(Products!$D$2:$D$201,MATCH(B1951,Products!$A$2:$A$201,0))</f>
        <v/>
      </c>
      <c r="G1951" s="2">
        <f>E1951-F1951</f>
        <v/>
      </c>
    </row>
    <row r="1952" ht="15" customHeight="1" s="1">
      <c r="A1952" s="2" t="n">
        <v>51950</v>
      </c>
      <c r="B1952" s="2" t="inlineStr">
        <is>
          <t>SKU-0051</t>
        </is>
      </c>
      <c r="C1952" s="2" t="n">
        <v>7</v>
      </c>
      <c r="D1952" s="2">
        <f>VLOOKUP(B1952,Products!$A$2:$D$201,3,FALSE())</f>
        <v/>
      </c>
      <c r="E1952" s="2">
        <f>C1952*D1952</f>
        <v/>
      </c>
      <c r="F1952" s="2">
        <f>C1952*INDEX(Products!$D$2:$D$201,MATCH(B1952,Products!$A$2:$A$201,0))</f>
        <v/>
      </c>
      <c r="G1952" s="2">
        <f>E1952-F1952</f>
        <v/>
      </c>
    </row>
    <row r="1953" ht="15" customHeight="1" s="1">
      <c r="A1953" s="2" t="n">
        <v>51951</v>
      </c>
      <c r="B1953" s="2" t="inlineStr">
        <is>
          <t>SKU-0065</t>
        </is>
      </c>
      <c r="C1953" s="2" t="n">
        <v>20</v>
      </c>
      <c r="D1953" s="2">
        <f>VLOOKUP(B1953,Products!$A$2:$D$201,3,FALSE())</f>
        <v/>
      </c>
      <c r="E1953" s="2">
        <f>C1953*D1953</f>
        <v/>
      </c>
      <c r="F1953" s="2">
        <f>C1953*INDEX(Products!$D$2:$D$201,MATCH(B1953,Products!$A$2:$A$201,0))</f>
        <v/>
      </c>
      <c r="G1953" s="2">
        <f>E1953-F1953</f>
        <v/>
      </c>
    </row>
    <row r="1954" ht="15" customHeight="1" s="1">
      <c r="A1954" s="2" t="n">
        <v>51952</v>
      </c>
      <c r="B1954" s="2" t="inlineStr">
        <is>
          <t>SKU-0101</t>
        </is>
      </c>
      <c r="C1954" s="2" t="n">
        <v>14</v>
      </c>
      <c r="D1954" s="2">
        <f>VLOOKUP(B1954,Products!$A$2:$D$201,3,FALSE())</f>
        <v/>
      </c>
      <c r="E1954" s="2">
        <f>C1954*D1954</f>
        <v/>
      </c>
      <c r="F1954" s="2">
        <f>C1954*INDEX(Products!$D$2:$D$201,MATCH(B1954,Products!$A$2:$A$201,0))</f>
        <v/>
      </c>
      <c r="G1954" s="2">
        <f>E1954-F1954</f>
        <v/>
      </c>
    </row>
    <row r="1955" ht="15" customHeight="1" s="1">
      <c r="A1955" s="2" t="n">
        <v>51953</v>
      </c>
      <c r="B1955" s="2" t="inlineStr">
        <is>
          <t>SKU-0006</t>
        </is>
      </c>
      <c r="C1955" s="2" t="n">
        <v>20</v>
      </c>
      <c r="D1955" s="2">
        <f>VLOOKUP(B1955,Products!$A$2:$D$201,3,FALSE())</f>
        <v/>
      </c>
      <c r="E1955" s="2">
        <f>C1955*D1955</f>
        <v/>
      </c>
      <c r="F1955" s="2">
        <f>C1955*INDEX(Products!$D$2:$D$201,MATCH(B1955,Products!$A$2:$A$201,0))</f>
        <v/>
      </c>
      <c r="G1955" s="2">
        <f>E1955-F1955</f>
        <v/>
      </c>
    </row>
    <row r="1956" ht="15" customHeight="1" s="1">
      <c r="A1956" s="2" t="n">
        <v>51954</v>
      </c>
      <c r="B1956" s="2" t="inlineStr">
        <is>
          <t>SKU-0091</t>
        </is>
      </c>
      <c r="C1956" s="2" t="n">
        <v>18</v>
      </c>
      <c r="D1956" s="2">
        <f>VLOOKUP(B1956,Products!$A$2:$D$201,3,FALSE())</f>
        <v/>
      </c>
      <c r="E1956" s="2">
        <f>C1956*D1956</f>
        <v/>
      </c>
      <c r="F1956" s="2">
        <f>C1956*INDEX(Products!$D$2:$D$201,MATCH(B1956,Products!$A$2:$A$201,0))</f>
        <v/>
      </c>
      <c r="G1956" s="2">
        <f>E1956-F1956</f>
        <v/>
      </c>
    </row>
    <row r="1957" ht="15" customHeight="1" s="1">
      <c r="A1957" s="2" t="n">
        <v>51955</v>
      </c>
      <c r="B1957" s="2" t="inlineStr">
        <is>
          <t>SKU-0093</t>
        </is>
      </c>
      <c r="C1957" s="2" t="n">
        <v>4</v>
      </c>
      <c r="D1957" s="2">
        <f>VLOOKUP(B1957,Products!$A$2:$D$201,3,FALSE())</f>
        <v/>
      </c>
      <c r="E1957" s="2">
        <f>C1957*D1957</f>
        <v/>
      </c>
      <c r="F1957" s="2">
        <f>C1957*INDEX(Products!$D$2:$D$201,MATCH(B1957,Products!$A$2:$A$201,0))</f>
        <v/>
      </c>
      <c r="G1957" s="2">
        <f>E1957-F1957</f>
        <v/>
      </c>
    </row>
    <row r="1958" ht="15" customHeight="1" s="1">
      <c r="A1958" s="2" t="n">
        <v>51956</v>
      </c>
      <c r="B1958" s="2" t="inlineStr">
        <is>
          <t>SKU-0135</t>
        </is>
      </c>
      <c r="C1958" s="2" t="n">
        <v>20</v>
      </c>
      <c r="D1958" s="2">
        <f>VLOOKUP(B1958,Products!$A$2:$D$201,3,FALSE())</f>
        <v/>
      </c>
      <c r="E1958" s="2">
        <f>C1958*D1958</f>
        <v/>
      </c>
      <c r="F1958" s="2">
        <f>C1958*INDEX(Products!$D$2:$D$201,MATCH(B1958,Products!$A$2:$A$201,0))</f>
        <v/>
      </c>
      <c r="G1958" s="2">
        <f>E1958-F1958</f>
        <v/>
      </c>
    </row>
    <row r="1959" ht="15" customHeight="1" s="1">
      <c r="A1959" s="2" t="n">
        <v>51957</v>
      </c>
      <c r="B1959" s="2" t="inlineStr">
        <is>
          <t>SKU-0175</t>
        </is>
      </c>
      <c r="C1959" s="2" t="n">
        <v>11</v>
      </c>
      <c r="D1959" s="2">
        <f>VLOOKUP(B1959,Products!$A$2:$D$201,3,FALSE())</f>
        <v/>
      </c>
      <c r="E1959" s="2">
        <f>C1959*D1959</f>
        <v/>
      </c>
      <c r="F1959" s="2">
        <f>C1959*INDEX(Products!$D$2:$D$201,MATCH(B1959,Products!$A$2:$A$201,0))</f>
        <v/>
      </c>
      <c r="G1959" s="2">
        <f>E1959-F1959</f>
        <v/>
      </c>
    </row>
    <row r="1960" ht="15" customHeight="1" s="1">
      <c r="A1960" s="2" t="n">
        <v>51958</v>
      </c>
      <c r="B1960" s="2" t="inlineStr">
        <is>
          <t>SKU-0056</t>
        </is>
      </c>
      <c r="C1960" s="2" t="n">
        <v>20</v>
      </c>
      <c r="D1960" s="2">
        <f>VLOOKUP(B1960,Products!$A$2:$D$201,3,FALSE())</f>
        <v/>
      </c>
      <c r="E1960" s="2">
        <f>C1960*D1960</f>
        <v/>
      </c>
      <c r="F1960" s="2">
        <f>C1960*INDEX(Products!$D$2:$D$201,MATCH(B1960,Products!$A$2:$A$201,0))</f>
        <v/>
      </c>
      <c r="G1960" s="2">
        <f>E1960-F1960</f>
        <v/>
      </c>
    </row>
    <row r="1961" ht="15" customHeight="1" s="1">
      <c r="A1961" s="2" t="n">
        <v>51959</v>
      </c>
      <c r="B1961" s="2" t="inlineStr">
        <is>
          <t>SKU-0132</t>
        </is>
      </c>
      <c r="C1961" s="2" t="n">
        <v>11</v>
      </c>
      <c r="D1961" s="2">
        <f>VLOOKUP(B1961,Products!$A$2:$D$201,3,FALSE())</f>
        <v/>
      </c>
      <c r="E1961" s="2">
        <f>C1961*D1961</f>
        <v/>
      </c>
      <c r="F1961" s="2">
        <f>C1961*INDEX(Products!$D$2:$D$201,MATCH(B1961,Products!$A$2:$A$201,0))</f>
        <v/>
      </c>
      <c r="G1961" s="2">
        <f>E1961-F1961</f>
        <v/>
      </c>
    </row>
    <row r="1962" ht="15" customHeight="1" s="1">
      <c r="A1962" s="2" t="n">
        <v>51960</v>
      </c>
      <c r="B1962" s="2" t="inlineStr">
        <is>
          <t>SKU-0103</t>
        </is>
      </c>
      <c r="C1962" s="2" t="n">
        <v>9</v>
      </c>
      <c r="D1962" s="2">
        <f>VLOOKUP(B1962,Products!$A$2:$D$201,3,FALSE())</f>
        <v/>
      </c>
      <c r="E1962" s="2">
        <f>C1962*D1962</f>
        <v/>
      </c>
      <c r="F1962" s="2">
        <f>C1962*INDEX(Products!$D$2:$D$201,MATCH(B1962,Products!$A$2:$A$201,0))</f>
        <v/>
      </c>
      <c r="G1962" s="2">
        <f>E1962-F1962</f>
        <v/>
      </c>
    </row>
    <row r="1963" ht="15" customHeight="1" s="1">
      <c r="A1963" s="2" t="n">
        <v>51961</v>
      </c>
      <c r="B1963" s="2" t="inlineStr">
        <is>
          <t>SKU-0030</t>
        </is>
      </c>
      <c r="C1963" s="2" t="n">
        <v>8</v>
      </c>
      <c r="D1963" s="2">
        <f>VLOOKUP(B1963,Products!$A$2:$D$201,3,FALSE())</f>
        <v/>
      </c>
      <c r="E1963" s="2">
        <f>C1963*D1963</f>
        <v/>
      </c>
      <c r="F1963" s="2">
        <f>C1963*INDEX(Products!$D$2:$D$201,MATCH(B1963,Products!$A$2:$A$201,0))</f>
        <v/>
      </c>
      <c r="G1963" s="2">
        <f>E1963-F1963</f>
        <v/>
      </c>
    </row>
    <row r="1964" ht="15" customHeight="1" s="1">
      <c r="A1964" s="2" t="n">
        <v>51962</v>
      </c>
      <c r="B1964" s="2" t="inlineStr">
        <is>
          <t>SKU-0159</t>
        </is>
      </c>
      <c r="C1964" s="2" t="n">
        <v>11</v>
      </c>
      <c r="D1964" s="2">
        <f>VLOOKUP(B1964,Products!$A$2:$D$201,3,FALSE())</f>
        <v/>
      </c>
      <c r="E1964" s="2">
        <f>C1964*D1964</f>
        <v/>
      </c>
      <c r="F1964" s="2">
        <f>C1964*INDEX(Products!$D$2:$D$201,MATCH(B1964,Products!$A$2:$A$201,0))</f>
        <v/>
      </c>
      <c r="G1964" s="2">
        <f>E1964-F1964</f>
        <v/>
      </c>
    </row>
    <row r="1965" ht="15" customHeight="1" s="1">
      <c r="A1965" s="2" t="n">
        <v>51963</v>
      </c>
      <c r="B1965" s="2" t="inlineStr">
        <is>
          <t>SKU-0190</t>
        </is>
      </c>
      <c r="C1965" s="2" t="n">
        <v>19</v>
      </c>
      <c r="D1965" s="2">
        <f>VLOOKUP(B1965,Products!$A$2:$D$201,3,FALSE())</f>
        <v/>
      </c>
      <c r="E1965" s="2">
        <f>C1965*D1965</f>
        <v/>
      </c>
      <c r="F1965" s="2">
        <f>C1965*INDEX(Products!$D$2:$D$201,MATCH(B1965,Products!$A$2:$A$201,0))</f>
        <v/>
      </c>
      <c r="G1965" s="2">
        <f>E1965-F1965</f>
        <v/>
      </c>
    </row>
    <row r="1966" ht="15" customHeight="1" s="1">
      <c r="A1966" s="2" t="n">
        <v>51964</v>
      </c>
      <c r="B1966" s="2" t="inlineStr">
        <is>
          <t>SKU-0059</t>
        </is>
      </c>
      <c r="C1966" s="2" t="n">
        <v>7</v>
      </c>
      <c r="D1966" s="2">
        <f>VLOOKUP(B1966,Products!$A$2:$D$201,3,FALSE())</f>
        <v/>
      </c>
      <c r="E1966" s="2">
        <f>C1966*D1966</f>
        <v/>
      </c>
      <c r="F1966" s="2">
        <f>C1966*INDEX(Products!$D$2:$D$201,MATCH(B1966,Products!$A$2:$A$201,0))</f>
        <v/>
      </c>
      <c r="G1966" s="2">
        <f>E1966-F1966</f>
        <v/>
      </c>
    </row>
    <row r="1967" ht="15" customHeight="1" s="1">
      <c r="A1967" s="2" t="n">
        <v>51965</v>
      </c>
      <c r="B1967" s="2" t="inlineStr">
        <is>
          <t>SKU-0032</t>
        </is>
      </c>
      <c r="C1967" s="2" t="n">
        <v>13</v>
      </c>
      <c r="D1967" s="2">
        <f>VLOOKUP(B1967,Products!$A$2:$D$201,3,FALSE())</f>
        <v/>
      </c>
      <c r="E1967" s="2">
        <f>C1967*D1967</f>
        <v/>
      </c>
      <c r="F1967" s="2">
        <f>C1967*INDEX(Products!$D$2:$D$201,MATCH(B1967,Products!$A$2:$A$201,0))</f>
        <v/>
      </c>
      <c r="G1967" s="2">
        <f>E1967-F1967</f>
        <v/>
      </c>
    </row>
    <row r="1968" ht="15" customHeight="1" s="1">
      <c r="A1968" s="2" t="n">
        <v>51966</v>
      </c>
      <c r="B1968" s="2" t="inlineStr">
        <is>
          <t>SKU-0163</t>
        </is>
      </c>
      <c r="C1968" s="2" t="n">
        <v>7</v>
      </c>
      <c r="D1968" s="2">
        <f>VLOOKUP(B1968,Products!$A$2:$D$201,3,FALSE())</f>
        <v/>
      </c>
      <c r="E1968" s="2">
        <f>C1968*D1968</f>
        <v/>
      </c>
      <c r="F1968" s="2">
        <f>C1968*INDEX(Products!$D$2:$D$201,MATCH(B1968,Products!$A$2:$A$201,0))</f>
        <v/>
      </c>
      <c r="G1968" s="2">
        <f>E1968-F1968</f>
        <v/>
      </c>
    </row>
    <row r="1969" ht="15" customHeight="1" s="1">
      <c r="A1969" s="2" t="n">
        <v>51967</v>
      </c>
      <c r="B1969" s="2" t="inlineStr">
        <is>
          <t>SKU-0098</t>
        </is>
      </c>
      <c r="C1969" s="2" t="n">
        <v>17</v>
      </c>
      <c r="D1969" s="2">
        <f>VLOOKUP(B1969,Products!$A$2:$D$201,3,FALSE())</f>
        <v/>
      </c>
      <c r="E1969" s="2">
        <f>C1969*D1969</f>
        <v/>
      </c>
      <c r="F1969" s="2">
        <f>C1969*INDEX(Products!$D$2:$D$201,MATCH(B1969,Products!$A$2:$A$201,0))</f>
        <v/>
      </c>
      <c r="G1969" s="2">
        <f>E1969-F1969</f>
        <v/>
      </c>
    </row>
    <row r="1970" ht="15" customHeight="1" s="1">
      <c r="A1970" s="2" t="n">
        <v>51968</v>
      </c>
      <c r="B1970" s="2" t="inlineStr">
        <is>
          <t>SKU-0179</t>
        </is>
      </c>
      <c r="C1970" s="2" t="n">
        <v>16</v>
      </c>
      <c r="D1970" s="2">
        <f>VLOOKUP(B1970,Products!$A$2:$D$201,3,FALSE())</f>
        <v/>
      </c>
      <c r="E1970" s="2">
        <f>C1970*D1970</f>
        <v/>
      </c>
      <c r="F1970" s="2">
        <f>C1970*INDEX(Products!$D$2:$D$201,MATCH(B1970,Products!$A$2:$A$201,0))</f>
        <v/>
      </c>
      <c r="G1970" s="2">
        <f>E1970-F1970</f>
        <v/>
      </c>
    </row>
    <row r="1971" ht="15" customHeight="1" s="1">
      <c r="A1971" s="2" t="n">
        <v>51969</v>
      </c>
      <c r="B1971" s="2" t="inlineStr">
        <is>
          <t>SKU-0024</t>
        </is>
      </c>
      <c r="C1971" s="2" t="n">
        <v>16</v>
      </c>
      <c r="D1971" s="2">
        <f>VLOOKUP(B1971,Products!$A$2:$D$201,3,FALSE())</f>
        <v/>
      </c>
      <c r="E1971" s="2">
        <f>C1971*D1971</f>
        <v/>
      </c>
      <c r="F1971" s="2">
        <f>C1971*INDEX(Products!$D$2:$D$201,MATCH(B1971,Products!$A$2:$A$201,0))</f>
        <v/>
      </c>
      <c r="G1971" s="2">
        <f>E1971-F1971</f>
        <v/>
      </c>
    </row>
    <row r="1972" ht="15" customHeight="1" s="1">
      <c r="A1972" s="2" t="n">
        <v>51970</v>
      </c>
      <c r="B1972" s="2" t="inlineStr">
        <is>
          <t>SKU-0113</t>
        </is>
      </c>
      <c r="C1972" s="2" t="n">
        <v>6</v>
      </c>
      <c r="D1972" s="2">
        <f>VLOOKUP(B1972,Products!$A$2:$D$201,3,FALSE())</f>
        <v/>
      </c>
      <c r="E1972" s="2">
        <f>C1972*D1972</f>
        <v/>
      </c>
      <c r="F1972" s="2">
        <f>C1972*INDEX(Products!$D$2:$D$201,MATCH(B1972,Products!$A$2:$A$201,0))</f>
        <v/>
      </c>
      <c r="G1972" s="2">
        <f>E1972-F1972</f>
        <v/>
      </c>
    </row>
    <row r="1973" ht="15" customHeight="1" s="1">
      <c r="A1973" s="2" t="n">
        <v>51971</v>
      </c>
      <c r="B1973" s="2" t="inlineStr">
        <is>
          <t>SKU-0154</t>
        </is>
      </c>
      <c r="C1973" s="2" t="n">
        <v>13</v>
      </c>
      <c r="D1973" s="2">
        <f>VLOOKUP(B1973,Products!$A$2:$D$201,3,FALSE())</f>
        <v/>
      </c>
      <c r="E1973" s="2">
        <f>C1973*D1973</f>
        <v/>
      </c>
      <c r="F1973" s="2">
        <f>C1973*INDEX(Products!$D$2:$D$201,MATCH(B1973,Products!$A$2:$A$201,0))</f>
        <v/>
      </c>
      <c r="G1973" s="2">
        <f>E1973-F1973</f>
        <v/>
      </c>
    </row>
    <row r="1974" ht="15" customHeight="1" s="1">
      <c r="A1974" s="2" t="n">
        <v>51972</v>
      </c>
      <c r="B1974" s="2" t="inlineStr">
        <is>
          <t>SKU-0139</t>
        </is>
      </c>
      <c r="C1974" s="2" t="n">
        <v>19</v>
      </c>
      <c r="D1974" s="2">
        <f>VLOOKUP(B1974,Products!$A$2:$D$201,3,FALSE())</f>
        <v/>
      </c>
      <c r="E1974" s="2">
        <f>C1974*D1974</f>
        <v/>
      </c>
      <c r="F1974" s="2">
        <f>C1974*INDEX(Products!$D$2:$D$201,MATCH(B1974,Products!$A$2:$A$201,0))</f>
        <v/>
      </c>
      <c r="G1974" s="2">
        <f>E1974-F1974</f>
        <v/>
      </c>
    </row>
    <row r="1975" ht="15" customHeight="1" s="1">
      <c r="A1975" s="2" t="n">
        <v>51973</v>
      </c>
      <c r="B1975" s="2" t="inlineStr">
        <is>
          <t>SKU-0097</t>
        </is>
      </c>
      <c r="C1975" s="2" t="n">
        <v>17</v>
      </c>
      <c r="D1975" s="2">
        <f>VLOOKUP(B1975,Products!$A$2:$D$201,3,FALSE())</f>
        <v/>
      </c>
      <c r="E1975" s="2">
        <f>C1975*D1975</f>
        <v/>
      </c>
      <c r="F1975" s="2">
        <f>C1975*INDEX(Products!$D$2:$D$201,MATCH(B1975,Products!$A$2:$A$201,0))</f>
        <v/>
      </c>
      <c r="G1975" s="2">
        <f>E1975-F1975</f>
        <v/>
      </c>
    </row>
    <row r="1976" ht="15" customHeight="1" s="1">
      <c r="A1976" s="2" t="n">
        <v>51974</v>
      </c>
      <c r="B1976" s="2" t="inlineStr">
        <is>
          <t>SKU-0045</t>
        </is>
      </c>
      <c r="C1976" s="2" t="n">
        <v>19</v>
      </c>
      <c r="D1976" s="2">
        <f>VLOOKUP(B1976,Products!$A$2:$D$201,3,FALSE())</f>
        <v/>
      </c>
      <c r="E1976" s="2">
        <f>C1976*D1976</f>
        <v/>
      </c>
      <c r="F1976" s="2">
        <f>C1976*INDEX(Products!$D$2:$D$201,MATCH(B1976,Products!$A$2:$A$201,0))</f>
        <v/>
      </c>
      <c r="G1976" s="2">
        <f>E1976-F1976</f>
        <v/>
      </c>
    </row>
    <row r="1977" ht="15" customHeight="1" s="1">
      <c r="A1977" s="2" t="n">
        <v>51975</v>
      </c>
      <c r="B1977" s="2" t="inlineStr">
        <is>
          <t>SKU-0091</t>
        </is>
      </c>
      <c r="C1977" s="2" t="n">
        <v>18</v>
      </c>
      <c r="D1977" s="2">
        <f>VLOOKUP(B1977,Products!$A$2:$D$201,3,FALSE())</f>
        <v/>
      </c>
      <c r="E1977" s="2">
        <f>C1977*D1977</f>
        <v/>
      </c>
      <c r="F1977" s="2">
        <f>C1977*INDEX(Products!$D$2:$D$201,MATCH(B1977,Products!$A$2:$A$201,0))</f>
        <v/>
      </c>
      <c r="G1977" s="2">
        <f>E1977-F1977</f>
        <v/>
      </c>
    </row>
    <row r="1978" ht="15" customHeight="1" s="1">
      <c r="A1978" s="2" t="n">
        <v>51976</v>
      </c>
      <c r="B1978" s="2" t="inlineStr">
        <is>
          <t>SKU-0195</t>
        </is>
      </c>
      <c r="C1978" s="2" t="n">
        <v>8</v>
      </c>
      <c r="D1978" s="2">
        <f>VLOOKUP(B1978,Products!$A$2:$D$201,3,FALSE())</f>
        <v/>
      </c>
      <c r="E1978" s="2">
        <f>C1978*D1978</f>
        <v/>
      </c>
      <c r="F1978" s="2">
        <f>C1978*INDEX(Products!$D$2:$D$201,MATCH(B1978,Products!$A$2:$A$201,0))</f>
        <v/>
      </c>
      <c r="G1978" s="2">
        <f>E1978-F1978</f>
        <v/>
      </c>
    </row>
    <row r="1979" ht="15" customHeight="1" s="1">
      <c r="A1979" s="2" t="n">
        <v>51977</v>
      </c>
      <c r="B1979" s="2" t="inlineStr">
        <is>
          <t>SKU-0155</t>
        </is>
      </c>
      <c r="C1979" s="2" t="n">
        <v>17</v>
      </c>
      <c r="D1979" s="2">
        <f>VLOOKUP(B1979,Products!$A$2:$D$201,3,FALSE())</f>
        <v/>
      </c>
      <c r="E1979" s="2">
        <f>C1979*D1979</f>
        <v/>
      </c>
      <c r="F1979" s="2">
        <f>C1979*INDEX(Products!$D$2:$D$201,MATCH(B1979,Products!$A$2:$A$201,0))</f>
        <v/>
      </c>
      <c r="G1979" s="2">
        <f>E1979-F1979</f>
        <v/>
      </c>
    </row>
    <row r="1980" ht="15" customHeight="1" s="1">
      <c r="A1980" s="2" t="n">
        <v>51978</v>
      </c>
      <c r="B1980" s="2" t="inlineStr">
        <is>
          <t>SKU-0145</t>
        </is>
      </c>
      <c r="C1980" s="2" t="n">
        <v>6</v>
      </c>
      <c r="D1980" s="2">
        <f>VLOOKUP(B1980,Products!$A$2:$D$201,3,FALSE())</f>
        <v/>
      </c>
      <c r="E1980" s="2">
        <f>C1980*D1980</f>
        <v/>
      </c>
      <c r="F1980" s="2">
        <f>C1980*INDEX(Products!$D$2:$D$201,MATCH(B1980,Products!$A$2:$A$201,0))</f>
        <v/>
      </c>
      <c r="G1980" s="2">
        <f>E1980-F1980</f>
        <v/>
      </c>
    </row>
    <row r="1981" ht="15" customHeight="1" s="1">
      <c r="A1981" s="2" t="n">
        <v>51979</v>
      </c>
      <c r="B1981" s="2" t="inlineStr">
        <is>
          <t>SKU-0166</t>
        </is>
      </c>
      <c r="C1981" s="2" t="n">
        <v>14</v>
      </c>
      <c r="D1981" s="2">
        <f>VLOOKUP(B1981,Products!$A$2:$D$201,3,FALSE())</f>
        <v/>
      </c>
      <c r="E1981" s="2">
        <f>C1981*D1981</f>
        <v/>
      </c>
      <c r="F1981" s="2">
        <f>C1981*INDEX(Products!$D$2:$D$201,MATCH(B1981,Products!$A$2:$A$201,0))</f>
        <v/>
      </c>
      <c r="G1981" s="2">
        <f>E1981-F1981</f>
        <v/>
      </c>
    </row>
    <row r="1982" ht="15" customHeight="1" s="1">
      <c r="A1982" s="2" t="n">
        <v>51980</v>
      </c>
      <c r="B1982" s="2" t="inlineStr">
        <is>
          <t>SKU-0181</t>
        </is>
      </c>
      <c r="C1982" s="2" t="n">
        <v>9</v>
      </c>
      <c r="D1982" s="2">
        <f>VLOOKUP(B1982,Products!$A$2:$D$201,3,FALSE())</f>
        <v/>
      </c>
      <c r="E1982" s="2">
        <f>C1982*D1982</f>
        <v/>
      </c>
      <c r="F1982" s="2">
        <f>C1982*INDEX(Products!$D$2:$D$201,MATCH(B1982,Products!$A$2:$A$201,0))</f>
        <v/>
      </c>
      <c r="G1982" s="2">
        <f>E1982-F1982</f>
        <v/>
      </c>
    </row>
    <row r="1983" ht="15" customHeight="1" s="1">
      <c r="A1983" s="2" t="n">
        <v>51981</v>
      </c>
      <c r="B1983" s="2" t="inlineStr">
        <is>
          <t>SKU-0024</t>
        </is>
      </c>
      <c r="C1983" s="2" t="n">
        <v>19</v>
      </c>
      <c r="D1983" s="2">
        <f>VLOOKUP(B1983,Products!$A$2:$D$201,3,FALSE())</f>
        <v/>
      </c>
      <c r="E1983" s="2">
        <f>C1983*D1983</f>
        <v/>
      </c>
      <c r="F1983" s="2">
        <f>C1983*INDEX(Products!$D$2:$D$201,MATCH(B1983,Products!$A$2:$A$201,0))</f>
        <v/>
      </c>
      <c r="G1983" s="2">
        <f>E1983-F1983</f>
        <v/>
      </c>
    </row>
    <row r="1984" ht="15" customHeight="1" s="1">
      <c r="A1984" s="2" t="n">
        <v>51982</v>
      </c>
      <c r="B1984" s="2" t="inlineStr">
        <is>
          <t>SKU-0005</t>
        </is>
      </c>
      <c r="C1984" s="2" t="n">
        <v>19</v>
      </c>
      <c r="D1984" s="2">
        <f>VLOOKUP(B1984,Products!$A$2:$D$201,3,FALSE())</f>
        <v/>
      </c>
      <c r="E1984" s="2">
        <f>C1984*D1984</f>
        <v/>
      </c>
      <c r="F1984" s="2">
        <f>C1984*INDEX(Products!$D$2:$D$201,MATCH(B1984,Products!$A$2:$A$201,0))</f>
        <v/>
      </c>
      <c r="G1984" s="2">
        <f>E1984-F1984</f>
        <v/>
      </c>
    </row>
    <row r="1985" ht="15" customHeight="1" s="1">
      <c r="A1985" s="2" t="n">
        <v>51983</v>
      </c>
      <c r="B1985" s="2" t="inlineStr">
        <is>
          <t>SKU-0042</t>
        </is>
      </c>
      <c r="C1985" s="2" t="n">
        <v>12</v>
      </c>
      <c r="D1985" s="2">
        <f>VLOOKUP(B1985,Products!$A$2:$D$201,3,FALSE())</f>
        <v/>
      </c>
      <c r="E1985" s="2">
        <f>C1985*D1985</f>
        <v/>
      </c>
      <c r="F1985" s="2">
        <f>C1985*INDEX(Products!$D$2:$D$201,MATCH(B1985,Products!$A$2:$A$201,0))</f>
        <v/>
      </c>
      <c r="G1985" s="2">
        <f>E1985-F1985</f>
        <v/>
      </c>
    </row>
    <row r="1986" ht="15" customHeight="1" s="1">
      <c r="A1986" s="2" t="n">
        <v>51984</v>
      </c>
      <c r="B1986" s="2" t="inlineStr">
        <is>
          <t>SKU-0004</t>
        </is>
      </c>
      <c r="C1986" s="2" t="n">
        <v>5</v>
      </c>
      <c r="D1986" s="2">
        <f>VLOOKUP(B1986,Products!$A$2:$D$201,3,FALSE())</f>
        <v/>
      </c>
      <c r="E1986" s="2">
        <f>C1986*D1986</f>
        <v/>
      </c>
      <c r="F1986" s="2">
        <f>C1986*INDEX(Products!$D$2:$D$201,MATCH(B1986,Products!$A$2:$A$201,0))</f>
        <v/>
      </c>
      <c r="G1986" s="2">
        <f>E1986-F1986</f>
        <v/>
      </c>
    </row>
    <row r="1987" ht="15" customHeight="1" s="1">
      <c r="A1987" s="2" t="n">
        <v>51985</v>
      </c>
      <c r="B1987" s="2" t="inlineStr">
        <is>
          <t>SKU-0007</t>
        </is>
      </c>
      <c r="C1987" s="2" t="n">
        <v>18</v>
      </c>
      <c r="D1987" s="2">
        <f>VLOOKUP(B1987,Products!$A$2:$D$201,3,FALSE())</f>
        <v/>
      </c>
      <c r="E1987" s="2">
        <f>C1987*D1987</f>
        <v/>
      </c>
      <c r="F1987" s="2">
        <f>C1987*INDEX(Products!$D$2:$D$201,MATCH(B1987,Products!$A$2:$A$201,0))</f>
        <v/>
      </c>
      <c r="G1987" s="2">
        <f>E1987-F1987</f>
        <v/>
      </c>
    </row>
    <row r="1988" ht="15" customHeight="1" s="1">
      <c r="A1988" s="2" t="n">
        <v>51986</v>
      </c>
      <c r="B1988" s="2" t="inlineStr">
        <is>
          <t>SKU-0080</t>
        </is>
      </c>
      <c r="C1988" s="2" t="n">
        <v>13</v>
      </c>
      <c r="D1988" s="2">
        <f>VLOOKUP(B1988,Products!$A$2:$D$201,3,FALSE())</f>
        <v/>
      </c>
      <c r="E1988" s="2">
        <f>C1988*D1988</f>
        <v/>
      </c>
      <c r="F1988" s="2">
        <f>C1988*INDEX(Products!$D$2:$D$201,MATCH(B1988,Products!$A$2:$A$201,0))</f>
        <v/>
      </c>
      <c r="G1988" s="2">
        <f>E1988-F1988</f>
        <v/>
      </c>
    </row>
    <row r="1989" ht="15" customHeight="1" s="1">
      <c r="A1989" s="2" t="n">
        <v>51987</v>
      </c>
      <c r="B1989" s="2" t="inlineStr">
        <is>
          <t>SKU-0199</t>
        </is>
      </c>
      <c r="C1989" s="2" t="n">
        <v>20</v>
      </c>
      <c r="D1989" s="2">
        <f>VLOOKUP(B1989,Products!$A$2:$D$201,3,FALSE())</f>
        <v/>
      </c>
      <c r="E1989" s="2">
        <f>C1989*D1989</f>
        <v/>
      </c>
      <c r="F1989" s="2">
        <f>C1989*INDEX(Products!$D$2:$D$201,MATCH(B1989,Products!$A$2:$A$201,0))</f>
        <v/>
      </c>
      <c r="G1989" s="2">
        <f>E1989-F1989</f>
        <v/>
      </c>
    </row>
    <row r="1990" ht="15" customHeight="1" s="1">
      <c r="A1990" s="2" t="n">
        <v>51988</v>
      </c>
      <c r="B1990" s="2" t="inlineStr">
        <is>
          <t>SKU-0113</t>
        </is>
      </c>
      <c r="C1990" s="2" t="n">
        <v>19</v>
      </c>
      <c r="D1990" s="2">
        <f>VLOOKUP(B1990,Products!$A$2:$D$201,3,FALSE())</f>
        <v/>
      </c>
      <c r="E1990" s="2">
        <f>C1990*D1990</f>
        <v/>
      </c>
      <c r="F1990" s="2">
        <f>C1990*INDEX(Products!$D$2:$D$201,MATCH(B1990,Products!$A$2:$A$201,0))</f>
        <v/>
      </c>
      <c r="G1990" s="2">
        <f>E1990-F1990</f>
        <v/>
      </c>
    </row>
    <row r="1991" ht="15" customHeight="1" s="1">
      <c r="A1991" s="2" t="n">
        <v>51989</v>
      </c>
      <c r="B1991" s="2" t="inlineStr">
        <is>
          <t>SKU-0188</t>
        </is>
      </c>
      <c r="C1991" s="2" t="n">
        <v>3</v>
      </c>
      <c r="D1991" s="2">
        <f>VLOOKUP(B1991,Products!$A$2:$D$201,3,FALSE())</f>
        <v/>
      </c>
      <c r="E1991" s="2">
        <f>C1991*D1991</f>
        <v/>
      </c>
      <c r="F1991" s="2">
        <f>C1991*INDEX(Products!$D$2:$D$201,MATCH(B1991,Products!$A$2:$A$201,0))</f>
        <v/>
      </c>
      <c r="G1991" s="2">
        <f>E1991-F1991</f>
        <v/>
      </c>
    </row>
    <row r="1992" ht="15" customHeight="1" s="1">
      <c r="A1992" s="2" t="n">
        <v>51990</v>
      </c>
      <c r="B1992" s="2" t="inlineStr">
        <is>
          <t>SKU-0095</t>
        </is>
      </c>
      <c r="C1992" s="2" t="n">
        <v>18</v>
      </c>
      <c r="D1992" s="2">
        <f>VLOOKUP(B1992,Products!$A$2:$D$201,3,FALSE())</f>
        <v/>
      </c>
      <c r="E1992" s="2">
        <f>C1992*D1992</f>
        <v/>
      </c>
      <c r="F1992" s="2">
        <f>C1992*INDEX(Products!$D$2:$D$201,MATCH(B1992,Products!$A$2:$A$201,0))</f>
        <v/>
      </c>
      <c r="G1992" s="2">
        <f>E1992-F1992</f>
        <v/>
      </c>
    </row>
    <row r="1993" ht="15" customHeight="1" s="1">
      <c r="A1993" s="2" t="n">
        <v>51991</v>
      </c>
      <c r="B1993" s="2" t="inlineStr">
        <is>
          <t>SKU-0163</t>
        </is>
      </c>
      <c r="C1993" s="2" t="n">
        <v>3</v>
      </c>
      <c r="D1993" s="2">
        <f>VLOOKUP(B1993,Products!$A$2:$D$201,3,FALSE())</f>
        <v/>
      </c>
      <c r="E1993" s="2">
        <f>C1993*D1993</f>
        <v/>
      </c>
      <c r="F1993" s="2">
        <f>C1993*INDEX(Products!$D$2:$D$201,MATCH(B1993,Products!$A$2:$A$201,0))</f>
        <v/>
      </c>
      <c r="G1993" s="2">
        <f>E1993-F1993</f>
        <v/>
      </c>
    </row>
    <row r="1994" ht="15" customHeight="1" s="1">
      <c r="A1994" s="2" t="n">
        <v>51992</v>
      </c>
      <c r="B1994" s="2" t="inlineStr">
        <is>
          <t>SKU-0054</t>
        </is>
      </c>
      <c r="C1994" s="2" t="n">
        <v>6</v>
      </c>
      <c r="D1994" s="2">
        <f>VLOOKUP(B1994,Products!$A$2:$D$201,3,FALSE())</f>
        <v/>
      </c>
      <c r="E1994" s="2">
        <f>C1994*D1994</f>
        <v/>
      </c>
      <c r="F1994" s="2">
        <f>C1994*INDEX(Products!$D$2:$D$201,MATCH(B1994,Products!$A$2:$A$201,0))</f>
        <v/>
      </c>
      <c r="G1994" s="2">
        <f>E1994-F1994</f>
        <v/>
      </c>
    </row>
    <row r="1995" ht="15" customHeight="1" s="1">
      <c r="A1995" s="2" t="n">
        <v>51993</v>
      </c>
      <c r="B1995" s="2" t="inlineStr">
        <is>
          <t>SKU-0067</t>
        </is>
      </c>
      <c r="C1995" s="2" t="n">
        <v>13</v>
      </c>
      <c r="D1995" s="2">
        <f>VLOOKUP(B1995,Products!$A$2:$D$201,3,FALSE())</f>
        <v/>
      </c>
      <c r="E1995" s="2">
        <f>C1995*D1995</f>
        <v/>
      </c>
      <c r="F1995" s="2">
        <f>C1995*INDEX(Products!$D$2:$D$201,MATCH(B1995,Products!$A$2:$A$201,0))</f>
        <v/>
      </c>
      <c r="G1995" s="2">
        <f>E1995-F1995</f>
        <v/>
      </c>
    </row>
    <row r="1996" ht="15" customHeight="1" s="1">
      <c r="A1996" s="2" t="n">
        <v>51994</v>
      </c>
      <c r="B1996" s="2" t="inlineStr">
        <is>
          <t>SKU-0137</t>
        </is>
      </c>
      <c r="C1996" s="2" t="n">
        <v>1</v>
      </c>
      <c r="D1996" s="2">
        <f>VLOOKUP(B1996,Products!$A$2:$D$201,3,FALSE())</f>
        <v/>
      </c>
      <c r="E1996" s="2">
        <f>C1996*D1996</f>
        <v/>
      </c>
      <c r="F1996" s="2">
        <f>C1996*INDEX(Products!$D$2:$D$201,MATCH(B1996,Products!$A$2:$A$201,0))</f>
        <v/>
      </c>
      <c r="G1996" s="2">
        <f>E1996-F1996</f>
        <v/>
      </c>
    </row>
    <row r="1997" ht="15" customHeight="1" s="1">
      <c r="A1997" s="2" t="n">
        <v>51995</v>
      </c>
      <c r="B1997" s="2" t="inlineStr">
        <is>
          <t>SKU-0037</t>
        </is>
      </c>
      <c r="C1997" s="2" t="n">
        <v>12</v>
      </c>
      <c r="D1997" s="2">
        <f>VLOOKUP(B1997,Products!$A$2:$D$201,3,FALSE())</f>
        <v/>
      </c>
      <c r="E1997" s="2">
        <f>C1997*D1997</f>
        <v/>
      </c>
      <c r="F1997" s="2">
        <f>C1997*INDEX(Products!$D$2:$D$201,MATCH(B1997,Products!$A$2:$A$201,0))</f>
        <v/>
      </c>
      <c r="G1997" s="2">
        <f>E1997-F1997</f>
        <v/>
      </c>
    </row>
    <row r="1998" ht="15" customHeight="1" s="1">
      <c r="A1998" s="2" t="n">
        <v>51996</v>
      </c>
      <c r="B1998" s="2" t="inlineStr">
        <is>
          <t>SKU-0050</t>
        </is>
      </c>
      <c r="C1998" s="2" t="n">
        <v>1</v>
      </c>
      <c r="D1998" s="2">
        <f>VLOOKUP(B1998,Products!$A$2:$D$201,3,FALSE())</f>
        <v/>
      </c>
      <c r="E1998" s="2">
        <f>C1998*D1998</f>
        <v/>
      </c>
      <c r="F1998" s="2">
        <f>C1998*INDEX(Products!$D$2:$D$201,MATCH(B1998,Products!$A$2:$A$201,0))</f>
        <v/>
      </c>
      <c r="G1998" s="2">
        <f>E1998-F1998</f>
        <v/>
      </c>
    </row>
    <row r="1999" ht="15" customHeight="1" s="1">
      <c r="A1999" s="2" t="n">
        <v>51997</v>
      </c>
      <c r="B1999" s="2" t="inlineStr">
        <is>
          <t>SKU-0066</t>
        </is>
      </c>
      <c r="C1999" s="2" t="n">
        <v>5</v>
      </c>
      <c r="D1999" s="2">
        <f>VLOOKUP(B1999,Products!$A$2:$D$201,3,FALSE())</f>
        <v/>
      </c>
      <c r="E1999" s="2">
        <f>C1999*D1999</f>
        <v/>
      </c>
      <c r="F1999" s="2">
        <f>C1999*INDEX(Products!$D$2:$D$201,MATCH(B1999,Products!$A$2:$A$201,0))</f>
        <v/>
      </c>
      <c r="G1999" s="2">
        <f>E1999-F1999</f>
        <v/>
      </c>
    </row>
    <row r="2000" ht="15" customHeight="1" s="1">
      <c r="A2000" s="2" t="n">
        <v>51998</v>
      </c>
      <c r="B2000" s="2" t="inlineStr">
        <is>
          <t>SKU-0031</t>
        </is>
      </c>
      <c r="C2000" s="2" t="n">
        <v>7</v>
      </c>
      <c r="D2000" s="2">
        <f>VLOOKUP(B2000,Products!$A$2:$D$201,3,FALSE())</f>
        <v/>
      </c>
      <c r="E2000" s="2">
        <f>C2000*D2000</f>
        <v/>
      </c>
      <c r="F2000" s="2">
        <f>C2000*INDEX(Products!$D$2:$D$201,MATCH(B2000,Products!$A$2:$A$201,0))</f>
        <v/>
      </c>
      <c r="G2000" s="2">
        <f>E2000-F2000</f>
        <v/>
      </c>
    </row>
    <row r="2001" ht="15" customHeight="1" s="1">
      <c r="A2001" s="2" t="n">
        <v>51999</v>
      </c>
      <c r="B2001" s="2" t="inlineStr">
        <is>
          <t>SKU-0133</t>
        </is>
      </c>
      <c r="C2001" s="2" t="n">
        <v>4</v>
      </c>
      <c r="D2001" s="2">
        <f>VLOOKUP(B2001,Products!$A$2:$D$201,3,FALSE())</f>
        <v/>
      </c>
      <c r="E2001" s="2">
        <f>C2001*D2001</f>
        <v/>
      </c>
      <c r="F2001" s="2">
        <f>C2001*INDEX(Products!$D$2:$D$201,MATCH(B2001,Products!$A$2:$A$201,0))</f>
        <v/>
      </c>
      <c r="G2001" s="2">
        <f>E2001-F2001</f>
        <v/>
      </c>
    </row>
    <row r="2002" ht="15" customHeight="1" s="1">
      <c r="A2002" s="2" t="n">
        <v>52000</v>
      </c>
      <c r="B2002" s="2" t="inlineStr">
        <is>
          <t>SKU-0172</t>
        </is>
      </c>
      <c r="C2002" s="2" t="n">
        <v>3</v>
      </c>
      <c r="D2002" s="2">
        <f>VLOOKUP(B2002,Products!$A$2:$D$201,3,FALSE())</f>
        <v/>
      </c>
      <c r="E2002" s="2">
        <f>C2002*D2002</f>
        <v/>
      </c>
      <c r="F2002" s="2">
        <f>C2002*INDEX(Products!$D$2:$D$201,MATCH(B2002,Products!$A$2:$A$201,0))</f>
        <v/>
      </c>
      <c r="G2002" s="2">
        <f>E2002-F2002</f>
        <v/>
      </c>
    </row>
    <row r="2003" ht="15" customHeight="1" s="1">
      <c r="A2003" s="2" t="n">
        <v>52001</v>
      </c>
      <c r="B2003" s="2" t="inlineStr">
        <is>
          <t>SKU-0164</t>
        </is>
      </c>
      <c r="C2003" s="2" t="n">
        <v>20</v>
      </c>
      <c r="D2003" s="2">
        <f>VLOOKUP(B2003,Products!$A$2:$D$201,3,FALSE())</f>
        <v/>
      </c>
      <c r="E2003" s="2">
        <f>C2003*D2003</f>
        <v/>
      </c>
      <c r="F2003" s="2">
        <f>C2003*INDEX(Products!$D$2:$D$201,MATCH(B2003,Products!$A$2:$A$201,0))</f>
        <v/>
      </c>
      <c r="G2003" s="2">
        <f>E2003-F2003</f>
        <v/>
      </c>
    </row>
    <row r="2004" ht="15" customHeight="1" s="1">
      <c r="A2004" s="2" t="n">
        <v>52002</v>
      </c>
      <c r="B2004" s="2" t="inlineStr">
        <is>
          <t>SKU-0040</t>
        </is>
      </c>
      <c r="C2004" s="2" t="n">
        <v>12</v>
      </c>
      <c r="D2004" s="2">
        <f>VLOOKUP(B2004,Products!$A$2:$D$201,3,FALSE())</f>
        <v/>
      </c>
      <c r="E2004" s="2">
        <f>C2004*D2004</f>
        <v/>
      </c>
      <c r="F2004" s="2">
        <f>C2004*INDEX(Products!$D$2:$D$201,MATCH(B2004,Products!$A$2:$A$201,0))</f>
        <v/>
      </c>
      <c r="G2004" s="2">
        <f>E2004-F2004</f>
        <v/>
      </c>
    </row>
    <row r="2005" ht="15" customHeight="1" s="1">
      <c r="A2005" s="2" t="n">
        <v>52003</v>
      </c>
      <c r="B2005" s="2" t="inlineStr">
        <is>
          <t>SKU-0139</t>
        </is>
      </c>
      <c r="C2005" s="2" t="n">
        <v>11</v>
      </c>
      <c r="D2005" s="2">
        <f>VLOOKUP(B2005,Products!$A$2:$D$201,3,FALSE())</f>
        <v/>
      </c>
      <c r="E2005" s="2">
        <f>C2005*D2005</f>
        <v/>
      </c>
      <c r="F2005" s="2">
        <f>C2005*INDEX(Products!$D$2:$D$201,MATCH(B2005,Products!$A$2:$A$201,0))</f>
        <v/>
      </c>
      <c r="G2005" s="2">
        <f>E2005-F2005</f>
        <v/>
      </c>
    </row>
    <row r="2006" ht="15" customHeight="1" s="1">
      <c r="A2006" s="2" t="n">
        <v>52004</v>
      </c>
      <c r="B2006" s="2" t="inlineStr">
        <is>
          <t>SKU-0189</t>
        </is>
      </c>
      <c r="C2006" s="2" t="n">
        <v>1</v>
      </c>
      <c r="D2006" s="2">
        <f>VLOOKUP(B2006,Products!$A$2:$D$201,3,FALSE())</f>
        <v/>
      </c>
      <c r="E2006" s="2">
        <f>C2006*D2006</f>
        <v/>
      </c>
      <c r="F2006" s="2">
        <f>C2006*INDEX(Products!$D$2:$D$201,MATCH(B2006,Products!$A$2:$A$201,0))</f>
        <v/>
      </c>
      <c r="G2006" s="2">
        <f>E2006-F2006</f>
        <v/>
      </c>
    </row>
    <row r="2007" ht="15" customHeight="1" s="1">
      <c r="A2007" s="2" t="n">
        <v>52005</v>
      </c>
      <c r="B2007" s="2" t="inlineStr">
        <is>
          <t>SKU-0080</t>
        </is>
      </c>
      <c r="C2007" s="2" t="n">
        <v>17</v>
      </c>
      <c r="D2007" s="2">
        <f>VLOOKUP(B2007,Products!$A$2:$D$201,3,FALSE())</f>
        <v/>
      </c>
      <c r="E2007" s="2">
        <f>C2007*D2007</f>
        <v/>
      </c>
      <c r="F2007" s="2">
        <f>C2007*INDEX(Products!$D$2:$D$201,MATCH(B2007,Products!$A$2:$A$201,0))</f>
        <v/>
      </c>
      <c r="G2007" s="2">
        <f>E2007-F2007</f>
        <v/>
      </c>
    </row>
    <row r="2008" ht="15" customHeight="1" s="1">
      <c r="A2008" s="2" t="n">
        <v>52006</v>
      </c>
      <c r="B2008" s="2" t="inlineStr">
        <is>
          <t>SKU-0121</t>
        </is>
      </c>
      <c r="C2008" s="2" t="n">
        <v>1</v>
      </c>
      <c r="D2008" s="2">
        <f>VLOOKUP(B2008,Products!$A$2:$D$201,3,FALSE())</f>
        <v/>
      </c>
      <c r="E2008" s="2">
        <f>C2008*D2008</f>
        <v/>
      </c>
      <c r="F2008" s="2">
        <f>C2008*INDEX(Products!$D$2:$D$201,MATCH(B2008,Products!$A$2:$A$201,0))</f>
        <v/>
      </c>
      <c r="G2008" s="2">
        <f>E2008-F2008</f>
        <v/>
      </c>
    </row>
    <row r="2009" ht="15" customHeight="1" s="1">
      <c r="A2009" s="2" t="n">
        <v>52007</v>
      </c>
      <c r="B2009" s="2" t="inlineStr">
        <is>
          <t>SKU-0105</t>
        </is>
      </c>
      <c r="C2009" s="2" t="n">
        <v>13</v>
      </c>
      <c r="D2009" s="2">
        <f>VLOOKUP(B2009,Products!$A$2:$D$201,3,FALSE())</f>
        <v/>
      </c>
      <c r="E2009" s="2">
        <f>C2009*D2009</f>
        <v/>
      </c>
      <c r="F2009" s="2">
        <f>C2009*INDEX(Products!$D$2:$D$201,MATCH(B2009,Products!$A$2:$A$201,0))</f>
        <v/>
      </c>
      <c r="G2009" s="2">
        <f>E2009-F2009</f>
        <v/>
      </c>
    </row>
    <row r="2010" ht="15" customHeight="1" s="1">
      <c r="A2010" s="2" t="n">
        <v>52008</v>
      </c>
      <c r="B2010" s="2" t="inlineStr">
        <is>
          <t>SKU-0000</t>
        </is>
      </c>
      <c r="C2010" s="2" t="n">
        <v>1</v>
      </c>
      <c r="D2010" s="2">
        <f>VLOOKUP(B2010,Products!$A$2:$D$201,3,FALSE())</f>
        <v/>
      </c>
      <c r="E2010" s="2">
        <f>C2010*D2010</f>
        <v/>
      </c>
      <c r="F2010" s="2">
        <f>C2010*INDEX(Products!$D$2:$D$201,MATCH(B2010,Products!$A$2:$A$201,0))</f>
        <v/>
      </c>
      <c r="G2010" s="2">
        <f>E2010-F2010</f>
        <v/>
      </c>
    </row>
    <row r="2011" ht="15" customHeight="1" s="1">
      <c r="A2011" s="2" t="n">
        <v>52009</v>
      </c>
      <c r="B2011" s="2" t="inlineStr">
        <is>
          <t>SKU-0165</t>
        </is>
      </c>
      <c r="C2011" s="2" t="n">
        <v>4</v>
      </c>
      <c r="D2011" s="2">
        <f>VLOOKUP(B2011,Products!$A$2:$D$201,3,FALSE())</f>
        <v/>
      </c>
      <c r="E2011" s="2">
        <f>C2011*D2011</f>
        <v/>
      </c>
      <c r="F2011" s="2">
        <f>C2011*INDEX(Products!$D$2:$D$201,MATCH(B2011,Products!$A$2:$A$201,0))</f>
        <v/>
      </c>
      <c r="G2011" s="2">
        <f>E2011-F2011</f>
        <v/>
      </c>
    </row>
    <row r="2012" ht="15" customHeight="1" s="1">
      <c r="A2012" s="2" t="n">
        <v>52010</v>
      </c>
      <c r="B2012" s="2" t="inlineStr">
        <is>
          <t>SKU-0090</t>
        </is>
      </c>
      <c r="C2012" s="2" t="n">
        <v>14</v>
      </c>
      <c r="D2012" s="2">
        <f>VLOOKUP(B2012,Products!$A$2:$D$201,3,FALSE())</f>
        <v/>
      </c>
      <c r="E2012" s="2">
        <f>C2012*D2012</f>
        <v/>
      </c>
      <c r="F2012" s="2">
        <f>C2012*INDEX(Products!$D$2:$D$201,MATCH(B2012,Products!$A$2:$A$201,0))</f>
        <v/>
      </c>
      <c r="G2012" s="2">
        <f>E2012-F2012</f>
        <v/>
      </c>
    </row>
    <row r="2013" ht="15" customHeight="1" s="1">
      <c r="A2013" s="2" t="n">
        <v>52011</v>
      </c>
      <c r="B2013" s="2" t="inlineStr">
        <is>
          <t>SKU-0028</t>
        </is>
      </c>
      <c r="C2013" s="2" t="n">
        <v>12</v>
      </c>
      <c r="D2013" s="2">
        <f>VLOOKUP(B2013,Products!$A$2:$D$201,3,FALSE())</f>
        <v/>
      </c>
      <c r="E2013" s="2">
        <f>C2013*D2013</f>
        <v/>
      </c>
      <c r="F2013" s="2">
        <f>C2013*INDEX(Products!$D$2:$D$201,MATCH(B2013,Products!$A$2:$A$201,0))</f>
        <v/>
      </c>
      <c r="G2013" s="2">
        <f>E2013-F2013</f>
        <v/>
      </c>
    </row>
    <row r="2014" ht="15" customHeight="1" s="1">
      <c r="A2014" s="2" t="n">
        <v>52012</v>
      </c>
      <c r="B2014" s="2" t="inlineStr">
        <is>
          <t>SKU-0045</t>
        </is>
      </c>
      <c r="C2014" s="2" t="n">
        <v>12</v>
      </c>
      <c r="D2014" s="2">
        <f>VLOOKUP(B2014,Products!$A$2:$D$201,3,FALSE())</f>
        <v/>
      </c>
      <c r="E2014" s="2">
        <f>C2014*D2014</f>
        <v/>
      </c>
      <c r="F2014" s="2">
        <f>C2014*INDEX(Products!$D$2:$D$201,MATCH(B2014,Products!$A$2:$A$201,0))</f>
        <v/>
      </c>
      <c r="G2014" s="2">
        <f>E2014-F2014</f>
        <v/>
      </c>
    </row>
    <row r="2015" ht="15" customHeight="1" s="1">
      <c r="A2015" s="2" t="n">
        <v>52013</v>
      </c>
      <c r="B2015" s="2" t="inlineStr">
        <is>
          <t>SKU-0190</t>
        </is>
      </c>
      <c r="C2015" s="2" t="n">
        <v>14</v>
      </c>
      <c r="D2015" s="2">
        <f>VLOOKUP(B2015,Products!$A$2:$D$201,3,FALSE())</f>
        <v/>
      </c>
      <c r="E2015" s="2">
        <f>C2015*D2015</f>
        <v/>
      </c>
      <c r="F2015" s="2">
        <f>C2015*INDEX(Products!$D$2:$D$201,MATCH(B2015,Products!$A$2:$A$201,0))</f>
        <v/>
      </c>
      <c r="G2015" s="2">
        <f>E2015-F2015</f>
        <v/>
      </c>
    </row>
    <row r="2016" ht="15" customHeight="1" s="1">
      <c r="A2016" s="2" t="n">
        <v>52014</v>
      </c>
      <c r="B2016" s="2" t="inlineStr">
        <is>
          <t>SKU-0106</t>
        </is>
      </c>
      <c r="C2016" s="2" t="n">
        <v>13</v>
      </c>
      <c r="D2016" s="2">
        <f>VLOOKUP(B2016,Products!$A$2:$D$201,3,FALSE())</f>
        <v/>
      </c>
      <c r="E2016" s="2">
        <f>C2016*D2016</f>
        <v/>
      </c>
      <c r="F2016" s="2">
        <f>C2016*INDEX(Products!$D$2:$D$201,MATCH(B2016,Products!$A$2:$A$201,0))</f>
        <v/>
      </c>
      <c r="G2016" s="2">
        <f>E2016-F2016</f>
        <v/>
      </c>
    </row>
    <row r="2017" ht="15" customHeight="1" s="1">
      <c r="A2017" s="2" t="n">
        <v>52015</v>
      </c>
      <c r="B2017" s="2" t="inlineStr">
        <is>
          <t>SKU-0029</t>
        </is>
      </c>
      <c r="C2017" s="2" t="n">
        <v>20</v>
      </c>
      <c r="D2017" s="2">
        <f>VLOOKUP(B2017,Products!$A$2:$D$201,3,FALSE())</f>
        <v/>
      </c>
      <c r="E2017" s="2">
        <f>C2017*D2017</f>
        <v/>
      </c>
      <c r="F2017" s="2">
        <f>C2017*INDEX(Products!$D$2:$D$201,MATCH(B2017,Products!$A$2:$A$201,0))</f>
        <v/>
      </c>
      <c r="G2017" s="2">
        <f>E2017-F2017</f>
        <v/>
      </c>
    </row>
    <row r="2018" ht="15" customHeight="1" s="1">
      <c r="A2018" s="2" t="n">
        <v>52016</v>
      </c>
      <c r="B2018" s="2" t="inlineStr">
        <is>
          <t>SKU-0049</t>
        </is>
      </c>
      <c r="C2018" s="2" t="n">
        <v>16</v>
      </c>
      <c r="D2018" s="2">
        <f>VLOOKUP(B2018,Products!$A$2:$D$201,3,FALSE())</f>
        <v/>
      </c>
      <c r="E2018" s="2">
        <f>C2018*D2018</f>
        <v/>
      </c>
      <c r="F2018" s="2">
        <f>C2018*INDEX(Products!$D$2:$D$201,MATCH(B2018,Products!$A$2:$A$201,0))</f>
        <v/>
      </c>
      <c r="G2018" s="2">
        <f>E2018-F2018</f>
        <v/>
      </c>
    </row>
    <row r="2019" ht="15" customHeight="1" s="1">
      <c r="A2019" s="2" t="n">
        <v>52017</v>
      </c>
      <c r="B2019" s="2" t="inlineStr">
        <is>
          <t>SKU-0168</t>
        </is>
      </c>
      <c r="C2019" s="2" t="n">
        <v>12</v>
      </c>
      <c r="D2019" s="2">
        <f>VLOOKUP(B2019,Products!$A$2:$D$201,3,FALSE())</f>
        <v/>
      </c>
      <c r="E2019" s="2">
        <f>C2019*D2019</f>
        <v/>
      </c>
      <c r="F2019" s="2">
        <f>C2019*INDEX(Products!$D$2:$D$201,MATCH(B2019,Products!$A$2:$A$201,0))</f>
        <v/>
      </c>
      <c r="G2019" s="2">
        <f>E2019-F2019</f>
        <v/>
      </c>
    </row>
    <row r="2020" ht="15" customHeight="1" s="1">
      <c r="A2020" s="2" t="n">
        <v>52018</v>
      </c>
      <c r="B2020" s="2" t="inlineStr">
        <is>
          <t>SKU-0170</t>
        </is>
      </c>
      <c r="C2020" s="2" t="n">
        <v>17</v>
      </c>
      <c r="D2020" s="2">
        <f>VLOOKUP(B2020,Products!$A$2:$D$201,3,FALSE())</f>
        <v/>
      </c>
      <c r="E2020" s="2">
        <f>C2020*D2020</f>
        <v/>
      </c>
      <c r="F2020" s="2">
        <f>C2020*INDEX(Products!$D$2:$D$201,MATCH(B2020,Products!$A$2:$A$201,0))</f>
        <v/>
      </c>
      <c r="G2020" s="2">
        <f>E2020-F2020</f>
        <v/>
      </c>
    </row>
    <row r="2021" ht="15" customHeight="1" s="1">
      <c r="A2021" s="2" t="n">
        <v>52019</v>
      </c>
      <c r="B2021" s="2" t="inlineStr">
        <is>
          <t>SKU-0191</t>
        </is>
      </c>
      <c r="C2021" s="2" t="n">
        <v>1</v>
      </c>
      <c r="D2021" s="2">
        <f>VLOOKUP(B2021,Products!$A$2:$D$201,3,FALSE())</f>
        <v/>
      </c>
      <c r="E2021" s="2">
        <f>C2021*D2021</f>
        <v/>
      </c>
      <c r="F2021" s="2">
        <f>C2021*INDEX(Products!$D$2:$D$201,MATCH(B2021,Products!$A$2:$A$201,0))</f>
        <v/>
      </c>
      <c r="G2021" s="2">
        <f>E2021-F2021</f>
        <v/>
      </c>
    </row>
    <row r="2022" ht="15" customHeight="1" s="1">
      <c r="A2022" s="2" t="n">
        <v>52020</v>
      </c>
      <c r="B2022" s="2" t="inlineStr">
        <is>
          <t>SKU-0052</t>
        </is>
      </c>
      <c r="C2022" s="2" t="n">
        <v>5</v>
      </c>
      <c r="D2022" s="2">
        <f>VLOOKUP(B2022,Products!$A$2:$D$201,3,FALSE())</f>
        <v/>
      </c>
      <c r="E2022" s="2">
        <f>C2022*D2022</f>
        <v/>
      </c>
      <c r="F2022" s="2">
        <f>C2022*INDEX(Products!$D$2:$D$201,MATCH(B2022,Products!$A$2:$A$201,0))</f>
        <v/>
      </c>
      <c r="G2022" s="2">
        <f>E2022-F2022</f>
        <v/>
      </c>
    </row>
    <row r="2023" ht="15" customHeight="1" s="1">
      <c r="A2023" s="2" t="n">
        <v>52021</v>
      </c>
      <c r="B2023" s="2" t="inlineStr">
        <is>
          <t>SKU-0066</t>
        </is>
      </c>
      <c r="C2023" s="2" t="n">
        <v>7</v>
      </c>
      <c r="D2023" s="2">
        <f>VLOOKUP(B2023,Products!$A$2:$D$201,3,FALSE())</f>
        <v/>
      </c>
      <c r="E2023" s="2">
        <f>C2023*D2023</f>
        <v/>
      </c>
      <c r="F2023" s="2">
        <f>C2023*INDEX(Products!$D$2:$D$201,MATCH(B2023,Products!$A$2:$A$201,0))</f>
        <v/>
      </c>
      <c r="G2023" s="2">
        <f>E2023-F2023</f>
        <v/>
      </c>
    </row>
    <row r="2024" ht="15" customHeight="1" s="1">
      <c r="A2024" s="2" t="n">
        <v>52022</v>
      </c>
      <c r="B2024" s="2" t="inlineStr">
        <is>
          <t>SKU-0163</t>
        </is>
      </c>
      <c r="C2024" s="2" t="n">
        <v>6</v>
      </c>
      <c r="D2024" s="2">
        <f>VLOOKUP(B2024,Products!$A$2:$D$201,3,FALSE())</f>
        <v/>
      </c>
      <c r="E2024" s="2">
        <f>C2024*D2024</f>
        <v/>
      </c>
      <c r="F2024" s="2">
        <f>C2024*INDEX(Products!$D$2:$D$201,MATCH(B2024,Products!$A$2:$A$201,0))</f>
        <v/>
      </c>
      <c r="G2024" s="2">
        <f>E2024-F2024</f>
        <v/>
      </c>
    </row>
    <row r="2025" ht="15" customHeight="1" s="1">
      <c r="A2025" s="2" t="n">
        <v>52023</v>
      </c>
      <c r="B2025" s="2" t="inlineStr">
        <is>
          <t>SKU-0044</t>
        </is>
      </c>
      <c r="C2025" s="2" t="n">
        <v>8</v>
      </c>
      <c r="D2025" s="2">
        <f>VLOOKUP(B2025,Products!$A$2:$D$201,3,FALSE())</f>
        <v/>
      </c>
      <c r="E2025" s="2">
        <f>C2025*D2025</f>
        <v/>
      </c>
      <c r="F2025" s="2">
        <f>C2025*INDEX(Products!$D$2:$D$201,MATCH(B2025,Products!$A$2:$A$201,0))</f>
        <v/>
      </c>
      <c r="G2025" s="2">
        <f>E2025-F2025</f>
        <v/>
      </c>
    </row>
    <row r="2026" ht="15" customHeight="1" s="1">
      <c r="A2026" s="2" t="n">
        <v>52024</v>
      </c>
      <c r="B2026" s="2" t="inlineStr">
        <is>
          <t>SKU-0027</t>
        </is>
      </c>
      <c r="C2026" s="2" t="n">
        <v>7</v>
      </c>
      <c r="D2026" s="2">
        <f>VLOOKUP(B2026,Products!$A$2:$D$201,3,FALSE())</f>
        <v/>
      </c>
      <c r="E2026" s="2">
        <f>C2026*D2026</f>
        <v/>
      </c>
      <c r="F2026" s="2">
        <f>C2026*INDEX(Products!$D$2:$D$201,MATCH(B2026,Products!$A$2:$A$201,0))</f>
        <v/>
      </c>
      <c r="G2026" s="2">
        <f>E2026-F2026</f>
        <v/>
      </c>
    </row>
    <row r="2027" ht="15" customHeight="1" s="1">
      <c r="A2027" s="2" t="n">
        <v>52025</v>
      </c>
      <c r="B2027" s="2" t="inlineStr">
        <is>
          <t>SKU-0150</t>
        </is>
      </c>
      <c r="C2027" s="2" t="n">
        <v>3</v>
      </c>
      <c r="D2027" s="2">
        <f>VLOOKUP(B2027,Products!$A$2:$D$201,3,FALSE())</f>
        <v/>
      </c>
      <c r="E2027" s="2">
        <f>C2027*D2027</f>
        <v/>
      </c>
      <c r="F2027" s="2">
        <f>C2027*INDEX(Products!$D$2:$D$201,MATCH(B2027,Products!$A$2:$A$201,0))</f>
        <v/>
      </c>
      <c r="G2027" s="2">
        <f>E2027-F2027</f>
        <v/>
      </c>
    </row>
    <row r="2028" ht="15" customHeight="1" s="1">
      <c r="A2028" s="2" t="n">
        <v>52026</v>
      </c>
      <c r="B2028" s="2" t="inlineStr">
        <is>
          <t>SKU-0125</t>
        </is>
      </c>
      <c r="C2028" s="2" t="n">
        <v>4</v>
      </c>
      <c r="D2028" s="2">
        <f>VLOOKUP(B2028,Products!$A$2:$D$201,3,FALSE())</f>
        <v/>
      </c>
      <c r="E2028" s="2">
        <f>C2028*D2028</f>
        <v/>
      </c>
      <c r="F2028" s="2">
        <f>C2028*INDEX(Products!$D$2:$D$201,MATCH(B2028,Products!$A$2:$A$201,0))</f>
        <v/>
      </c>
      <c r="G2028" s="2">
        <f>E2028-F2028</f>
        <v/>
      </c>
    </row>
    <row r="2029" ht="15" customHeight="1" s="1">
      <c r="A2029" s="2" t="n">
        <v>52027</v>
      </c>
      <c r="B2029" s="2" t="inlineStr">
        <is>
          <t>SKU-0143</t>
        </is>
      </c>
      <c r="C2029" s="2" t="n">
        <v>6</v>
      </c>
      <c r="D2029" s="2">
        <f>VLOOKUP(B2029,Products!$A$2:$D$201,3,FALSE())</f>
        <v/>
      </c>
      <c r="E2029" s="2">
        <f>C2029*D2029</f>
        <v/>
      </c>
      <c r="F2029" s="2">
        <f>C2029*INDEX(Products!$D$2:$D$201,MATCH(B2029,Products!$A$2:$A$201,0))</f>
        <v/>
      </c>
      <c r="G2029" s="2">
        <f>E2029-F2029</f>
        <v/>
      </c>
    </row>
    <row r="2030" ht="15" customHeight="1" s="1">
      <c r="A2030" s="2" t="n">
        <v>52028</v>
      </c>
      <c r="B2030" s="2" t="inlineStr">
        <is>
          <t>SKU-0072</t>
        </is>
      </c>
      <c r="C2030" s="2" t="n">
        <v>1</v>
      </c>
      <c r="D2030" s="2">
        <f>VLOOKUP(B2030,Products!$A$2:$D$201,3,FALSE())</f>
        <v/>
      </c>
      <c r="E2030" s="2">
        <f>C2030*D2030</f>
        <v/>
      </c>
      <c r="F2030" s="2">
        <f>C2030*INDEX(Products!$D$2:$D$201,MATCH(B2030,Products!$A$2:$A$201,0))</f>
        <v/>
      </c>
      <c r="G2030" s="2">
        <f>E2030-F2030</f>
        <v/>
      </c>
    </row>
    <row r="2031" ht="15" customHeight="1" s="1">
      <c r="A2031" s="2" t="n">
        <v>52029</v>
      </c>
      <c r="B2031" s="2" t="inlineStr">
        <is>
          <t>SKU-0014</t>
        </is>
      </c>
      <c r="C2031" s="2" t="n">
        <v>14</v>
      </c>
      <c r="D2031" s="2">
        <f>VLOOKUP(B2031,Products!$A$2:$D$201,3,FALSE())</f>
        <v/>
      </c>
      <c r="E2031" s="2">
        <f>C2031*D2031</f>
        <v/>
      </c>
      <c r="F2031" s="2">
        <f>C2031*INDEX(Products!$D$2:$D$201,MATCH(B2031,Products!$A$2:$A$201,0))</f>
        <v/>
      </c>
      <c r="G2031" s="2">
        <f>E2031-F2031</f>
        <v/>
      </c>
    </row>
    <row r="2032" ht="15" customHeight="1" s="1">
      <c r="A2032" s="2" t="n">
        <v>52030</v>
      </c>
      <c r="B2032" s="2" t="inlineStr">
        <is>
          <t>SKU-0077</t>
        </is>
      </c>
      <c r="C2032" s="2" t="n">
        <v>1</v>
      </c>
      <c r="D2032" s="2">
        <f>VLOOKUP(B2032,Products!$A$2:$D$201,3,FALSE())</f>
        <v/>
      </c>
      <c r="E2032" s="2">
        <f>C2032*D2032</f>
        <v/>
      </c>
      <c r="F2032" s="2">
        <f>C2032*INDEX(Products!$D$2:$D$201,MATCH(B2032,Products!$A$2:$A$201,0))</f>
        <v/>
      </c>
      <c r="G2032" s="2">
        <f>E2032-F2032</f>
        <v/>
      </c>
    </row>
    <row r="2033" ht="15" customHeight="1" s="1">
      <c r="A2033" s="2" t="n">
        <v>52031</v>
      </c>
      <c r="B2033" s="2" t="inlineStr">
        <is>
          <t>SKU-0026</t>
        </is>
      </c>
      <c r="C2033" s="2" t="n">
        <v>1</v>
      </c>
      <c r="D2033" s="2">
        <f>VLOOKUP(B2033,Products!$A$2:$D$201,3,FALSE())</f>
        <v/>
      </c>
      <c r="E2033" s="2">
        <f>C2033*D2033</f>
        <v/>
      </c>
      <c r="F2033" s="2">
        <f>C2033*INDEX(Products!$D$2:$D$201,MATCH(B2033,Products!$A$2:$A$201,0))</f>
        <v/>
      </c>
      <c r="G2033" s="2">
        <f>E2033-F2033</f>
        <v/>
      </c>
    </row>
    <row r="2034" ht="15" customHeight="1" s="1">
      <c r="A2034" s="2" t="n">
        <v>52032</v>
      </c>
      <c r="B2034" s="2" t="inlineStr">
        <is>
          <t>SKU-0009</t>
        </is>
      </c>
      <c r="C2034" s="2" t="n">
        <v>6</v>
      </c>
      <c r="D2034" s="2">
        <f>VLOOKUP(B2034,Products!$A$2:$D$201,3,FALSE())</f>
        <v/>
      </c>
      <c r="E2034" s="2">
        <f>C2034*D2034</f>
        <v/>
      </c>
      <c r="F2034" s="2">
        <f>C2034*INDEX(Products!$D$2:$D$201,MATCH(B2034,Products!$A$2:$A$201,0))</f>
        <v/>
      </c>
      <c r="G2034" s="2">
        <f>E2034-F2034</f>
        <v/>
      </c>
    </row>
    <row r="2035" ht="15" customHeight="1" s="1">
      <c r="A2035" s="2" t="n">
        <v>52033</v>
      </c>
      <c r="B2035" s="2" t="inlineStr">
        <is>
          <t>SKU-0185</t>
        </is>
      </c>
      <c r="C2035" s="2" t="n">
        <v>9</v>
      </c>
      <c r="D2035" s="2">
        <f>VLOOKUP(B2035,Products!$A$2:$D$201,3,FALSE())</f>
        <v/>
      </c>
      <c r="E2035" s="2">
        <f>C2035*D2035</f>
        <v/>
      </c>
      <c r="F2035" s="2">
        <f>C2035*INDEX(Products!$D$2:$D$201,MATCH(B2035,Products!$A$2:$A$201,0))</f>
        <v/>
      </c>
      <c r="G2035" s="2">
        <f>E2035-F2035</f>
        <v/>
      </c>
    </row>
    <row r="2036" ht="15" customHeight="1" s="1">
      <c r="A2036" s="2" t="n">
        <v>52034</v>
      </c>
      <c r="B2036" s="2" t="inlineStr">
        <is>
          <t>SKU-0007</t>
        </is>
      </c>
      <c r="C2036" s="2" t="n">
        <v>12</v>
      </c>
      <c r="D2036" s="2">
        <f>VLOOKUP(B2036,Products!$A$2:$D$201,3,FALSE())</f>
        <v/>
      </c>
      <c r="E2036" s="2">
        <f>C2036*D2036</f>
        <v/>
      </c>
      <c r="F2036" s="2">
        <f>C2036*INDEX(Products!$D$2:$D$201,MATCH(B2036,Products!$A$2:$A$201,0))</f>
        <v/>
      </c>
      <c r="G2036" s="2">
        <f>E2036-F2036</f>
        <v/>
      </c>
    </row>
    <row r="2037" ht="15" customHeight="1" s="1">
      <c r="A2037" s="2" t="n">
        <v>52035</v>
      </c>
      <c r="B2037" s="2" t="inlineStr">
        <is>
          <t>SKU-0115</t>
        </is>
      </c>
      <c r="C2037" s="2" t="n">
        <v>6</v>
      </c>
      <c r="D2037" s="2">
        <f>VLOOKUP(B2037,Products!$A$2:$D$201,3,FALSE())</f>
        <v/>
      </c>
      <c r="E2037" s="2">
        <f>C2037*D2037</f>
        <v/>
      </c>
      <c r="F2037" s="2">
        <f>C2037*INDEX(Products!$D$2:$D$201,MATCH(B2037,Products!$A$2:$A$201,0))</f>
        <v/>
      </c>
      <c r="G2037" s="2">
        <f>E2037-F2037</f>
        <v/>
      </c>
    </row>
    <row r="2038" ht="15" customHeight="1" s="1">
      <c r="A2038" s="2" t="n">
        <v>52036</v>
      </c>
      <c r="B2038" s="2" t="inlineStr">
        <is>
          <t>SKU-0132</t>
        </is>
      </c>
      <c r="C2038" s="2" t="n">
        <v>12</v>
      </c>
      <c r="D2038" s="2">
        <f>VLOOKUP(B2038,Products!$A$2:$D$201,3,FALSE())</f>
        <v/>
      </c>
      <c r="E2038" s="2">
        <f>C2038*D2038</f>
        <v/>
      </c>
      <c r="F2038" s="2">
        <f>C2038*INDEX(Products!$D$2:$D$201,MATCH(B2038,Products!$A$2:$A$201,0))</f>
        <v/>
      </c>
      <c r="G2038" s="2">
        <f>E2038-F2038</f>
        <v/>
      </c>
    </row>
    <row r="2039" ht="15" customHeight="1" s="1">
      <c r="A2039" s="2" t="n">
        <v>52037</v>
      </c>
      <c r="B2039" s="2" t="inlineStr">
        <is>
          <t>SKU-0115</t>
        </is>
      </c>
      <c r="C2039" s="2" t="n">
        <v>10</v>
      </c>
      <c r="D2039" s="2">
        <f>VLOOKUP(B2039,Products!$A$2:$D$201,3,FALSE())</f>
        <v/>
      </c>
      <c r="E2039" s="2">
        <f>C2039*D2039</f>
        <v/>
      </c>
      <c r="F2039" s="2">
        <f>C2039*INDEX(Products!$D$2:$D$201,MATCH(B2039,Products!$A$2:$A$201,0))</f>
        <v/>
      </c>
      <c r="G2039" s="2">
        <f>E2039-F2039</f>
        <v/>
      </c>
    </row>
    <row r="2040" ht="15" customHeight="1" s="1">
      <c r="A2040" s="2" t="n">
        <v>52038</v>
      </c>
      <c r="B2040" s="2" t="inlineStr">
        <is>
          <t>SKU-0190</t>
        </is>
      </c>
      <c r="C2040" s="2" t="n">
        <v>14</v>
      </c>
      <c r="D2040" s="2">
        <f>VLOOKUP(B2040,Products!$A$2:$D$201,3,FALSE())</f>
        <v/>
      </c>
      <c r="E2040" s="2">
        <f>C2040*D2040</f>
        <v/>
      </c>
      <c r="F2040" s="2">
        <f>C2040*INDEX(Products!$D$2:$D$201,MATCH(B2040,Products!$A$2:$A$201,0))</f>
        <v/>
      </c>
      <c r="G2040" s="2">
        <f>E2040-F2040</f>
        <v/>
      </c>
    </row>
    <row r="2041" ht="15" customHeight="1" s="1">
      <c r="A2041" s="2" t="n">
        <v>52039</v>
      </c>
      <c r="B2041" s="2" t="inlineStr">
        <is>
          <t>SKU-0062</t>
        </is>
      </c>
      <c r="C2041" s="2" t="n">
        <v>18</v>
      </c>
      <c r="D2041" s="2">
        <f>VLOOKUP(B2041,Products!$A$2:$D$201,3,FALSE())</f>
        <v/>
      </c>
      <c r="E2041" s="2">
        <f>C2041*D2041</f>
        <v/>
      </c>
      <c r="F2041" s="2">
        <f>C2041*INDEX(Products!$D$2:$D$201,MATCH(B2041,Products!$A$2:$A$201,0))</f>
        <v/>
      </c>
      <c r="G2041" s="2">
        <f>E2041-F2041</f>
        <v/>
      </c>
    </row>
    <row r="2042" ht="15" customHeight="1" s="1">
      <c r="A2042" s="2" t="n">
        <v>52040</v>
      </c>
      <c r="B2042" s="2" t="inlineStr">
        <is>
          <t>SKU-0037</t>
        </is>
      </c>
      <c r="C2042" s="2" t="n">
        <v>6</v>
      </c>
      <c r="D2042" s="2">
        <f>VLOOKUP(B2042,Products!$A$2:$D$201,3,FALSE())</f>
        <v/>
      </c>
      <c r="E2042" s="2">
        <f>C2042*D2042</f>
        <v/>
      </c>
      <c r="F2042" s="2">
        <f>C2042*INDEX(Products!$D$2:$D$201,MATCH(B2042,Products!$A$2:$A$201,0))</f>
        <v/>
      </c>
      <c r="G2042" s="2">
        <f>E2042-F2042</f>
        <v/>
      </c>
    </row>
    <row r="2043" ht="15" customHeight="1" s="1">
      <c r="A2043" s="2" t="n">
        <v>52041</v>
      </c>
      <c r="B2043" s="2" t="inlineStr">
        <is>
          <t>SKU-0059</t>
        </is>
      </c>
      <c r="C2043" s="2" t="n">
        <v>19</v>
      </c>
      <c r="D2043" s="2">
        <f>VLOOKUP(B2043,Products!$A$2:$D$201,3,FALSE())</f>
        <v/>
      </c>
      <c r="E2043" s="2">
        <f>C2043*D2043</f>
        <v/>
      </c>
      <c r="F2043" s="2">
        <f>C2043*INDEX(Products!$D$2:$D$201,MATCH(B2043,Products!$A$2:$A$201,0))</f>
        <v/>
      </c>
      <c r="G2043" s="2">
        <f>E2043-F2043</f>
        <v/>
      </c>
    </row>
    <row r="2044" ht="15" customHeight="1" s="1">
      <c r="A2044" s="2" t="n">
        <v>52042</v>
      </c>
      <c r="B2044" s="2" t="inlineStr">
        <is>
          <t>SKU-0035</t>
        </is>
      </c>
      <c r="C2044" s="2" t="n">
        <v>7</v>
      </c>
      <c r="D2044" s="2">
        <f>VLOOKUP(B2044,Products!$A$2:$D$201,3,FALSE())</f>
        <v/>
      </c>
      <c r="E2044" s="2">
        <f>C2044*D2044</f>
        <v/>
      </c>
      <c r="F2044" s="2">
        <f>C2044*INDEX(Products!$D$2:$D$201,MATCH(B2044,Products!$A$2:$A$201,0))</f>
        <v/>
      </c>
      <c r="G2044" s="2">
        <f>E2044-F2044</f>
        <v/>
      </c>
    </row>
    <row r="2045" ht="15" customHeight="1" s="1">
      <c r="A2045" s="2" t="n">
        <v>52043</v>
      </c>
      <c r="B2045" s="2" t="inlineStr">
        <is>
          <t>SKU-0037</t>
        </is>
      </c>
      <c r="C2045" s="2" t="n">
        <v>5</v>
      </c>
      <c r="D2045" s="2">
        <f>VLOOKUP(B2045,Products!$A$2:$D$201,3,FALSE())</f>
        <v/>
      </c>
      <c r="E2045" s="2">
        <f>C2045*D2045</f>
        <v/>
      </c>
      <c r="F2045" s="2">
        <f>C2045*INDEX(Products!$D$2:$D$201,MATCH(B2045,Products!$A$2:$A$201,0))</f>
        <v/>
      </c>
      <c r="G2045" s="2">
        <f>E2045-F2045</f>
        <v/>
      </c>
    </row>
    <row r="2046" ht="15" customHeight="1" s="1">
      <c r="A2046" s="2" t="n">
        <v>52044</v>
      </c>
      <c r="B2046" s="2" t="inlineStr">
        <is>
          <t>SKU-0026</t>
        </is>
      </c>
      <c r="C2046" s="2" t="n">
        <v>13</v>
      </c>
      <c r="D2046" s="2">
        <f>VLOOKUP(B2046,Products!$A$2:$D$201,3,FALSE())</f>
        <v/>
      </c>
      <c r="E2046" s="2">
        <f>C2046*D2046</f>
        <v/>
      </c>
      <c r="F2046" s="2">
        <f>C2046*INDEX(Products!$D$2:$D$201,MATCH(B2046,Products!$A$2:$A$201,0))</f>
        <v/>
      </c>
      <c r="G2046" s="2">
        <f>E2046-F2046</f>
        <v/>
      </c>
    </row>
    <row r="2047" ht="15" customHeight="1" s="1">
      <c r="A2047" s="2" t="n">
        <v>52045</v>
      </c>
      <c r="B2047" s="2" t="inlineStr">
        <is>
          <t>SKU-0172</t>
        </is>
      </c>
      <c r="C2047" s="2" t="n">
        <v>20</v>
      </c>
      <c r="D2047" s="2">
        <f>VLOOKUP(B2047,Products!$A$2:$D$201,3,FALSE())</f>
        <v/>
      </c>
      <c r="E2047" s="2">
        <f>C2047*D2047</f>
        <v/>
      </c>
      <c r="F2047" s="2">
        <f>C2047*INDEX(Products!$D$2:$D$201,MATCH(B2047,Products!$A$2:$A$201,0))</f>
        <v/>
      </c>
      <c r="G2047" s="2">
        <f>E2047-F2047</f>
        <v/>
      </c>
    </row>
    <row r="2048" ht="15" customHeight="1" s="1">
      <c r="A2048" s="2" t="n">
        <v>52046</v>
      </c>
      <c r="B2048" s="2" t="inlineStr">
        <is>
          <t>SKU-0127</t>
        </is>
      </c>
      <c r="C2048" s="2" t="n">
        <v>7</v>
      </c>
      <c r="D2048" s="2">
        <f>VLOOKUP(B2048,Products!$A$2:$D$201,3,FALSE())</f>
        <v/>
      </c>
      <c r="E2048" s="2">
        <f>C2048*D2048</f>
        <v/>
      </c>
      <c r="F2048" s="2">
        <f>C2048*INDEX(Products!$D$2:$D$201,MATCH(B2048,Products!$A$2:$A$201,0))</f>
        <v/>
      </c>
      <c r="G2048" s="2">
        <f>E2048-F2048</f>
        <v/>
      </c>
    </row>
    <row r="2049" ht="15" customHeight="1" s="1">
      <c r="A2049" s="2" t="n">
        <v>52047</v>
      </c>
      <c r="B2049" s="2" t="inlineStr">
        <is>
          <t>SKU-0137</t>
        </is>
      </c>
      <c r="C2049" s="2" t="n">
        <v>3</v>
      </c>
      <c r="D2049" s="2">
        <f>VLOOKUP(B2049,Products!$A$2:$D$201,3,FALSE())</f>
        <v/>
      </c>
      <c r="E2049" s="2">
        <f>C2049*D2049</f>
        <v/>
      </c>
      <c r="F2049" s="2">
        <f>C2049*INDEX(Products!$D$2:$D$201,MATCH(B2049,Products!$A$2:$A$201,0))</f>
        <v/>
      </c>
      <c r="G2049" s="2">
        <f>E2049-F2049</f>
        <v/>
      </c>
    </row>
    <row r="2050" ht="15" customHeight="1" s="1">
      <c r="A2050" s="2" t="n">
        <v>52048</v>
      </c>
      <c r="B2050" s="2" t="inlineStr">
        <is>
          <t>SKU-0184</t>
        </is>
      </c>
      <c r="C2050" s="2" t="n">
        <v>11</v>
      </c>
      <c r="D2050" s="2">
        <f>VLOOKUP(B2050,Products!$A$2:$D$201,3,FALSE())</f>
        <v/>
      </c>
      <c r="E2050" s="2">
        <f>C2050*D2050</f>
        <v/>
      </c>
      <c r="F2050" s="2">
        <f>C2050*INDEX(Products!$D$2:$D$201,MATCH(B2050,Products!$A$2:$A$201,0))</f>
        <v/>
      </c>
      <c r="G2050" s="2">
        <f>E2050-F2050</f>
        <v/>
      </c>
    </row>
    <row r="2051" ht="15" customHeight="1" s="1">
      <c r="A2051" s="2" t="n">
        <v>52049</v>
      </c>
      <c r="B2051" s="2" t="inlineStr">
        <is>
          <t>SKU-0027</t>
        </is>
      </c>
      <c r="C2051" s="2" t="n">
        <v>15</v>
      </c>
      <c r="D2051" s="2">
        <f>VLOOKUP(B2051,Products!$A$2:$D$201,3,FALSE())</f>
        <v/>
      </c>
      <c r="E2051" s="2">
        <f>C2051*D2051</f>
        <v/>
      </c>
      <c r="F2051" s="2">
        <f>C2051*INDEX(Products!$D$2:$D$201,MATCH(B2051,Products!$A$2:$A$201,0))</f>
        <v/>
      </c>
      <c r="G2051" s="2">
        <f>E2051-F2051</f>
        <v/>
      </c>
    </row>
    <row r="2052" ht="15" customHeight="1" s="1">
      <c r="A2052" s="2" t="n">
        <v>52050</v>
      </c>
      <c r="B2052" s="2" t="inlineStr">
        <is>
          <t>SKU-0092</t>
        </is>
      </c>
      <c r="C2052" s="2" t="n">
        <v>16</v>
      </c>
      <c r="D2052" s="2">
        <f>VLOOKUP(B2052,Products!$A$2:$D$201,3,FALSE())</f>
        <v/>
      </c>
      <c r="E2052" s="2">
        <f>C2052*D2052</f>
        <v/>
      </c>
      <c r="F2052" s="2">
        <f>C2052*INDEX(Products!$D$2:$D$201,MATCH(B2052,Products!$A$2:$A$201,0))</f>
        <v/>
      </c>
      <c r="G2052" s="2">
        <f>E2052-F2052</f>
        <v/>
      </c>
    </row>
    <row r="2053" ht="15" customHeight="1" s="1">
      <c r="A2053" s="2" t="n">
        <v>52051</v>
      </c>
      <c r="B2053" s="2" t="inlineStr">
        <is>
          <t>SKU-0010</t>
        </is>
      </c>
      <c r="C2053" s="2" t="n">
        <v>4</v>
      </c>
      <c r="D2053" s="2">
        <f>VLOOKUP(B2053,Products!$A$2:$D$201,3,FALSE())</f>
        <v/>
      </c>
      <c r="E2053" s="2">
        <f>C2053*D2053</f>
        <v/>
      </c>
      <c r="F2053" s="2">
        <f>C2053*INDEX(Products!$D$2:$D$201,MATCH(B2053,Products!$A$2:$A$201,0))</f>
        <v/>
      </c>
      <c r="G2053" s="2">
        <f>E2053-F2053</f>
        <v/>
      </c>
    </row>
    <row r="2054" ht="15" customHeight="1" s="1">
      <c r="A2054" s="2" t="n">
        <v>52052</v>
      </c>
      <c r="B2054" s="2" t="inlineStr">
        <is>
          <t>SKU-0066</t>
        </is>
      </c>
      <c r="C2054" s="2" t="n">
        <v>2</v>
      </c>
      <c r="D2054" s="2">
        <f>VLOOKUP(B2054,Products!$A$2:$D$201,3,FALSE())</f>
        <v/>
      </c>
      <c r="E2054" s="2">
        <f>C2054*D2054</f>
        <v/>
      </c>
      <c r="F2054" s="2">
        <f>C2054*INDEX(Products!$D$2:$D$201,MATCH(B2054,Products!$A$2:$A$201,0))</f>
        <v/>
      </c>
      <c r="G2054" s="2">
        <f>E2054-F2054</f>
        <v/>
      </c>
    </row>
    <row r="2055" ht="15" customHeight="1" s="1">
      <c r="A2055" s="2" t="n">
        <v>52053</v>
      </c>
      <c r="B2055" s="2" t="inlineStr">
        <is>
          <t>SKU-0078</t>
        </is>
      </c>
      <c r="C2055" s="2" t="n">
        <v>9</v>
      </c>
      <c r="D2055" s="2">
        <f>VLOOKUP(B2055,Products!$A$2:$D$201,3,FALSE())</f>
        <v/>
      </c>
      <c r="E2055" s="2">
        <f>C2055*D2055</f>
        <v/>
      </c>
      <c r="F2055" s="2">
        <f>C2055*INDEX(Products!$D$2:$D$201,MATCH(B2055,Products!$A$2:$A$201,0))</f>
        <v/>
      </c>
      <c r="G2055" s="2">
        <f>E2055-F2055</f>
        <v/>
      </c>
    </row>
    <row r="2056" ht="15" customHeight="1" s="1">
      <c r="A2056" s="2" t="n">
        <v>52054</v>
      </c>
      <c r="B2056" s="2" t="inlineStr">
        <is>
          <t>SKU-0149</t>
        </is>
      </c>
      <c r="C2056" s="2" t="n">
        <v>18</v>
      </c>
      <c r="D2056" s="2">
        <f>VLOOKUP(B2056,Products!$A$2:$D$201,3,FALSE())</f>
        <v/>
      </c>
      <c r="E2056" s="2">
        <f>C2056*D2056</f>
        <v/>
      </c>
      <c r="F2056" s="2">
        <f>C2056*INDEX(Products!$D$2:$D$201,MATCH(B2056,Products!$A$2:$A$201,0))</f>
        <v/>
      </c>
      <c r="G2056" s="2">
        <f>E2056-F2056</f>
        <v/>
      </c>
    </row>
    <row r="2057" ht="15" customHeight="1" s="1">
      <c r="A2057" s="2" t="n">
        <v>52055</v>
      </c>
      <c r="B2057" s="2" t="inlineStr">
        <is>
          <t>SKU-0120</t>
        </is>
      </c>
      <c r="C2057" s="2" t="n">
        <v>8</v>
      </c>
      <c r="D2057" s="2">
        <f>VLOOKUP(B2057,Products!$A$2:$D$201,3,FALSE())</f>
        <v/>
      </c>
      <c r="E2057" s="2">
        <f>C2057*D2057</f>
        <v/>
      </c>
      <c r="F2057" s="2">
        <f>C2057*INDEX(Products!$D$2:$D$201,MATCH(B2057,Products!$A$2:$A$201,0))</f>
        <v/>
      </c>
      <c r="G2057" s="2">
        <f>E2057-F2057</f>
        <v/>
      </c>
    </row>
    <row r="2058" ht="15" customHeight="1" s="1">
      <c r="A2058" s="2" t="n">
        <v>52056</v>
      </c>
      <c r="B2058" s="2" t="inlineStr">
        <is>
          <t>SKU-0018</t>
        </is>
      </c>
      <c r="C2058" s="2" t="n">
        <v>18</v>
      </c>
      <c r="D2058" s="2">
        <f>VLOOKUP(B2058,Products!$A$2:$D$201,3,FALSE())</f>
        <v/>
      </c>
      <c r="E2058" s="2">
        <f>C2058*D2058</f>
        <v/>
      </c>
      <c r="F2058" s="2">
        <f>C2058*INDEX(Products!$D$2:$D$201,MATCH(B2058,Products!$A$2:$A$201,0))</f>
        <v/>
      </c>
      <c r="G2058" s="2">
        <f>E2058-F2058</f>
        <v/>
      </c>
    </row>
    <row r="2059" ht="15" customHeight="1" s="1">
      <c r="A2059" s="2" t="n">
        <v>52057</v>
      </c>
      <c r="B2059" s="2" t="inlineStr">
        <is>
          <t>SKU-0067</t>
        </is>
      </c>
      <c r="C2059" s="2" t="n">
        <v>11</v>
      </c>
      <c r="D2059" s="2">
        <f>VLOOKUP(B2059,Products!$A$2:$D$201,3,FALSE())</f>
        <v/>
      </c>
      <c r="E2059" s="2">
        <f>C2059*D2059</f>
        <v/>
      </c>
      <c r="F2059" s="2">
        <f>C2059*INDEX(Products!$D$2:$D$201,MATCH(B2059,Products!$A$2:$A$201,0))</f>
        <v/>
      </c>
      <c r="G2059" s="2">
        <f>E2059-F2059</f>
        <v/>
      </c>
    </row>
    <row r="2060" ht="15" customHeight="1" s="1">
      <c r="A2060" s="2" t="n">
        <v>52058</v>
      </c>
      <c r="B2060" s="2" t="inlineStr">
        <is>
          <t>SKU-0060</t>
        </is>
      </c>
      <c r="C2060" s="2" t="n">
        <v>16</v>
      </c>
      <c r="D2060" s="2">
        <f>VLOOKUP(B2060,Products!$A$2:$D$201,3,FALSE())</f>
        <v/>
      </c>
      <c r="E2060" s="2">
        <f>C2060*D2060</f>
        <v/>
      </c>
      <c r="F2060" s="2">
        <f>C2060*INDEX(Products!$D$2:$D$201,MATCH(B2060,Products!$A$2:$A$201,0))</f>
        <v/>
      </c>
      <c r="G2060" s="2">
        <f>E2060-F2060</f>
        <v/>
      </c>
    </row>
    <row r="2061" ht="15" customHeight="1" s="1">
      <c r="A2061" s="2" t="n">
        <v>52059</v>
      </c>
      <c r="B2061" s="2" t="inlineStr">
        <is>
          <t>SKU-0061</t>
        </is>
      </c>
      <c r="C2061" s="2" t="n">
        <v>7</v>
      </c>
      <c r="D2061" s="2">
        <f>VLOOKUP(B2061,Products!$A$2:$D$201,3,FALSE())</f>
        <v/>
      </c>
      <c r="E2061" s="2">
        <f>C2061*D2061</f>
        <v/>
      </c>
      <c r="F2061" s="2">
        <f>C2061*INDEX(Products!$D$2:$D$201,MATCH(B2061,Products!$A$2:$A$201,0))</f>
        <v/>
      </c>
      <c r="G2061" s="2">
        <f>E2061-F2061</f>
        <v/>
      </c>
    </row>
    <row r="2062" ht="15" customHeight="1" s="1">
      <c r="A2062" s="2" t="n">
        <v>52060</v>
      </c>
      <c r="B2062" s="2" t="inlineStr">
        <is>
          <t>SKU-0051</t>
        </is>
      </c>
      <c r="C2062" s="2" t="n">
        <v>1</v>
      </c>
      <c r="D2062" s="2">
        <f>VLOOKUP(B2062,Products!$A$2:$D$201,3,FALSE())</f>
        <v/>
      </c>
      <c r="E2062" s="2">
        <f>C2062*D2062</f>
        <v/>
      </c>
      <c r="F2062" s="2">
        <f>C2062*INDEX(Products!$D$2:$D$201,MATCH(B2062,Products!$A$2:$A$201,0))</f>
        <v/>
      </c>
      <c r="G2062" s="2">
        <f>E2062-F2062</f>
        <v/>
      </c>
    </row>
    <row r="2063" ht="15" customHeight="1" s="1">
      <c r="A2063" s="2" t="n">
        <v>52061</v>
      </c>
      <c r="B2063" s="2" t="inlineStr">
        <is>
          <t>SKU-0014</t>
        </is>
      </c>
      <c r="C2063" s="2" t="n">
        <v>15</v>
      </c>
      <c r="D2063" s="2">
        <f>VLOOKUP(B2063,Products!$A$2:$D$201,3,FALSE())</f>
        <v/>
      </c>
      <c r="E2063" s="2">
        <f>C2063*D2063</f>
        <v/>
      </c>
      <c r="F2063" s="2">
        <f>C2063*INDEX(Products!$D$2:$D$201,MATCH(B2063,Products!$A$2:$A$201,0))</f>
        <v/>
      </c>
      <c r="G2063" s="2">
        <f>E2063-F2063</f>
        <v/>
      </c>
    </row>
    <row r="2064" ht="15" customHeight="1" s="1">
      <c r="A2064" s="2" t="n">
        <v>52062</v>
      </c>
      <c r="B2064" s="2" t="inlineStr">
        <is>
          <t>SKU-0144</t>
        </is>
      </c>
      <c r="C2064" s="2" t="n">
        <v>11</v>
      </c>
      <c r="D2064" s="2">
        <f>VLOOKUP(B2064,Products!$A$2:$D$201,3,FALSE())</f>
        <v/>
      </c>
      <c r="E2064" s="2">
        <f>C2064*D2064</f>
        <v/>
      </c>
      <c r="F2064" s="2">
        <f>C2064*INDEX(Products!$D$2:$D$201,MATCH(B2064,Products!$A$2:$A$201,0))</f>
        <v/>
      </c>
      <c r="G2064" s="2">
        <f>E2064-F2064</f>
        <v/>
      </c>
    </row>
    <row r="2065" ht="15" customHeight="1" s="1">
      <c r="A2065" s="2" t="n">
        <v>52063</v>
      </c>
      <c r="B2065" s="2" t="inlineStr">
        <is>
          <t>SKU-0162</t>
        </is>
      </c>
      <c r="C2065" s="2" t="n">
        <v>9</v>
      </c>
      <c r="D2065" s="2">
        <f>VLOOKUP(B2065,Products!$A$2:$D$201,3,FALSE())</f>
        <v/>
      </c>
      <c r="E2065" s="2">
        <f>C2065*D2065</f>
        <v/>
      </c>
      <c r="F2065" s="2">
        <f>C2065*INDEX(Products!$D$2:$D$201,MATCH(B2065,Products!$A$2:$A$201,0))</f>
        <v/>
      </c>
      <c r="G2065" s="2">
        <f>E2065-F2065</f>
        <v/>
      </c>
    </row>
    <row r="2066" ht="15" customHeight="1" s="1">
      <c r="A2066" s="2" t="n">
        <v>52064</v>
      </c>
      <c r="B2066" s="2" t="inlineStr">
        <is>
          <t>SKU-0012</t>
        </is>
      </c>
      <c r="C2066" s="2" t="n">
        <v>17</v>
      </c>
      <c r="D2066" s="2">
        <f>VLOOKUP(B2066,Products!$A$2:$D$201,3,FALSE())</f>
        <v/>
      </c>
      <c r="E2066" s="2">
        <f>C2066*D2066</f>
        <v/>
      </c>
      <c r="F2066" s="2">
        <f>C2066*INDEX(Products!$D$2:$D$201,MATCH(B2066,Products!$A$2:$A$201,0))</f>
        <v/>
      </c>
      <c r="G2066" s="2">
        <f>E2066-F2066</f>
        <v/>
      </c>
    </row>
    <row r="2067" ht="15" customHeight="1" s="1">
      <c r="A2067" s="2" t="n">
        <v>52065</v>
      </c>
      <c r="B2067" s="2" t="inlineStr">
        <is>
          <t>SKU-0084</t>
        </is>
      </c>
      <c r="C2067" s="2" t="n">
        <v>10</v>
      </c>
      <c r="D2067" s="2">
        <f>VLOOKUP(B2067,Products!$A$2:$D$201,3,FALSE())</f>
        <v/>
      </c>
      <c r="E2067" s="2">
        <f>C2067*D2067</f>
        <v/>
      </c>
      <c r="F2067" s="2">
        <f>C2067*INDEX(Products!$D$2:$D$201,MATCH(B2067,Products!$A$2:$A$201,0))</f>
        <v/>
      </c>
      <c r="G2067" s="2">
        <f>E2067-F2067</f>
        <v/>
      </c>
    </row>
    <row r="2068" ht="15" customHeight="1" s="1">
      <c r="A2068" s="2" t="n">
        <v>52066</v>
      </c>
      <c r="B2068" s="2" t="inlineStr">
        <is>
          <t>SKU-0042</t>
        </is>
      </c>
      <c r="C2068" s="2" t="n">
        <v>20</v>
      </c>
      <c r="D2068" s="2">
        <f>VLOOKUP(B2068,Products!$A$2:$D$201,3,FALSE())</f>
        <v/>
      </c>
      <c r="E2068" s="2">
        <f>C2068*D2068</f>
        <v/>
      </c>
      <c r="F2068" s="2">
        <f>C2068*INDEX(Products!$D$2:$D$201,MATCH(B2068,Products!$A$2:$A$201,0))</f>
        <v/>
      </c>
      <c r="G2068" s="2">
        <f>E2068-F2068</f>
        <v/>
      </c>
    </row>
    <row r="2069" ht="15" customHeight="1" s="1">
      <c r="A2069" s="2" t="n">
        <v>52067</v>
      </c>
      <c r="B2069" s="2" t="inlineStr">
        <is>
          <t>SKU-0009</t>
        </is>
      </c>
      <c r="C2069" s="2" t="n">
        <v>5</v>
      </c>
      <c r="D2069" s="2">
        <f>VLOOKUP(B2069,Products!$A$2:$D$201,3,FALSE())</f>
        <v/>
      </c>
      <c r="E2069" s="2">
        <f>C2069*D2069</f>
        <v/>
      </c>
      <c r="F2069" s="2">
        <f>C2069*INDEX(Products!$D$2:$D$201,MATCH(B2069,Products!$A$2:$A$201,0))</f>
        <v/>
      </c>
      <c r="G2069" s="2">
        <f>E2069-F2069</f>
        <v/>
      </c>
    </row>
    <row r="2070" ht="15" customHeight="1" s="1">
      <c r="A2070" s="2" t="n">
        <v>52068</v>
      </c>
      <c r="B2070" s="2" t="inlineStr">
        <is>
          <t>SKU-0136</t>
        </is>
      </c>
      <c r="C2070" s="2" t="n">
        <v>11</v>
      </c>
      <c r="D2070" s="2">
        <f>VLOOKUP(B2070,Products!$A$2:$D$201,3,FALSE())</f>
        <v/>
      </c>
      <c r="E2070" s="2">
        <f>C2070*D2070</f>
        <v/>
      </c>
      <c r="F2070" s="2">
        <f>C2070*INDEX(Products!$D$2:$D$201,MATCH(B2070,Products!$A$2:$A$201,0))</f>
        <v/>
      </c>
      <c r="G2070" s="2">
        <f>E2070-F2070</f>
        <v/>
      </c>
    </row>
    <row r="2071" ht="15" customHeight="1" s="1">
      <c r="A2071" s="2" t="n">
        <v>52069</v>
      </c>
      <c r="B2071" s="2" t="inlineStr">
        <is>
          <t>SKU-0085</t>
        </is>
      </c>
      <c r="C2071" s="2" t="n">
        <v>18</v>
      </c>
      <c r="D2071" s="2">
        <f>VLOOKUP(B2071,Products!$A$2:$D$201,3,FALSE())</f>
        <v/>
      </c>
      <c r="E2071" s="2">
        <f>C2071*D2071</f>
        <v/>
      </c>
      <c r="F2071" s="2">
        <f>C2071*INDEX(Products!$D$2:$D$201,MATCH(B2071,Products!$A$2:$A$201,0))</f>
        <v/>
      </c>
      <c r="G2071" s="2">
        <f>E2071-F2071</f>
        <v/>
      </c>
    </row>
    <row r="2072" ht="15" customHeight="1" s="1">
      <c r="A2072" s="2" t="n">
        <v>52070</v>
      </c>
      <c r="B2072" s="2" t="inlineStr">
        <is>
          <t>SKU-0128</t>
        </is>
      </c>
      <c r="C2072" s="2" t="n">
        <v>16</v>
      </c>
      <c r="D2072" s="2">
        <f>VLOOKUP(B2072,Products!$A$2:$D$201,3,FALSE())</f>
        <v/>
      </c>
      <c r="E2072" s="2">
        <f>C2072*D2072</f>
        <v/>
      </c>
      <c r="F2072" s="2">
        <f>C2072*INDEX(Products!$D$2:$D$201,MATCH(B2072,Products!$A$2:$A$201,0))</f>
        <v/>
      </c>
      <c r="G2072" s="2">
        <f>E2072-F2072</f>
        <v/>
      </c>
    </row>
    <row r="2073" ht="15" customHeight="1" s="1">
      <c r="A2073" s="2" t="n">
        <v>52071</v>
      </c>
      <c r="B2073" s="2" t="inlineStr">
        <is>
          <t>SKU-0157</t>
        </is>
      </c>
      <c r="C2073" s="2" t="n">
        <v>5</v>
      </c>
      <c r="D2073" s="2">
        <f>VLOOKUP(B2073,Products!$A$2:$D$201,3,FALSE())</f>
        <v/>
      </c>
      <c r="E2073" s="2">
        <f>C2073*D2073</f>
        <v/>
      </c>
      <c r="F2073" s="2">
        <f>C2073*INDEX(Products!$D$2:$D$201,MATCH(B2073,Products!$A$2:$A$201,0))</f>
        <v/>
      </c>
      <c r="G2073" s="2">
        <f>E2073-F2073</f>
        <v/>
      </c>
    </row>
    <row r="2074" ht="15" customHeight="1" s="1">
      <c r="A2074" s="2" t="n">
        <v>52072</v>
      </c>
      <c r="B2074" s="2" t="inlineStr">
        <is>
          <t>SKU-0139</t>
        </is>
      </c>
      <c r="C2074" s="2" t="n">
        <v>18</v>
      </c>
      <c r="D2074" s="2">
        <f>VLOOKUP(B2074,Products!$A$2:$D$201,3,FALSE())</f>
        <v/>
      </c>
      <c r="E2074" s="2">
        <f>C2074*D2074</f>
        <v/>
      </c>
      <c r="F2074" s="2">
        <f>C2074*INDEX(Products!$D$2:$D$201,MATCH(B2074,Products!$A$2:$A$201,0))</f>
        <v/>
      </c>
      <c r="G2074" s="2">
        <f>E2074-F2074</f>
        <v/>
      </c>
    </row>
    <row r="2075" ht="15" customHeight="1" s="1">
      <c r="A2075" s="2" t="n">
        <v>52073</v>
      </c>
      <c r="B2075" s="2" t="inlineStr">
        <is>
          <t>SKU-0181</t>
        </is>
      </c>
      <c r="C2075" s="2" t="n">
        <v>17</v>
      </c>
      <c r="D2075" s="2">
        <f>VLOOKUP(B2075,Products!$A$2:$D$201,3,FALSE())</f>
        <v/>
      </c>
      <c r="E2075" s="2">
        <f>C2075*D2075</f>
        <v/>
      </c>
      <c r="F2075" s="2">
        <f>C2075*INDEX(Products!$D$2:$D$201,MATCH(B2075,Products!$A$2:$A$201,0))</f>
        <v/>
      </c>
      <c r="G2075" s="2">
        <f>E2075-F2075</f>
        <v/>
      </c>
    </row>
    <row r="2076" ht="15" customHeight="1" s="1">
      <c r="A2076" s="2" t="n">
        <v>52074</v>
      </c>
      <c r="B2076" s="2" t="inlineStr">
        <is>
          <t>SKU-0046</t>
        </is>
      </c>
      <c r="C2076" s="2" t="n">
        <v>6</v>
      </c>
      <c r="D2076" s="2">
        <f>VLOOKUP(B2076,Products!$A$2:$D$201,3,FALSE())</f>
        <v/>
      </c>
      <c r="E2076" s="2">
        <f>C2076*D2076</f>
        <v/>
      </c>
      <c r="F2076" s="2">
        <f>C2076*INDEX(Products!$D$2:$D$201,MATCH(B2076,Products!$A$2:$A$201,0))</f>
        <v/>
      </c>
      <c r="G2076" s="2">
        <f>E2076-F2076</f>
        <v/>
      </c>
    </row>
    <row r="2077" ht="15" customHeight="1" s="1">
      <c r="A2077" s="2" t="n">
        <v>52075</v>
      </c>
      <c r="B2077" s="2" t="inlineStr">
        <is>
          <t>SKU-0141</t>
        </is>
      </c>
      <c r="C2077" s="2" t="n">
        <v>4</v>
      </c>
      <c r="D2077" s="2">
        <f>VLOOKUP(B2077,Products!$A$2:$D$201,3,FALSE())</f>
        <v/>
      </c>
      <c r="E2077" s="2">
        <f>C2077*D2077</f>
        <v/>
      </c>
      <c r="F2077" s="2">
        <f>C2077*INDEX(Products!$D$2:$D$201,MATCH(B2077,Products!$A$2:$A$201,0))</f>
        <v/>
      </c>
      <c r="G2077" s="2">
        <f>E2077-F2077</f>
        <v/>
      </c>
    </row>
    <row r="2078" ht="15" customHeight="1" s="1">
      <c r="A2078" s="2" t="n">
        <v>52076</v>
      </c>
      <c r="B2078" s="2" t="inlineStr">
        <is>
          <t>SKU-0083</t>
        </is>
      </c>
      <c r="C2078" s="2" t="n">
        <v>17</v>
      </c>
      <c r="D2078" s="2">
        <f>VLOOKUP(B2078,Products!$A$2:$D$201,3,FALSE())</f>
        <v/>
      </c>
      <c r="E2078" s="2">
        <f>C2078*D2078</f>
        <v/>
      </c>
      <c r="F2078" s="2">
        <f>C2078*INDEX(Products!$D$2:$D$201,MATCH(B2078,Products!$A$2:$A$201,0))</f>
        <v/>
      </c>
      <c r="G2078" s="2">
        <f>E2078-F2078</f>
        <v/>
      </c>
    </row>
    <row r="2079" ht="15" customHeight="1" s="1">
      <c r="A2079" s="2" t="n">
        <v>52077</v>
      </c>
      <c r="B2079" s="2" t="inlineStr">
        <is>
          <t>SKU-0044</t>
        </is>
      </c>
      <c r="C2079" s="2" t="n">
        <v>7</v>
      </c>
      <c r="D2079" s="2">
        <f>VLOOKUP(B2079,Products!$A$2:$D$201,3,FALSE())</f>
        <v/>
      </c>
      <c r="E2079" s="2">
        <f>C2079*D2079</f>
        <v/>
      </c>
      <c r="F2079" s="2">
        <f>C2079*INDEX(Products!$D$2:$D$201,MATCH(B2079,Products!$A$2:$A$201,0))</f>
        <v/>
      </c>
      <c r="G2079" s="2">
        <f>E2079-F2079</f>
        <v/>
      </c>
    </row>
    <row r="2080" ht="15" customHeight="1" s="1">
      <c r="A2080" s="2" t="n">
        <v>52078</v>
      </c>
      <c r="B2080" s="2" t="inlineStr">
        <is>
          <t>SKU-0184</t>
        </is>
      </c>
      <c r="C2080" s="2" t="n">
        <v>19</v>
      </c>
      <c r="D2080" s="2">
        <f>VLOOKUP(B2080,Products!$A$2:$D$201,3,FALSE())</f>
        <v/>
      </c>
      <c r="E2080" s="2">
        <f>C2080*D2080</f>
        <v/>
      </c>
      <c r="F2080" s="2">
        <f>C2080*INDEX(Products!$D$2:$D$201,MATCH(B2080,Products!$A$2:$A$201,0))</f>
        <v/>
      </c>
      <c r="G2080" s="2">
        <f>E2080-F2080</f>
        <v/>
      </c>
    </row>
    <row r="2081" ht="15" customHeight="1" s="1">
      <c r="A2081" s="2" t="n">
        <v>52079</v>
      </c>
      <c r="B2081" s="2" t="inlineStr">
        <is>
          <t>SKU-0061</t>
        </is>
      </c>
      <c r="C2081" s="2" t="n">
        <v>20</v>
      </c>
      <c r="D2081" s="2">
        <f>VLOOKUP(B2081,Products!$A$2:$D$201,3,FALSE())</f>
        <v/>
      </c>
      <c r="E2081" s="2">
        <f>C2081*D2081</f>
        <v/>
      </c>
      <c r="F2081" s="2">
        <f>C2081*INDEX(Products!$D$2:$D$201,MATCH(B2081,Products!$A$2:$A$201,0))</f>
        <v/>
      </c>
      <c r="G2081" s="2">
        <f>E2081-F2081</f>
        <v/>
      </c>
    </row>
    <row r="2082" ht="15" customHeight="1" s="1">
      <c r="A2082" s="2" t="n">
        <v>52080</v>
      </c>
      <c r="B2082" s="2" t="inlineStr">
        <is>
          <t>SKU-0006</t>
        </is>
      </c>
      <c r="C2082" s="2" t="n">
        <v>5</v>
      </c>
      <c r="D2082" s="2">
        <f>VLOOKUP(B2082,Products!$A$2:$D$201,3,FALSE())</f>
        <v/>
      </c>
      <c r="E2082" s="2">
        <f>C2082*D2082</f>
        <v/>
      </c>
      <c r="F2082" s="2">
        <f>C2082*INDEX(Products!$D$2:$D$201,MATCH(B2082,Products!$A$2:$A$201,0))</f>
        <v/>
      </c>
      <c r="G2082" s="2">
        <f>E2082-F2082</f>
        <v/>
      </c>
    </row>
    <row r="2083" ht="15" customHeight="1" s="1">
      <c r="A2083" s="2" t="n">
        <v>52081</v>
      </c>
      <c r="B2083" s="2" t="inlineStr">
        <is>
          <t>SKU-0121</t>
        </is>
      </c>
      <c r="C2083" s="2" t="n">
        <v>20</v>
      </c>
      <c r="D2083" s="2">
        <f>VLOOKUP(B2083,Products!$A$2:$D$201,3,FALSE())</f>
        <v/>
      </c>
      <c r="E2083" s="2">
        <f>C2083*D2083</f>
        <v/>
      </c>
      <c r="F2083" s="2">
        <f>C2083*INDEX(Products!$D$2:$D$201,MATCH(B2083,Products!$A$2:$A$201,0))</f>
        <v/>
      </c>
      <c r="G2083" s="2">
        <f>E2083-F2083</f>
        <v/>
      </c>
    </row>
    <row r="2084" ht="15" customHeight="1" s="1">
      <c r="A2084" s="2" t="n">
        <v>52082</v>
      </c>
      <c r="B2084" s="2" t="inlineStr">
        <is>
          <t>SKU-0030</t>
        </is>
      </c>
      <c r="C2084" s="2" t="n">
        <v>4</v>
      </c>
      <c r="D2084" s="2">
        <f>VLOOKUP(B2084,Products!$A$2:$D$201,3,FALSE())</f>
        <v/>
      </c>
      <c r="E2084" s="2">
        <f>C2084*D2084</f>
        <v/>
      </c>
      <c r="F2084" s="2">
        <f>C2084*INDEX(Products!$D$2:$D$201,MATCH(B2084,Products!$A$2:$A$201,0))</f>
        <v/>
      </c>
      <c r="G2084" s="2">
        <f>E2084-F2084</f>
        <v/>
      </c>
    </row>
    <row r="2085" ht="15" customHeight="1" s="1">
      <c r="A2085" s="2" t="n">
        <v>52083</v>
      </c>
      <c r="B2085" s="2" t="inlineStr">
        <is>
          <t>SKU-0044</t>
        </is>
      </c>
      <c r="C2085" s="2" t="n">
        <v>3</v>
      </c>
      <c r="D2085" s="2">
        <f>VLOOKUP(B2085,Products!$A$2:$D$201,3,FALSE())</f>
        <v/>
      </c>
      <c r="E2085" s="2">
        <f>C2085*D2085</f>
        <v/>
      </c>
      <c r="F2085" s="2">
        <f>C2085*INDEX(Products!$D$2:$D$201,MATCH(B2085,Products!$A$2:$A$201,0))</f>
        <v/>
      </c>
      <c r="G2085" s="2">
        <f>E2085-F2085</f>
        <v/>
      </c>
    </row>
    <row r="2086" ht="15" customHeight="1" s="1">
      <c r="A2086" s="2" t="n">
        <v>52084</v>
      </c>
      <c r="B2086" s="2" t="inlineStr">
        <is>
          <t>SKU-0159</t>
        </is>
      </c>
      <c r="C2086" s="2" t="n">
        <v>19</v>
      </c>
      <c r="D2086" s="2">
        <f>VLOOKUP(B2086,Products!$A$2:$D$201,3,FALSE())</f>
        <v/>
      </c>
      <c r="E2086" s="2">
        <f>C2086*D2086</f>
        <v/>
      </c>
      <c r="F2086" s="2">
        <f>C2086*INDEX(Products!$D$2:$D$201,MATCH(B2086,Products!$A$2:$A$201,0))</f>
        <v/>
      </c>
      <c r="G2086" s="2">
        <f>E2086-F2086</f>
        <v/>
      </c>
    </row>
    <row r="2087" ht="15" customHeight="1" s="1">
      <c r="A2087" s="2" t="n">
        <v>52085</v>
      </c>
      <c r="B2087" s="2" t="inlineStr">
        <is>
          <t>SKU-0005</t>
        </is>
      </c>
      <c r="C2087" s="2" t="n">
        <v>7</v>
      </c>
      <c r="D2087" s="2">
        <f>VLOOKUP(B2087,Products!$A$2:$D$201,3,FALSE())</f>
        <v/>
      </c>
      <c r="E2087" s="2">
        <f>C2087*D2087</f>
        <v/>
      </c>
      <c r="F2087" s="2">
        <f>C2087*INDEX(Products!$D$2:$D$201,MATCH(B2087,Products!$A$2:$A$201,0))</f>
        <v/>
      </c>
      <c r="G2087" s="2">
        <f>E2087-F2087</f>
        <v/>
      </c>
    </row>
    <row r="2088" ht="15" customHeight="1" s="1">
      <c r="A2088" s="2" t="n">
        <v>52086</v>
      </c>
      <c r="B2088" s="2" t="inlineStr">
        <is>
          <t>SKU-0037</t>
        </is>
      </c>
      <c r="C2088" s="2" t="n">
        <v>8</v>
      </c>
      <c r="D2088" s="2">
        <f>VLOOKUP(B2088,Products!$A$2:$D$201,3,FALSE())</f>
        <v/>
      </c>
      <c r="E2088" s="2">
        <f>C2088*D2088</f>
        <v/>
      </c>
      <c r="F2088" s="2">
        <f>C2088*INDEX(Products!$D$2:$D$201,MATCH(B2088,Products!$A$2:$A$201,0))</f>
        <v/>
      </c>
      <c r="G2088" s="2">
        <f>E2088-F2088</f>
        <v/>
      </c>
    </row>
    <row r="2089" ht="15" customHeight="1" s="1">
      <c r="A2089" s="2" t="n">
        <v>52087</v>
      </c>
      <c r="B2089" s="2" t="inlineStr">
        <is>
          <t>SKU-0069</t>
        </is>
      </c>
      <c r="C2089" s="2" t="n">
        <v>15</v>
      </c>
      <c r="D2089" s="2">
        <f>VLOOKUP(B2089,Products!$A$2:$D$201,3,FALSE())</f>
        <v/>
      </c>
      <c r="E2089" s="2">
        <f>C2089*D2089</f>
        <v/>
      </c>
      <c r="F2089" s="2">
        <f>C2089*INDEX(Products!$D$2:$D$201,MATCH(B2089,Products!$A$2:$A$201,0))</f>
        <v/>
      </c>
      <c r="G2089" s="2">
        <f>E2089-F2089</f>
        <v/>
      </c>
    </row>
    <row r="2090" ht="15" customHeight="1" s="1">
      <c r="A2090" s="2" t="n">
        <v>52088</v>
      </c>
      <c r="B2090" s="2" t="inlineStr">
        <is>
          <t>SKU-0154</t>
        </is>
      </c>
      <c r="C2090" s="2" t="n">
        <v>13</v>
      </c>
      <c r="D2090" s="2">
        <f>VLOOKUP(B2090,Products!$A$2:$D$201,3,FALSE())</f>
        <v/>
      </c>
      <c r="E2090" s="2">
        <f>C2090*D2090</f>
        <v/>
      </c>
      <c r="F2090" s="2">
        <f>C2090*INDEX(Products!$D$2:$D$201,MATCH(B2090,Products!$A$2:$A$201,0))</f>
        <v/>
      </c>
      <c r="G2090" s="2">
        <f>E2090-F2090</f>
        <v/>
      </c>
    </row>
    <row r="2091" ht="15" customHeight="1" s="1">
      <c r="A2091" s="2" t="n">
        <v>52089</v>
      </c>
      <c r="B2091" s="2" t="inlineStr">
        <is>
          <t>SKU-0146</t>
        </is>
      </c>
      <c r="C2091" s="2" t="n">
        <v>1</v>
      </c>
      <c r="D2091" s="2">
        <f>VLOOKUP(B2091,Products!$A$2:$D$201,3,FALSE())</f>
        <v/>
      </c>
      <c r="E2091" s="2">
        <f>C2091*D2091</f>
        <v/>
      </c>
      <c r="F2091" s="2">
        <f>C2091*INDEX(Products!$D$2:$D$201,MATCH(B2091,Products!$A$2:$A$201,0))</f>
        <v/>
      </c>
      <c r="G2091" s="2">
        <f>E2091-F2091</f>
        <v/>
      </c>
    </row>
    <row r="2092" ht="15" customHeight="1" s="1">
      <c r="A2092" s="2" t="n">
        <v>52090</v>
      </c>
      <c r="B2092" s="2" t="inlineStr">
        <is>
          <t>SKU-0045</t>
        </is>
      </c>
      <c r="C2092" s="2" t="n">
        <v>18</v>
      </c>
      <c r="D2092" s="2">
        <f>VLOOKUP(B2092,Products!$A$2:$D$201,3,FALSE())</f>
        <v/>
      </c>
      <c r="E2092" s="2">
        <f>C2092*D2092</f>
        <v/>
      </c>
      <c r="F2092" s="2">
        <f>C2092*INDEX(Products!$D$2:$D$201,MATCH(B2092,Products!$A$2:$A$201,0))</f>
        <v/>
      </c>
      <c r="G2092" s="2">
        <f>E2092-F2092</f>
        <v/>
      </c>
    </row>
    <row r="2093" ht="15" customHeight="1" s="1">
      <c r="A2093" s="2" t="n">
        <v>52091</v>
      </c>
      <c r="B2093" s="2" t="inlineStr">
        <is>
          <t>SKU-0097</t>
        </is>
      </c>
      <c r="C2093" s="2" t="n">
        <v>7</v>
      </c>
      <c r="D2093" s="2">
        <f>VLOOKUP(B2093,Products!$A$2:$D$201,3,FALSE())</f>
        <v/>
      </c>
      <c r="E2093" s="2">
        <f>C2093*D2093</f>
        <v/>
      </c>
      <c r="F2093" s="2">
        <f>C2093*INDEX(Products!$D$2:$D$201,MATCH(B2093,Products!$A$2:$A$201,0))</f>
        <v/>
      </c>
      <c r="G2093" s="2">
        <f>E2093-F2093</f>
        <v/>
      </c>
    </row>
    <row r="2094" ht="15" customHeight="1" s="1">
      <c r="A2094" s="2" t="n">
        <v>52092</v>
      </c>
      <c r="B2094" s="2" t="inlineStr">
        <is>
          <t>SKU-0050</t>
        </is>
      </c>
      <c r="C2094" s="2" t="n">
        <v>10</v>
      </c>
      <c r="D2094" s="2">
        <f>VLOOKUP(B2094,Products!$A$2:$D$201,3,FALSE())</f>
        <v/>
      </c>
      <c r="E2094" s="2">
        <f>C2094*D2094</f>
        <v/>
      </c>
      <c r="F2094" s="2">
        <f>C2094*INDEX(Products!$D$2:$D$201,MATCH(B2094,Products!$A$2:$A$201,0))</f>
        <v/>
      </c>
      <c r="G2094" s="2">
        <f>E2094-F2094</f>
        <v/>
      </c>
    </row>
    <row r="2095" ht="15" customHeight="1" s="1">
      <c r="A2095" s="2" t="n">
        <v>52093</v>
      </c>
      <c r="B2095" s="2" t="inlineStr">
        <is>
          <t>SKU-0020</t>
        </is>
      </c>
      <c r="C2095" s="2" t="n">
        <v>4</v>
      </c>
      <c r="D2095" s="2">
        <f>VLOOKUP(B2095,Products!$A$2:$D$201,3,FALSE())</f>
        <v/>
      </c>
      <c r="E2095" s="2">
        <f>C2095*D2095</f>
        <v/>
      </c>
      <c r="F2095" s="2">
        <f>C2095*INDEX(Products!$D$2:$D$201,MATCH(B2095,Products!$A$2:$A$201,0))</f>
        <v/>
      </c>
      <c r="G2095" s="2">
        <f>E2095-F2095</f>
        <v/>
      </c>
    </row>
    <row r="2096" ht="15" customHeight="1" s="1">
      <c r="A2096" s="2" t="n">
        <v>52094</v>
      </c>
      <c r="B2096" s="2" t="inlineStr">
        <is>
          <t>SKU-0073</t>
        </is>
      </c>
      <c r="C2096" s="2" t="n">
        <v>13</v>
      </c>
      <c r="D2096" s="2">
        <f>VLOOKUP(B2096,Products!$A$2:$D$201,3,FALSE())</f>
        <v/>
      </c>
      <c r="E2096" s="2">
        <f>C2096*D2096</f>
        <v/>
      </c>
      <c r="F2096" s="2">
        <f>C2096*INDEX(Products!$D$2:$D$201,MATCH(B2096,Products!$A$2:$A$201,0))</f>
        <v/>
      </c>
      <c r="G2096" s="2">
        <f>E2096-F2096</f>
        <v/>
      </c>
    </row>
    <row r="2097" ht="15" customHeight="1" s="1">
      <c r="A2097" s="2" t="n">
        <v>52095</v>
      </c>
      <c r="B2097" s="2" t="inlineStr">
        <is>
          <t>SKU-0134</t>
        </is>
      </c>
      <c r="C2097" s="2" t="n">
        <v>1</v>
      </c>
      <c r="D2097" s="2">
        <f>VLOOKUP(B2097,Products!$A$2:$D$201,3,FALSE())</f>
        <v/>
      </c>
      <c r="E2097" s="2">
        <f>C2097*D2097</f>
        <v/>
      </c>
      <c r="F2097" s="2">
        <f>C2097*INDEX(Products!$D$2:$D$201,MATCH(B2097,Products!$A$2:$A$201,0))</f>
        <v/>
      </c>
      <c r="G2097" s="2">
        <f>E2097-F2097</f>
        <v/>
      </c>
    </row>
    <row r="2098" ht="15" customHeight="1" s="1">
      <c r="A2098" s="2" t="n">
        <v>52096</v>
      </c>
      <c r="B2098" s="2" t="inlineStr">
        <is>
          <t>SKU-0015</t>
        </is>
      </c>
      <c r="C2098" s="2" t="n">
        <v>19</v>
      </c>
      <c r="D2098" s="2">
        <f>VLOOKUP(B2098,Products!$A$2:$D$201,3,FALSE())</f>
        <v/>
      </c>
      <c r="E2098" s="2">
        <f>C2098*D2098</f>
        <v/>
      </c>
      <c r="F2098" s="2">
        <f>C2098*INDEX(Products!$D$2:$D$201,MATCH(B2098,Products!$A$2:$A$201,0))</f>
        <v/>
      </c>
      <c r="G2098" s="2">
        <f>E2098-F2098</f>
        <v/>
      </c>
    </row>
    <row r="2099" ht="15" customHeight="1" s="1">
      <c r="A2099" s="2" t="n">
        <v>52097</v>
      </c>
      <c r="B2099" s="2" t="inlineStr">
        <is>
          <t>SKU-0004</t>
        </is>
      </c>
      <c r="C2099" s="2" t="n">
        <v>5</v>
      </c>
      <c r="D2099" s="2">
        <f>VLOOKUP(B2099,Products!$A$2:$D$201,3,FALSE())</f>
        <v/>
      </c>
      <c r="E2099" s="2">
        <f>C2099*D2099</f>
        <v/>
      </c>
      <c r="F2099" s="2">
        <f>C2099*INDEX(Products!$D$2:$D$201,MATCH(B2099,Products!$A$2:$A$201,0))</f>
        <v/>
      </c>
      <c r="G2099" s="2">
        <f>E2099-F2099</f>
        <v/>
      </c>
    </row>
    <row r="2100" ht="15" customHeight="1" s="1">
      <c r="A2100" s="2" t="n">
        <v>52098</v>
      </c>
      <c r="B2100" s="2" t="inlineStr">
        <is>
          <t>SKU-0059</t>
        </is>
      </c>
      <c r="C2100" s="2" t="n">
        <v>4</v>
      </c>
      <c r="D2100" s="2">
        <f>VLOOKUP(B2100,Products!$A$2:$D$201,3,FALSE())</f>
        <v/>
      </c>
      <c r="E2100" s="2">
        <f>C2100*D2100</f>
        <v/>
      </c>
      <c r="F2100" s="2">
        <f>C2100*INDEX(Products!$D$2:$D$201,MATCH(B2100,Products!$A$2:$A$201,0))</f>
        <v/>
      </c>
      <c r="G2100" s="2">
        <f>E2100-F2100</f>
        <v/>
      </c>
    </row>
    <row r="2101" ht="15" customHeight="1" s="1">
      <c r="A2101" s="2" t="n">
        <v>52099</v>
      </c>
      <c r="B2101" s="2" t="inlineStr">
        <is>
          <t>SKU-0164</t>
        </is>
      </c>
      <c r="C2101" s="2" t="n">
        <v>11</v>
      </c>
      <c r="D2101" s="2">
        <f>VLOOKUP(B2101,Products!$A$2:$D$201,3,FALSE())</f>
        <v/>
      </c>
      <c r="E2101" s="2">
        <f>C2101*D2101</f>
        <v/>
      </c>
      <c r="F2101" s="2">
        <f>C2101*INDEX(Products!$D$2:$D$201,MATCH(B2101,Products!$A$2:$A$201,0))</f>
        <v/>
      </c>
      <c r="G2101" s="2">
        <f>E2101-F2101</f>
        <v/>
      </c>
    </row>
    <row r="2102" ht="15" customHeight="1" s="1">
      <c r="A2102" s="2" t="n">
        <v>52100</v>
      </c>
      <c r="B2102" s="2" t="inlineStr">
        <is>
          <t>SKU-0106</t>
        </is>
      </c>
      <c r="C2102" s="2" t="n">
        <v>11</v>
      </c>
      <c r="D2102" s="2">
        <f>VLOOKUP(B2102,Products!$A$2:$D$201,3,FALSE())</f>
        <v/>
      </c>
      <c r="E2102" s="2">
        <f>C2102*D2102</f>
        <v/>
      </c>
      <c r="F2102" s="2">
        <f>C2102*INDEX(Products!$D$2:$D$201,MATCH(B2102,Products!$A$2:$A$201,0))</f>
        <v/>
      </c>
      <c r="G2102" s="2">
        <f>E2102-F2102</f>
        <v/>
      </c>
    </row>
    <row r="2103" ht="15" customHeight="1" s="1">
      <c r="A2103" s="2" t="n">
        <v>52101</v>
      </c>
      <c r="B2103" s="2" t="inlineStr">
        <is>
          <t>SKU-0178</t>
        </is>
      </c>
      <c r="C2103" s="2" t="n">
        <v>18</v>
      </c>
      <c r="D2103" s="2">
        <f>VLOOKUP(B2103,Products!$A$2:$D$201,3,FALSE())</f>
        <v/>
      </c>
      <c r="E2103" s="2">
        <f>C2103*D2103</f>
        <v/>
      </c>
      <c r="F2103" s="2">
        <f>C2103*INDEX(Products!$D$2:$D$201,MATCH(B2103,Products!$A$2:$A$201,0))</f>
        <v/>
      </c>
      <c r="G2103" s="2">
        <f>E2103-F2103</f>
        <v/>
      </c>
    </row>
    <row r="2104" ht="15" customHeight="1" s="1">
      <c r="A2104" s="2" t="n">
        <v>52102</v>
      </c>
      <c r="B2104" s="2" t="inlineStr">
        <is>
          <t>SKU-0169</t>
        </is>
      </c>
      <c r="C2104" s="2" t="n">
        <v>16</v>
      </c>
      <c r="D2104" s="2">
        <f>VLOOKUP(B2104,Products!$A$2:$D$201,3,FALSE())</f>
        <v/>
      </c>
      <c r="E2104" s="2">
        <f>C2104*D2104</f>
        <v/>
      </c>
      <c r="F2104" s="2">
        <f>C2104*INDEX(Products!$D$2:$D$201,MATCH(B2104,Products!$A$2:$A$201,0))</f>
        <v/>
      </c>
      <c r="G2104" s="2">
        <f>E2104-F2104</f>
        <v/>
      </c>
    </row>
    <row r="2105" ht="15" customHeight="1" s="1">
      <c r="A2105" s="2" t="n">
        <v>52103</v>
      </c>
      <c r="B2105" s="2" t="inlineStr">
        <is>
          <t>SKU-0110</t>
        </is>
      </c>
      <c r="C2105" s="2" t="n">
        <v>2</v>
      </c>
      <c r="D2105" s="2">
        <f>VLOOKUP(B2105,Products!$A$2:$D$201,3,FALSE())</f>
        <v/>
      </c>
      <c r="E2105" s="2">
        <f>C2105*D2105</f>
        <v/>
      </c>
      <c r="F2105" s="2">
        <f>C2105*INDEX(Products!$D$2:$D$201,MATCH(B2105,Products!$A$2:$A$201,0))</f>
        <v/>
      </c>
      <c r="G2105" s="2">
        <f>E2105-F2105</f>
        <v/>
      </c>
    </row>
    <row r="2106" ht="15" customHeight="1" s="1">
      <c r="A2106" s="2" t="n">
        <v>52104</v>
      </c>
      <c r="B2106" s="2" t="inlineStr">
        <is>
          <t>SKU-0073</t>
        </is>
      </c>
      <c r="C2106" s="2" t="n">
        <v>5</v>
      </c>
      <c r="D2106" s="2">
        <f>VLOOKUP(B2106,Products!$A$2:$D$201,3,FALSE())</f>
        <v/>
      </c>
      <c r="E2106" s="2">
        <f>C2106*D2106</f>
        <v/>
      </c>
      <c r="F2106" s="2">
        <f>C2106*INDEX(Products!$D$2:$D$201,MATCH(B2106,Products!$A$2:$A$201,0))</f>
        <v/>
      </c>
      <c r="G2106" s="2">
        <f>E2106-F2106</f>
        <v/>
      </c>
    </row>
    <row r="2107" ht="15" customHeight="1" s="1">
      <c r="A2107" s="2" t="n">
        <v>52105</v>
      </c>
      <c r="B2107" s="2" t="inlineStr">
        <is>
          <t>SKU-0112</t>
        </is>
      </c>
      <c r="C2107" s="2" t="n">
        <v>16</v>
      </c>
      <c r="D2107" s="2">
        <f>VLOOKUP(B2107,Products!$A$2:$D$201,3,FALSE())</f>
        <v/>
      </c>
      <c r="E2107" s="2">
        <f>C2107*D2107</f>
        <v/>
      </c>
      <c r="F2107" s="2">
        <f>C2107*INDEX(Products!$D$2:$D$201,MATCH(B2107,Products!$A$2:$A$201,0))</f>
        <v/>
      </c>
      <c r="G2107" s="2">
        <f>E2107-F2107</f>
        <v/>
      </c>
    </row>
    <row r="2108" ht="15" customHeight="1" s="1">
      <c r="A2108" s="2" t="n">
        <v>52106</v>
      </c>
      <c r="B2108" s="2" t="inlineStr">
        <is>
          <t>SKU-0057</t>
        </is>
      </c>
      <c r="C2108" s="2" t="n">
        <v>17</v>
      </c>
      <c r="D2108" s="2">
        <f>VLOOKUP(B2108,Products!$A$2:$D$201,3,FALSE())</f>
        <v/>
      </c>
      <c r="E2108" s="2">
        <f>C2108*D2108</f>
        <v/>
      </c>
      <c r="F2108" s="2">
        <f>C2108*INDEX(Products!$D$2:$D$201,MATCH(B2108,Products!$A$2:$A$201,0))</f>
        <v/>
      </c>
      <c r="G2108" s="2">
        <f>E2108-F2108</f>
        <v/>
      </c>
    </row>
    <row r="2109" ht="15" customHeight="1" s="1">
      <c r="A2109" s="2" t="n">
        <v>52107</v>
      </c>
      <c r="B2109" s="2" t="inlineStr">
        <is>
          <t>SKU-0026</t>
        </is>
      </c>
      <c r="C2109" s="2" t="n">
        <v>14</v>
      </c>
      <c r="D2109" s="2">
        <f>VLOOKUP(B2109,Products!$A$2:$D$201,3,FALSE())</f>
        <v/>
      </c>
      <c r="E2109" s="2">
        <f>C2109*D2109</f>
        <v/>
      </c>
      <c r="F2109" s="2">
        <f>C2109*INDEX(Products!$D$2:$D$201,MATCH(B2109,Products!$A$2:$A$201,0))</f>
        <v/>
      </c>
      <c r="G2109" s="2">
        <f>E2109-F2109</f>
        <v/>
      </c>
    </row>
    <row r="2110" ht="15" customHeight="1" s="1">
      <c r="A2110" s="2" t="n">
        <v>52108</v>
      </c>
      <c r="B2110" s="2" t="inlineStr">
        <is>
          <t>SKU-0164</t>
        </is>
      </c>
      <c r="C2110" s="2" t="n">
        <v>1</v>
      </c>
      <c r="D2110" s="2">
        <f>VLOOKUP(B2110,Products!$A$2:$D$201,3,FALSE())</f>
        <v/>
      </c>
      <c r="E2110" s="2">
        <f>C2110*D2110</f>
        <v/>
      </c>
      <c r="F2110" s="2">
        <f>C2110*INDEX(Products!$D$2:$D$201,MATCH(B2110,Products!$A$2:$A$201,0))</f>
        <v/>
      </c>
      <c r="G2110" s="2">
        <f>E2110-F2110</f>
        <v/>
      </c>
    </row>
    <row r="2111" ht="15" customHeight="1" s="1">
      <c r="A2111" s="2" t="n">
        <v>52109</v>
      </c>
      <c r="B2111" s="2" t="inlineStr">
        <is>
          <t>SKU-0121</t>
        </is>
      </c>
      <c r="C2111" s="2" t="n">
        <v>4</v>
      </c>
      <c r="D2111" s="2">
        <f>VLOOKUP(B2111,Products!$A$2:$D$201,3,FALSE())</f>
        <v/>
      </c>
      <c r="E2111" s="2">
        <f>C2111*D2111</f>
        <v/>
      </c>
      <c r="F2111" s="2">
        <f>C2111*INDEX(Products!$D$2:$D$201,MATCH(B2111,Products!$A$2:$A$201,0))</f>
        <v/>
      </c>
      <c r="G2111" s="2">
        <f>E2111-F2111</f>
        <v/>
      </c>
    </row>
    <row r="2112" ht="15" customHeight="1" s="1">
      <c r="A2112" s="2" t="n">
        <v>52110</v>
      </c>
      <c r="B2112" s="2" t="inlineStr">
        <is>
          <t>SKU-0149</t>
        </is>
      </c>
      <c r="C2112" s="2" t="n">
        <v>3</v>
      </c>
      <c r="D2112" s="2">
        <f>VLOOKUP(B2112,Products!$A$2:$D$201,3,FALSE())</f>
        <v/>
      </c>
      <c r="E2112" s="2">
        <f>C2112*D2112</f>
        <v/>
      </c>
      <c r="F2112" s="2">
        <f>C2112*INDEX(Products!$D$2:$D$201,MATCH(B2112,Products!$A$2:$A$201,0))</f>
        <v/>
      </c>
      <c r="G2112" s="2">
        <f>E2112-F2112</f>
        <v/>
      </c>
    </row>
    <row r="2113" ht="15" customHeight="1" s="1">
      <c r="A2113" s="2" t="n">
        <v>52111</v>
      </c>
      <c r="B2113" s="2" t="inlineStr">
        <is>
          <t>SKU-0190</t>
        </is>
      </c>
      <c r="C2113" s="2" t="n">
        <v>20</v>
      </c>
      <c r="D2113" s="2">
        <f>VLOOKUP(B2113,Products!$A$2:$D$201,3,FALSE())</f>
        <v/>
      </c>
      <c r="E2113" s="2">
        <f>C2113*D2113</f>
        <v/>
      </c>
      <c r="F2113" s="2">
        <f>C2113*INDEX(Products!$D$2:$D$201,MATCH(B2113,Products!$A$2:$A$201,0))</f>
        <v/>
      </c>
      <c r="G2113" s="2">
        <f>E2113-F2113</f>
        <v/>
      </c>
    </row>
    <row r="2114" ht="15" customHeight="1" s="1">
      <c r="A2114" s="2" t="n">
        <v>52112</v>
      </c>
      <c r="B2114" s="2" t="inlineStr">
        <is>
          <t>SKU-0108</t>
        </is>
      </c>
      <c r="C2114" s="2" t="n">
        <v>5</v>
      </c>
      <c r="D2114" s="2">
        <f>VLOOKUP(B2114,Products!$A$2:$D$201,3,FALSE())</f>
        <v/>
      </c>
      <c r="E2114" s="2">
        <f>C2114*D2114</f>
        <v/>
      </c>
      <c r="F2114" s="2">
        <f>C2114*INDEX(Products!$D$2:$D$201,MATCH(B2114,Products!$A$2:$A$201,0))</f>
        <v/>
      </c>
      <c r="G2114" s="2">
        <f>E2114-F2114</f>
        <v/>
      </c>
    </row>
    <row r="2115" ht="15" customHeight="1" s="1">
      <c r="A2115" s="2" t="n">
        <v>52113</v>
      </c>
      <c r="B2115" s="2" t="inlineStr">
        <is>
          <t>SKU-0075</t>
        </is>
      </c>
      <c r="C2115" s="2" t="n">
        <v>15</v>
      </c>
      <c r="D2115" s="2">
        <f>VLOOKUP(B2115,Products!$A$2:$D$201,3,FALSE())</f>
        <v/>
      </c>
      <c r="E2115" s="2">
        <f>C2115*D2115</f>
        <v/>
      </c>
      <c r="F2115" s="2">
        <f>C2115*INDEX(Products!$D$2:$D$201,MATCH(B2115,Products!$A$2:$A$201,0))</f>
        <v/>
      </c>
      <c r="G2115" s="2">
        <f>E2115-F2115</f>
        <v/>
      </c>
    </row>
    <row r="2116" ht="15" customHeight="1" s="1">
      <c r="A2116" s="2" t="n">
        <v>52114</v>
      </c>
      <c r="B2116" s="2" t="inlineStr">
        <is>
          <t>SKU-0144</t>
        </is>
      </c>
      <c r="C2116" s="2" t="n">
        <v>3</v>
      </c>
      <c r="D2116" s="2">
        <f>VLOOKUP(B2116,Products!$A$2:$D$201,3,FALSE())</f>
        <v/>
      </c>
      <c r="E2116" s="2">
        <f>C2116*D2116</f>
        <v/>
      </c>
      <c r="F2116" s="2">
        <f>C2116*INDEX(Products!$D$2:$D$201,MATCH(B2116,Products!$A$2:$A$201,0))</f>
        <v/>
      </c>
      <c r="G2116" s="2">
        <f>E2116-F2116</f>
        <v/>
      </c>
    </row>
    <row r="2117" ht="15" customHeight="1" s="1">
      <c r="A2117" s="2" t="n">
        <v>52115</v>
      </c>
      <c r="B2117" s="2" t="inlineStr">
        <is>
          <t>SKU-0023</t>
        </is>
      </c>
      <c r="C2117" s="2" t="n">
        <v>6</v>
      </c>
      <c r="D2117" s="2">
        <f>VLOOKUP(B2117,Products!$A$2:$D$201,3,FALSE())</f>
        <v/>
      </c>
      <c r="E2117" s="2">
        <f>C2117*D2117</f>
        <v/>
      </c>
      <c r="F2117" s="2">
        <f>C2117*INDEX(Products!$D$2:$D$201,MATCH(B2117,Products!$A$2:$A$201,0))</f>
        <v/>
      </c>
      <c r="G2117" s="2">
        <f>E2117-F2117</f>
        <v/>
      </c>
    </row>
    <row r="2118" ht="15" customHeight="1" s="1">
      <c r="A2118" s="2" t="n">
        <v>52116</v>
      </c>
      <c r="B2118" s="2" t="inlineStr">
        <is>
          <t>SKU-0006</t>
        </is>
      </c>
      <c r="C2118" s="2" t="n">
        <v>14</v>
      </c>
      <c r="D2118" s="2">
        <f>VLOOKUP(B2118,Products!$A$2:$D$201,3,FALSE())</f>
        <v/>
      </c>
      <c r="E2118" s="2">
        <f>C2118*D2118</f>
        <v/>
      </c>
      <c r="F2118" s="2">
        <f>C2118*INDEX(Products!$D$2:$D$201,MATCH(B2118,Products!$A$2:$A$201,0))</f>
        <v/>
      </c>
      <c r="G2118" s="2">
        <f>E2118-F2118</f>
        <v/>
      </c>
    </row>
    <row r="2119" ht="15" customHeight="1" s="1">
      <c r="A2119" s="2" t="n">
        <v>52117</v>
      </c>
      <c r="B2119" s="2" t="inlineStr">
        <is>
          <t>SKU-0199</t>
        </is>
      </c>
      <c r="C2119" s="2" t="n">
        <v>6</v>
      </c>
      <c r="D2119" s="2">
        <f>VLOOKUP(B2119,Products!$A$2:$D$201,3,FALSE())</f>
        <v/>
      </c>
      <c r="E2119" s="2">
        <f>C2119*D2119</f>
        <v/>
      </c>
      <c r="F2119" s="2">
        <f>C2119*INDEX(Products!$D$2:$D$201,MATCH(B2119,Products!$A$2:$A$201,0))</f>
        <v/>
      </c>
      <c r="G2119" s="2">
        <f>E2119-F2119</f>
        <v/>
      </c>
    </row>
    <row r="2120" ht="15" customHeight="1" s="1">
      <c r="A2120" s="2" t="n">
        <v>52118</v>
      </c>
      <c r="B2120" s="2" t="inlineStr">
        <is>
          <t>SKU-0088</t>
        </is>
      </c>
      <c r="C2120" s="2" t="n">
        <v>10</v>
      </c>
      <c r="D2120" s="2">
        <f>VLOOKUP(B2120,Products!$A$2:$D$201,3,FALSE())</f>
        <v/>
      </c>
      <c r="E2120" s="2">
        <f>C2120*D2120</f>
        <v/>
      </c>
      <c r="F2120" s="2">
        <f>C2120*INDEX(Products!$D$2:$D$201,MATCH(B2120,Products!$A$2:$A$201,0))</f>
        <v/>
      </c>
      <c r="G2120" s="2">
        <f>E2120-F2120</f>
        <v/>
      </c>
    </row>
    <row r="2121" ht="15" customHeight="1" s="1">
      <c r="A2121" s="2" t="n">
        <v>52119</v>
      </c>
      <c r="B2121" s="2" t="inlineStr">
        <is>
          <t>SKU-0173</t>
        </is>
      </c>
      <c r="C2121" s="2" t="n">
        <v>6</v>
      </c>
      <c r="D2121" s="2">
        <f>VLOOKUP(B2121,Products!$A$2:$D$201,3,FALSE())</f>
        <v/>
      </c>
      <c r="E2121" s="2">
        <f>C2121*D2121</f>
        <v/>
      </c>
      <c r="F2121" s="2">
        <f>C2121*INDEX(Products!$D$2:$D$201,MATCH(B2121,Products!$A$2:$A$201,0))</f>
        <v/>
      </c>
      <c r="G2121" s="2">
        <f>E2121-F2121</f>
        <v/>
      </c>
    </row>
    <row r="2122" ht="15" customHeight="1" s="1">
      <c r="A2122" s="2" t="n">
        <v>52120</v>
      </c>
      <c r="B2122" s="2" t="inlineStr">
        <is>
          <t>SKU-0169</t>
        </is>
      </c>
      <c r="C2122" s="2" t="n">
        <v>4</v>
      </c>
      <c r="D2122" s="2">
        <f>VLOOKUP(B2122,Products!$A$2:$D$201,3,FALSE())</f>
        <v/>
      </c>
      <c r="E2122" s="2">
        <f>C2122*D2122</f>
        <v/>
      </c>
      <c r="F2122" s="2">
        <f>C2122*INDEX(Products!$D$2:$D$201,MATCH(B2122,Products!$A$2:$A$201,0))</f>
        <v/>
      </c>
      <c r="G2122" s="2">
        <f>E2122-F2122</f>
        <v/>
      </c>
    </row>
    <row r="2123" ht="15" customHeight="1" s="1">
      <c r="A2123" s="2" t="n">
        <v>52121</v>
      </c>
      <c r="B2123" s="2" t="inlineStr">
        <is>
          <t>SKU-0045</t>
        </is>
      </c>
      <c r="C2123" s="2" t="n">
        <v>4</v>
      </c>
      <c r="D2123" s="2">
        <f>VLOOKUP(B2123,Products!$A$2:$D$201,3,FALSE())</f>
        <v/>
      </c>
      <c r="E2123" s="2">
        <f>C2123*D2123</f>
        <v/>
      </c>
      <c r="F2123" s="2">
        <f>C2123*INDEX(Products!$D$2:$D$201,MATCH(B2123,Products!$A$2:$A$201,0))</f>
        <v/>
      </c>
      <c r="G2123" s="2">
        <f>E2123-F2123</f>
        <v/>
      </c>
    </row>
    <row r="2124" ht="15" customHeight="1" s="1">
      <c r="A2124" s="2" t="n">
        <v>52122</v>
      </c>
      <c r="B2124" s="2" t="inlineStr">
        <is>
          <t>SKU-0027</t>
        </is>
      </c>
      <c r="C2124" s="2" t="n">
        <v>6</v>
      </c>
      <c r="D2124" s="2">
        <f>VLOOKUP(B2124,Products!$A$2:$D$201,3,FALSE())</f>
        <v/>
      </c>
      <c r="E2124" s="2">
        <f>C2124*D2124</f>
        <v/>
      </c>
      <c r="F2124" s="2">
        <f>C2124*INDEX(Products!$D$2:$D$201,MATCH(B2124,Products!$A$2:$A$201,0))</f>
        <v/>
      </c>
      <c r="G2124" s="2">
        <f>E2124-F2124</f>
        <v/>
      </c>
    </row>
    <row r="2125" ht="15" customHeight="1" s="1">
      <c r="A2125" s="2" t="n">
        <v>52123</v>
      </c>
      <c r="B2125" s="2" t="inlineStr">
        <is>
          <t>SKU-0198</t>
        </is>
      </c>
      <c r="C2125" s="2" t="n">
        <v>8</v>
      </c>
      <c r="D2125" s="2">
        <f>VLOOKUP(B2125,Products!$A$2:$D$201,3,FALSE())</f>
        <v/>
      </c>
      <c r="E2125" s="2">
        <f>C2125*D2125</f>
        <v/>
      </c>
      <c r="F2125" s="2">
        <f>C2125*INDEX(Products!$D$2:$D$201,MATCH(B2125,Products!$A$2:$A$201,0))</f>
        <v/>
      </c>
      <c r="G2125" s="2">
        <f>E2125-F2125</f>
        <v/>
      </c>
    </row>
    <row r="2126" ht="15" customHeight="1" s="1">
      <c r="A2126" s="2" t="n">
        <v>52124</v>
      </c>
      <c r="B2126" s="2" t="inlineStr">
        <is>
          <t>SKU-0137</t>
        </is>
      </c>
      <c r="C2126" s="2" t="n">
        <v>3</v>
      </c>
      <c r="D2126" s="2">
        <f>VLOOKUP(B2126,Products!$A$2:$D$201,3,FALSE())</f>
        <v/>
      </c>
      <c r="E2126" s="2">
        <f>C2126*D2126</f>
        <v/>
      </c>
      <c r="F2126" s="2">
        <f>C2126*INDEX(Products!$D$2:$D$201,MATCH(B2126,Products!$A$2:$A$201,0))</f>
        <v/>
      </c>
      <c r="G2126" s="2">
        <f>E2126-F2126</f>
        <v/>
      </c>
    </row>
    <row r="2127" ht="15" customHeight="1" s="1">
      <c r="A2127" s="2" t="n">
        <v>52125</v>
      </c>
      <c r="B2127" s="2" t="inlineStr">
        <is>
          <t>SKU-0095</t>
        </is>
      </c>
      <c r="C2127" s="2" t="n">
        <v>14</v>
      </c>
      <c r="D2127" s="2">
        <f>VLOOKUP(B2127,Products!$A$2:$D$201,3,FALSE())</f>
        <v/>
      </c>
      <c r="E2127" s="2">
        <f>C2127*D2127</f>
        <v/>
      </c>
      <c r="F2127" s="2">
        <f>C2127*INDEX(Products!$D$2:$D$201,MATCH(B2127,Products!$A$2:$A$201,0))</f>
        <v/>
      </c>
      <c r="G2127" s="2">
        <f>E2127-F2127</f>
        <v/>
      </c>
    </row>
    <row r="2128" ht="15" customHeight="1" s="1">
      <c r="A2128" s="2" t="n">
        <v>52126</v>
      </c>
      <c r="B2128" s="2" t="inlineStr">
        <is>
          <t>SKU-0112</t>
        </is>
      </c>
      <c r="C2128" s="2" t="n">
        <v>20</v>
      </c>
      <c r="D2128" s="2">
        <f>VLOOKUP(B2128,Products!$A$2:$D$201,3,FALSE())</f>
        <v/>
      </c>
      <c r="E2128" s="2">
        <f>C2128*D2128</f>
        <v/>
      </c>
      <c r="F2128" s="2">
        <f>C2128*INDEX(Products!$D$2:$D$201,MATCH(B2128,Products!$A$2:$A$201,0))</f>
        <v/>
      </c>
      <c r="G2128" s="2">
        <f>E2128-F2128</f>
        <v/>
      </c>
    </row>
    <row r="2129" ht="15" customHeight="1" s="1">
      <c r="A2129" s="2" t="n">
        <v>52127</v>
      </c>
      <c r="B2129" s="2" t="inlineStr">
        <is>
          <t>SKU-0045</t>
        </is>
      </c>
      <c r="C2129" s="2" t="n">
        <v>16</v>
      </c>
      <c r="D2129" s="2">
        <f>VLOOKUP(B2129,Products!$A$2:$D$201,3,FALSE())</f>
        <v/>
      </c>
      <c r="E2129" s="2">
        <f>C2129*D2129</f>
        <v/>
      </c>
      <c r="F2129" s="2">
        <f>C2129*INDEX(Products!$D$2:$D$201,MATCH(B2129,Products!$A$2:$A$201,0))</f>
        <v/>
      </c>
      <c r="G2129" s="2">
        <f>E2129-F2129</f>
        <v/>
      </c>
    </row>
    <row r="2130" ht="15" customHeight="1" s="1">
      <c r="A2130" s="2" t="n">
        <v>52128</v>
      </c>
      <c r="B2130" s="2" t="inlineStr">
        <is>
          <t>SKU-0138</t>
        </is>
      </c>
      <c r="C2130" s="2" t="n">
        <v>4</v>
      </c>
      <c r="D2130" s="2">
        <f>VLOOKUP(B2130,Products!$A$2:$D$201,3,FALSE())</f>
        <v/>
      </c>
      <c r="E2130" s="2">
        <f>C2130*D2130</f>
        <v/>
      </c>
      <c r="F2130" s="2">
        <f>C2130*INDEX(Products!$D$2:$D$201,MATCH(B2130,Products!$A$2:$A$201,0))</f>
        <v/>
      </c>
      <c r="G2130" s="2">
        <f>E2130-F2130</f>
        <v/>
      </c>
    </row>
    <row r="2131" ht="15" customHeight="1" s="1">
      <c r="A2131" s="2" t="n">
        <v>52129</v>
      </c>
      <c r="B2131" s="2" t="inlineStr">
        <is>
          <t>SKU-0056</t>
        </is>
      </c>
      <c r="C2131" s="2" t="n">
        <v>17</v>
      </c>
      <c r="D2131" s="2">
        <f>VLOOKUP(B2131,Products!$A$2:$D$201,3,FALSE())</f>
        <v/>
      </c>
      <c r="E2131" s="2">
        <f>C2131*D2131</f>
        <v/>
      </c>
      <c r="F2131" s="2">
        <f>C2131*INDEX(Products!$D$2:$D$201,MATCH(B2131,Products!$A$2:$A$201,0))</f>
        <v/>
      </c>
      <c r="G2131" s="2">
        <f>E2131-F2131</f>
        <v/>
      </c>
    </row>
    <row r="2132" ht="15" customHeight="1" s="1">
      <c r="A2132" s="2" t="n">
        <v>52130</v>
      </c>
      <c r="B2132" s="2" t="inlineStr">
        <is>
          <t>SKU-0064</t>
        </is>
      </c>
      <c r="C2132" s="2" t="n">
        <v>4</v>
      </c>
      <c r="D2132" s="2">
        <f>VLOOKUP(B2132,Products!$A$2:$D$201,3,FALSE())</f>
        <v/>
      </c>
      <c r="E2132" s="2">
        <f>C2132*D2132</f>
        <v/>
      </c>
      <c r="F2132" s="2">
        <f>C2132*INDEX(Products!$D$2:$D$201,MATCH(B2132,Products!$A$2:$A$201,0))</f>
        <v/>
      </c>
      <c r="G2132" s="2">
        <f>E2132-F2132</f>
        <v/>
      </c>
    </row>
    <row r="2133" ht="15" customHeight="1" s="1">
      <c r="A2133" s="2" t="n">
        <v>52131</v>
      </c>
      <c r="B2133" s="2" t="inlineStr">
        <is>
          <t>SKU-0179</t>
        </is>
      </c>
      <c r="C2133" s="2" t="n">
        <v>9</v>
      </c>
      <c r="D2133" s="2">
        <f>VLOOKUP(B2133,Products!$A$2:$D$201,3,FALSE())</f>
        <v/>
      </c>
      <c r="E2133" s="2">
        <f>C2133*D2133</f>
        <v/>
      </c>
      <c r="F2133" s="2">
        <f>C2133*INDEX(Products!$D$2:$D$201,MATCH(B2133,Products!$A$2:$A$201,0))</f>
        <v/>
      </c>
      <c r="G2133" s="2">
        <f>E2133-F2133</f>
        <v/>
      </c>
    </row>
    <row r="2134" ht="15" customHeight="1" s="1">
      <c r="A2134" s="2" t="n">
        <v>52132</v>
      </c>
      <c r="B2134" s="2" t="inlineStr">
        <is>
          <t>SKU-0195</t>
        </is>
      </c>
      <c r="C2134" s="2" t="n">
        <v>4</v>
      </c>
      <c r="D2134" s="2">
        <f>VLOOKUP(B2134,Products!$A$2:$D$201,3,FALSE())</f>
        <v/>
      </c>
      <c r="E2134" s="2">
        <f>C2134*D2134</f>
        <v/>
      </c>
      <c r="F2134" s="2">
        <f>C2134*INDEX(Products!$D$2:$D$201,MATCH(B2134,Products!$A$2:$A$201,0))</f>
        <v/>
      </c>
      <c r="G2134" s="2">
        <f>E2134-F2134</f>
        <v/>
      </c>
    </row>
    <row r="2135" ht="15" customHeight="1" s="1">
      <c r="A2135" s="2" t="n">
        <v>52133</v>
      </c>
      <c r="B2135" s="2" t="inlineStr">
        <is>
          <t>SKU-0073</t>
        </is>
      </c>
      <c r="C2135" s="2" t="n">
        <v>6</v>
      </c>
      <c r="D2135" s="2">
        <f>VLOOKUP(B2135,Products!$A$2:$D$201,3,FALSE())</f>
        <v/>
      </c>
      <c r="E2135" s="2">
        <f>C2135*D2135</f>
        <v/>
      </c>
      <c r="F2135" s="2">
        <f>C2135*INDEX(Products!$D$2:$D$201,MATCH(B2135,Products!$A$2:$A$201,0))</f>
        <v/>
      </c>
      <c r="G2135" s="2">
        <f>E2135-F2135</f>
        <v/>
      </c>
    </row>
    <row r="2136" ht="15" customHeight="1" s="1">
      <c r="A2136" s="2" t="n">
        <v>52134</v>
      </c>
      <c r="B2136" s="2" t="inlineStr">
        <is>
          <t>SKU-0191</t>
        </is>
      </c>
      <c r="C2136" s="2" t="n">
        <v>1</v>
      </c>
      <c r="D2136" s="2">
        <f>VLOOKUP(B2136,Products!$A$2:$D$201,3,FALSE())</f>
        <v/>
      </c>
      <c r="E2136" s="2">
        <f>C2136*D2136</f>
        <v/>
      </c>
      <c r="F2136" s="2">
        <f>C2136*INDEX(Products!$D$2:$D$201,MATCH(B2136,Products!$A$2:$A$201,0))</f>
        <v/>
      </c>
      <c r="G2136" s="2">
        <f>E2136-F2136</f>
        <v/>
      </c>
    </row>
    <row r="2137" ht="15" customHeight="1" s="1">
      <c r="A2137" s="2" t="n">
        <v>52135</v>
      </c>
      <c r="B2137" s="2" t="inlineStr">
        <is>
          <t>SKU-0141</t>
        </is>
      </c>
      <c r="C2137" s="2" t="n">
        <v>8</v>
      </c>
      <c r="D2137" s="2">
        <f>VLOOKUP(B2137,Products!$A$2:$D$201,3,FALSE())</f>
        <v/>
      </c>
      <c r="E2137" s="2">
        <f>C2137*D2137</f>
        <v/>
      </c>
      <c r="F2137" s="2">
        <f>C2137*INDEX(Products!$D$2:$D$201,MATCH(B2137,Products!$A$2:$A$201,0))</f>
        <v/>
      </c>
      <c r="G2137" s="2">
        <f>E2137-F2137</f>
        <v/>
      </c>
    </row>
    <row r="2138" ht="15" customHeight="1" s="1">
      <c r="A2138" s="2" t="n">
        <v>52136</v>
      </c>
      <c r="B2138" s="2" t="inlineStr">
        <is>
          <t>SKU-0199</t>
        </is>
      </c>
      <c r="C2138" s="2" t="n">
        <v>4</v>
      </c>
      <c r="D2138" s="2">
        <f>VLOOKUP(B2138,Products!$A$2:$D$201,3,FALSE())</f>
        <v/>
      </c>
      <c r="E2138" s="2">
        <f>C2138*D2138</f>
        <v/>
      </c>
      <c r="F2138" s="2">
        <f>C2138*INDEX(Products!$D$2:$D$201,MATCH(B2138,Products!$A$2:$A$201,0))</f>
        <v/>
      </c>
      <c r="G2138" s="2">
        <f>E2138-F2138</f>
        <v/>
      </c>
    </row>
    <row r="2139" ht="15" customHeight="1" s="1">
      <c r="A2139" s="2" t="n">
        <v>52137</v>
      </c>
      <c r="B2139" s="2" t="inlineStr">
        <is>
          <t>SKU-0035</t>
        </is>
      </c>
      <c r="C2139" s="2" t="n">
        <v>18</v>
      </c>
      <c r="D2139" s="2">
        <f>VLOOKUP(B2139,Products!$A$2:$D$201,3,FALSE())</f>
        <v/>
      </c>
      <c r="E2139" s="2">
        <f>C2139*D2139</f>
        <v/>
      </c>
      <c r="F2139" s="2">
        <f>C2139*INDEX(Products!$D$2:$D$201,MATCH(B2139,Products!$A$2:$A$201,0))</f>
        <v/>
      </c>
      <c r="G2139" s="2">
        <f>E2139-F2139</f>
        <v/>
      </c>
    </row>
    <row r="2140" ht="15" customHeight="1" s="1">
      <c r="A2140" s="2" t="n">
        <v>52138</v>
      </c>
      <c r="B2140" s="2" t="inlineStr">
        <is>
          <t>SKU-0085</t>
        </is>
      </c>
      <c r="C2140" s="2" t="n">
        <v>13</v>
      </c>
      <c r="D2140" s="2">
        <f>VLOOKUP(B2140,Products!$A$2:$D$201,3,FALSE())</f>
        <v/>
      </c>
      <c r="E2140" s="2">
        <f>C2140*D2140</f>
        <v/>
      </c>
      <c r="F2140" s="2">
        <f>C2140*INDEX(Products!$D$2:$D$201,MATCH(B2140,Products!$A$2:$A$201,0))</f>
        <v/>
      </c>
      <c r="G2140" s="2">
        <f>E2140-F2140</f>
        <v/>
      </c>
    </row>
    <row r="2141" ht="15" customHeight="1" s="1">
      <c r="A2141" s="2" t="n">
        <v>52139</v>
      </c>
      <c r="B2141" s="2" t="inlineStr">
        <is>
          <t>SKU-0181</t>
        </is>
      </c>
      <c r="C2141" s="2" t="n">
        <v>15</v>
      </c>
      <c r="D2141" s="2">
        <f>VLOOKUP(B2141,Products!$A$2:$D$201,3,FALSE())</f>
        <v/>
      </c>
      <c r="E2141" s="2">
        <f>C2141*D2141</f>
        <v/>
      </c>
      <c r="F2141" s="2">
        <f>C2141*INDEX(Products!$D$2:$D$201,MATCH(B2141,Products!$A$2:$A$201,0))</f>
        <v/>
      </c>
      <c r="G2141" s="2">
        <f>E2141-F2141</f>
        <v/>
      </c>
    </row>
    <row r="2142" ht="15" customHeight="1" s="1">
      <c r="A2142" s="2" t="n">
        <v>52140</v>
      </c>
      <c r="B2142" s="2" t="inlineStr">
        <is>
          <t>SKU-0011</t>
        </is>
      </c>
      <c r="C2142" s="2" t="n">
        <v>3</v>
      </c>
      <c r="D2142" s="2">
        <f>VLOOKUP(B2142,Products!$A$2:$D$201,3,FALSE())</f>
        <v/>
      </c>
      <c r="E2142" s="2">
        <f>C2142*D2142</f>
        <v/>
      </c>
      <c r="F2142" s="2">
        <f>C2142*INDEX(Products!$D$2:$D$201,MATCH(B2142,Products!$A$2:$A$201,0))</f>
        <v/>
      </c>
      <c r="G2142" s="2">
        <f>E2142-F2142</f>
        <v/>
      </c>
    </row>
    <row r="2143" ht="15" customHeight="1" s="1">
      <c r="A2143" s="2" t="n">
        <v>52141</v>
      </c>
      <c r="B2143" s="2" t="inlineStr">
        <is>
          <t>SKU-0178</t>
        </is>
      </c>
      <c r="C2143" s="2" t="n">
        <v>3</v>
      </c>
      <c r="D2143" s="2">
        <f>VLOOKUP(B2143,Products!$A$2:$D$201,3,FALSE())</f>
        <v/>
      </c>
      <c r="E2143" s="2">
        <f>C2143*D2143</f>
        <v/>
      </c>
      <c r="F2143" s="2">
        <f>C2143*INDEX(Products!$D$2:$D$201,MATCH(B2143,Products!$A$2:$A$201,0))</f>
        <v/>
      </c>
      <c r="G2143" s="2">
        <f>E2143-F2143</f>
        <v/>
      </c>
    </row>
    <row r="2144" ht="15" customHeight="1" s="1">
      <c r="A2144" s="2" t="n">
        <v>52142</v>
      </c>
      <c r="B2144" s="2" t="inlineStr">
        <is>
          <t>SKU-0009</t>
        </is>
      </c>
      <c r="C2144" s="2" t="n">
        <v>17</v>
      </c>
      <c r="D2144" s="2">
        <f>VLOOKUP(B2144,Products!$A$2:$D$201,3,FALSE())</f>
        <v/>
      </c>
      <c r="E2144" s="2">
        <f>C2144*D2144</f>
        <v/>
      </c>
      <c r="F2144" s="2">
        <f>C2144*INDEX(Products!$D$2:$D$201,MATCH(B2144,Products!$A$2:$A$201,0))</f>
        <v/>
      </c>
      <c r="G2144" s="2">
        <f>E2144-F2144</f>
        <v/>
      </c>
    </row>
    <row r="2145" ht="15" customHeight="1" s="1">
      <c r="A2145" s="2" t="n">
        <v>52143</v>
      </c>
      <c r="B2145" s="2" t="inlineStr">
        <is>
          <t>SKU-0144</t>
        </is>
      </c>
      <c r="C2145" s="2" t="n">
        <v>6</v>
      </c>
      <c r="D2145" s="2">
        <f>VLOOKUP(B2145,Products!$A$2:$D$201,3,FALSE())</f>
        <v/>
      </c>
      <c r="E2145" s="2">
        <f>C2145*D2145</f>
        <v/>
      </c>
      <c r="F2145" s="2">
        <f>C2145*INDEX(Products!$D$2:$D$201,MATCH(B2145,Products!$A$2:$A$201,0))</f>
        <v/>
      </c>
      <c r="G2145" s="2">
        <f>E2145-F2145</f>
        <v/>
      </c>
    </row>
    <row r="2146" ht="15" customHeight="1" s="1">
      <c r="A2146" s="2" t="n">
        <v>52144</v>
      </c>
      <c r="B2146" s="2" t="inlineStr">
        <is>
          <t>SKU-0055</t>
        </is>
      </c>
      <c r="C2146" s="2" t="n">
        <v>14</v>
      </c>
      <c r="D2146" s="2">
        <f>VLOOKUP(B2146,Products!$A$2:$D$201,3,FALSE())</f>
        <v/>
      </c>
      <c r="E2146" s="2">
        <f>C2146*D2146</f>
        <v/>
      </c>
      <c r="F2146" s="2">
        <f>C2146*INDEX(Products!$D$2:$D$201,MATCH(B2146,Products!$A$2:$A$201,0))</f>
        <v/>
      </c>
      <c r="G2146" s="2">
        <f>E2146-F2146</f>
        <v/>
      </c>
    </row>
    <row r="2147" ht="15" customHeight="1" s="1">
      <c r="A2147" s="2" t="n">
        <v>52145</v>
      </c>
      <c r="B2147" s="2" t="inlineStr">
        <is>
          <t>SKU-0030</t>
        </is>
      </c>
      <c r="C2147" s="2" t="n">
        <v>14</v>
      </c>
      <c r="D2147" s="2">
        <f>VLOOKUP(B2147,Products!$A$2:$D$201,3,FALSE())</f>
        <v/>
      </c>
      <c r="E2147" s="2">
        <f>C2147*D2147</f>
        <v/>
      </c>
      <c r="F2147" s="2">
        <f>C2147*INDEX(Products!$D$2:$D$201,MATCH(B2147,Products!$A$2:$A$201,0))</f>
        <v/>
      </c>
      <c r="G2147" s="2">
        <f>E2147-F2147</f>
        <v/>
      </c>
    </row>
    <row r="2148" ht="15" customHeight="1" s="1">
      <c r="A2148" s="2" t="n">
        <v>52146</v>
      </c>
      <c r="B2148" s="2" t="inlineStr">
        <is>
          <t>SKU-0178</t>
        </is>
      </c>
      <c r="C2148" s="2" t="n">
        <v>20</v>
      </c>
      <c r="D2148" s="2">
        <f>VLOOKUP(B2148,Products!$A$2:$D$201,3,FALSE())</f>
        <v/>
      </c>
      <c r="E2148" s="2">
        <f>C2148*D2148</f>
        <v/>
      </c>
      <c r="F2148" s="2">
        <f>C2148*INDEX(Products!$D$2:$D$201,MATCH(B2148,Products!$A$2:$A$201,0))</f>
        <v/>
      </c>
      <c r="G2148" s="2">
        <f>E2148-F2148</f>
        <v/>
      </c>
    </row>
    <row r="2149" ht="15" customHeight="1" s="1">
      <c r="A2149" s="2" t="n">
        <v>52147</v>
      </c>
      <c r="B2149" s="2" t="inlineStr">
        <is>
          <t>SKU-0163</t>
        </is>
      </c>
      <c r="C2149" s="2" t="n">
        <v>11</v>
      </c>
      <c r="D2149" s="2">
        <f>VLOOKUP(B2149,Products!$A$2:$D$201,3,FALSE())</f>
        <v/>
      </c>
      <c r="E2149" s="2">
        <f>C2149*D2149</f>
        <v/>
      </c>
      <c r="F2149" s="2">
        <f>C2149*INDEX(Products!$D$2:$D$201,MATCH(B2149,Products!$A$2:$A$201,0))</f>
        <v/>
      </c>
      <c r="G2149" s="2">
        <f>E2149-F2149</f>
        <v/>
      </c>
    </row>
    <row r="2150" ht="15" customHeight="1" s="1">
      <c r="A2150" s="2" t="n">
        <v>52148</v>
      </c>
      <c r="B2150" s="2" t="inlineStr">
        <is>
          <t>SKU-0090</t>
        </is>
      </c>
      <c r="C2150" s="2" t="n">
        <v>2</v>
      </c>
      <c r="D2150" s="2">
        <f>VLOOKUP(B2150,Products!$A$2:$D$201,3,FALSE())</f>
        <v/>
      </c>
      <c r="E2150" s="2">
        <f>C2150*D2150</f>
        <v/>
      </c>
      <c r="F2150" s="2">
        <f>C2150*INDEX(Products!$D$2:$D$201,MATCH(B2150,Products!$A$2:$A$201,0))</f>
        <v/>
      </c>
      <c r="G2150" s="2">
        <f>E2150-F2150</f>
        <v/>
      </c>
    </row>
    <row r="2151" ht="15" customHeight="1" s="1">
      <c r="A2151" s="2" t="n">
        <v>52149</v>
      </c>
      <c r="B2151" s="2" t="inlineStr">
        <is>
          <t>SKU-0058</t>
        </is>
      </c>
      <c r="C2151" s="2" t="n">
        <v>13</v>
      </c>
      <c r="D2151" s="2">
        <f>VLOOKUP(B2151,Products!$A$2:$D$201,3,FALSE())</f>
        <v/>
      </c>
      <c r="E2151" s="2">
        <f>C2151*D2151</f>
        <v/>
      </c>
      <c r="F2151" s="2">
        <f>C2151*INDEX(Products!$D$2:$D$201,MATCH(B2151,Products!$A$2:$A$201,0))</f>
        <v/>
      </c>
      <c r="G2151" s="2">
        <f>E2151-F2151</f>
        <v/>
      </c>
    </row>
    <row r="2152" ht="15" customHeight="1" s="1">
      <c r="A2152" s="2" t="n">
        <v>52150</v>
      </c>
      <c r="B2152" s="2" t="inlineStr">
        <is>
          <t>SKU-0016</t>
        </is>
      </c>
      <c r="C2152" s="2" t="n">
        <v>19</v>
      </c>
      <c r="D2152" s="2">
        <f>VLOOKUP(B2152,Products!$A$2:$D$201,3,FALSE())</f>
        <v/>
      </c>
      <c r="E2152" s="2">
        <f>C2152*D2152</f>
        <v/>
      </c>
      <c r="F2152" s="2">
        <f>C2152*INDEX(Products!$D$2:$D$201,MATCH(B2152,Products!$A$2:$A$201,0))</f>
        <v/>
      </c>
      <c r="G2152" s="2">
        <f>E2152-F2152</f>
        <v/>
      </c>
    </row>
    <row r="2153" ht="15" customHeight="1" s="1">
      <c r="A2153" s="2" t="n">
        <v>52151</v>
      </c>
      <c r="B2153" s="2" t="inlineStr">
        <is>
          <t>SKU-0049</t>
        </is>
      </c>
      <c r="C2153" s="2" t="n">
        <v>8</v>
      </c>
      <c r="D2153" s="2">
        <f>VLOOKUP(B2153,Products!$A$2:$D$201,3,FALSE())</f>
        <v/>
      </c>
      <c r="E2153" s="2">
        <f>C2153*D2153</f>
        <v/>
      </c>
      <c r="F2153" s="2">
        <f>C2153*INDEX(Products!$D$2:$D$201,MATCH(B2153,Products!$A$2:$A$201,0))</f>
        <v/>
      </c>
      <c r="G2153" s="2">
        <f>E2153-F2153</f>
        <v/>
      </c>
    </row>
    <row r="2154" ht="15" customHeight="1" s="1">
      <c r="A2154" s="2" t="n">
        <v>52152</v>
      </c>
      <c r="B2154" s="2" t="inlineStr">
        <is>
          <t>SKU-0006</t>
        </is>
      </c>
      <c r="C2154" s="2" t="n">
        <v>3</v>
      </c>
      <c r="D2154" s="2">
        <f>VLOOKUP(B2154,Products!$A$2:$D$201,3,FALSE())</f>
        <v/>
      </c>
      <c r="E2154" s="2">
        <f>C2154*D2154</f>
        <v/>
      </c>
      <c r="F2154" s="2">
        <f>C2154*INDEX(Products!$D$2:$D$201,MATCH(B2154,Products!$A$2:$A$201,0))</f>
        <v/>
      </c>
      <c r="G2154" s="2">
        <f>E2154-F2154</f>
        <v/>
      </c>
    </row>
    <row r="2155" ht="15" customHeight="1" s="1">
      <c r="A2155" s="2" t="n">
        <v>52153</v>
      </c>
      <c r="B2155" s="2" t="inlineStr">
        <is>
          <t>SKU-0010</t>
        </is>
      </c>
      <c r="C2155" s="2" t="n">
        <v>20</v>
      </c>
      <c r="D2155" s="2">
        <f>VLOOKUP(B2155,Products!$A$2:$D$201,3,FALSE())</f>
        <v/>
      </c>
      <c r="E2155" s="2">
        <f>C2155*D2155</f>
        <v/>
      </c>
      <c r="F2155" s="2">
        <f>C2155*INDEX(Products!$D$2:$D$201,MATCH(B2155,Products!$A$2:$A$201,0))</f>
        <v/>
      </c>
      <c r="G2155" s="2">
        <f>E2155-F2155</f>
        <v/>
      </c>
    </row>
    <row r="2156" ht="15" customHeight="1" s="1">
      <c r="A2156" s="2" t="n">
        <v>52154</v>
      </c>
      <c r="B2156" s="2" t="inlineStr">
        <is>
          <t>SKU-0162</t>
        </is>
      </c>
      <c r="C2156" s="2" t="n">
        <v>15</v>
      </c>
      <c r="D2156" s="2">
        <f>VLOOKUP(B2156,Products!$A$2:$D$201,3,FALSE())</f>
        <v/>
      </c>
      <c r="E2156" s="2">
        <f>C2156*D2156</f>
        <v/>
      </c>
      <c r="F2156" s="2">
        <f>C2156*INDEX(Products!$D$2:$D$201,MATCH(B2156,Products!$A$2:$A$201,0))</f>
        <v/>
      </c>
      <c r="G2156" s="2">
        <f>E2156-F2156</f>
        <v/>
      </c>
    </row>
    <row r="2157" ht="15" customHeight="1" s="1">
      <c r="A2157" s="2" t="n">
        <v>52155</v>
      </c>
      <c r="B2157" s="2" t="inlineStr">
        <is>
          <t>SKU-0048</t>
        </is>
      </c>
      <c r="C2157" s="2" t="n">
        <v>4</v>
      </c>
      <c r="D2157" s="2">
        <f>VLOOKUP(B2157,Products!$A$2:$D$201,3,FALSE())</f>
        <v/>
      </c>
      <c r="E2157" s="2">
        <f>C2157*D2157</f>
        <v/>
      </c>
      <c r="F2157" s="2">
        <f>C2157*INDEX(Products!$D$2:$D$201,MATCH(B2157,Products!$A$2:$A$201,0))</f>
        <v/>
      </c>
      <c r="G2157" s="2">
        <f>E2157-F2157</f>
        <v/>
      </c>
    </row>
    <row r="2158" ht="15" customHeight="1" s="1">
      <c r="A2158" s="2" t="n">
        <v>52156</v>
      </c>
      <c r="B2158" s="2" t="inlineStr">
        <is>
          <t>SKU-0109</t>
        </is>
      </c>
      <c r="C2158" s="2" t="n">
        <v>1</v>
      </c>
      <c r="D2158" s="2">
        <f>VLOOKUP(B2158,Products!$A$2:$D$201,3,FALSE())</f>
        <v/>
      </c>
      <c r="E2158" s="2">
        <f>C2158*D2158</f>
        <v/>
      </c>
      <c r="F2158" s="2">
        <f>C2158*INDEX(Products!$D$2:$D$201,MATCH(B2158,Products!$A$2:$A$201,0))</f>
        <v/>
      </c>
      <c r="G2158" s="2">
        <f>E2158-F2158</f>
        <v/>
      </c>
    </row>
    <row r="2159" ht="15" customHeight="1" s="1">
      <c r="A2159" s="2" t="n">
        <v>52157</v>
      </c>
      <c r="B2159" s="2" t="inlineStr">
        <is>
          <t>SKU-0060</t>
        </is>
      </c>
      <c r="C2159" s="2" t="n">
        <v>4</v>
      </c>
      <c r="D2159" s="2">
        <f>VLOOKUP(B2159,Products!$A$2:$D$201,3,FALSE())</f>
        <v/>
      </c>
      <c r="E2159" s="2">
        <f>C2159*D2159</f>
        <v/>
      </c>
      <c r="F2159" s="2">
        <f>C2159*INDEX(Products!$D$2:$D$201,MATCH(B2159,Products!$A$2:$A$201,0))</f>
        <v/>
      </c>
      <c r="G2159" s="2">
        <f>E2159-F2159</f>
        <v/>
      </c>
    </row>
    <row r="2160" ht="15" customHeight="1" s="1">
      <c r="A2160" s="2" t="n">
        <v>52158</v>
      </c>
      <c r="B2160" s="2" t="inlineStr">
        <is>
          <t>SKU-0028</t>
        </is>
      </c>
      <c r="C2160" s="2" t="n">
        <v>13</v>
      </c>
      <c r="D2160" s="2">
        <f>VLOOKUP(B2160,Products!$A$2:$D$201,3,FALSE())</f>
        <v/>
      </c>
      <c r="E2160" s="2">
        <f>C2160*D2160</f>
        <v/>
      </c>
      <c r="F2160" s="2">
        <f>C2160*INDEX(Products!$D$2:$D$201,MATCH(B2160,Products!$A$2:$A$201,0))</f>
        <v/>
      </c>
      <c r="G2160" s="2">
        <f>E2160-F2160</f>
        <v/>
      </c>
    </row>
    <row r="2161" ht="15" customHeight="1" s="1">
      <c r="A2161" s="2" t="n">
        <v>52159</v>
      </c>
      <c r="B2161" s="2" t="inlineStr">
        <is>
          <t>SKU-0100</t>
        </is>
      </c>
      <c r="C2161" s="2" t="n">
        <v>1</v>
      </c>
      <c r="D2161" s="2">
        <f>VLOOKUP(B2161,Products!$A$2:$D$201,3,FALSE())</f>
        <v/>
      </c>
      <c r="E2161" s="2">
        <f>C2161*D2161</f>
        <v/>
      </c>
      <c r="F2161" s="2">
        <f>C2161*INDEX(Products!$D$2:$D$201,MATCH(B2161,Products!$A$2:$A$201,0))</f>
        <v/>
      </c>
      <c r="G2161" s="2">
        <f>E2161-F2161</f>
        <v/>
      </c>
    </row>
    <row r="2162" ht="15" customHeight="1" s="1">
      <c r="A2162" s="2" t="n">
        <v>52160</v>
      </c>
      <c r="B2162" s="2" t="inlineStr">
        <is>
          <t>SKU-0079</t>
        </is>
      </c>
      <c r="C2162" s="2" t="n">
        <v>19</v>
      </c>
      <c r="D2162" s="2">
        <f>VLOOKUP(B2162,Products!$A$2:$D$201,3,FALSE())</f>
        <v/>
      </c>
      <c r="E2162" s="2">
        <f>C2162*D2162</f>
        <v/>
      </c>
      <c r="F2162" s="2">
        <f>C2162*INDEX(Products!$D$2:$D$201,MATCH(B2162,Products!$A$2:$A$201,0))</f>
        <v/>
      </c>
      <c r="G2162" s="2">
        <f>E2162-F2162</f>
        <v/>
      </c>
    </row>
    <row r="2163" ht="15" customHeight="1" s="1">
      <c r="A2163" s="2" t="n">
        <v>52161</v>
      </c>
      <c r="B2163" s="2" t="inlineStr">
        <is>
          <t>SKU-0146</t>
        </is>
      </c>
      <c r="C2163" s="2" t="n">
        <v>18</v>
      </c>
      <c r="D2163" s="2">
        <f>VLOOKUP(B2163,Products!$A$2:$D$201,3,FALSE())</f>
        <v/>
      </c>
      <c r="E2163" s="2">
        <f>C2163*D2163</f>
        <v/>
      </c>
      <c r="F2163" s="2">
        <f>C2163*INDEX(Products!$D$2:$D$201,MATCH(B2163,Products!$A$2:$A$201,0))</f>
        <v/>
      </c>
      <c r="G2163" s="2">
        <f>E2163-F2163</f>
        <v/>
      </c>
    </row>
    <row r="2164" ht="15" customHeight="1" s="1">
      <c r="A2164" s="2" t="n">
        <v>52162</v>
      </c>
      <c r="B2164" s="2" t="inlineStr">
        <is>
          <t>SKU-0095</t>
        </is>
      </c>
      <c r="C2164" s="2" t="n">
        <v>7</v>
      </c>
      <c r="D2164" s="2">
        <f>VLOOKUP(B2164,Products!$A$2:$D$201,3,FALSE())</f>
        <v/>
      </c>
      <c r="E2164" s="2">
        <f>C2164*D2164</f>
        <v/>
      </c>
      <c r="F2164" s="2">
        <f>C2164*INDEX(Products!$D$2:$D$201,MATCH(B2164,Products!$A$2:$A$201,0))</f>
        <v/>
      </c>
      <c r="G2164" s="2">
        <f>E2164-F2164</f>
        <v/>
      </c>
    </row>
    <row r="2165" ht="15" customHeight="1" s="1">
      <c r="A2165" s="2" t="n">
        <v>52163</v>
      </c>
      <c r="B2165" s="2" t="inlineStr">
        <is>
          <t>SKU-0183</t>
        </is>
      </c>
      <c r="C2165" s="2" t="n">
        <v>20</v>
      </c>
      <c r="D2165" s="2">
        <f>VLOOKUP(B2165,Products!$A$2:$D$201,3,FALSE())</f>
        <v/>
      </c>
      <c r="E2165" s="2">
        <f>C2165*D2165</f>
        <v/>
      </c>
      <c r="F2165" s="2">
        <f>C2165*INDEX(Products!$D$2:$D$201,MATCH(B2165,Products!$A$2:$A$201,0))</f>
        <v/>
      </c>
      <c r="G2165" s="2">
        <f>E2165-F2165</f>
        <v/>
      </c>
    </row>
    <row r="2166" ht="15" customHeight="1" s="1">
      <c r="A2166" s="2" t="n">
        <v>52164</v>
      </c>
      <c r="B2166" s="2" t="inlineStr">
        <is>
          <t>SKU-0120</t>
        </is>
      </c>
      <c r="C2166" s="2" t="n">
        <v>3</v>
      </c>
      <c r="D2166" s="2">
        <f>VLOOKUP(B2166,Products!$A$2:$D$201,3,FALSE())</f>
        <v/>
      </c>
      <c r="E2166" s="2">
        <f>C2166*D2166</f>
        <v/>
      </c>
      <c r="F2166" s="2">
        <f>C2166*INDEX(Products!$D$2:$D$201,MATCH(B2166,Products!$A$2:$A$201,0))</f>
        <v/>
      </c>
      <c r="G2166" s="2">
        <f>E2166-F2166</f>
        <v/>
      </c>
    </row>
    <row r="2167" ht="15" customHeight="1" s="1">
      <c r="A2167" s="2" t="n">
        <v>52165</v>
      </c>
      <c r="B2167" s="2" t="inlineStr">
        <is>
          <t>SKU-0179</t>
        </is>
      </c>
      <c r="C2167" s="2" t="n">
        <v>20</v>
      </c>
      <c r="D2167" s="2">
        <f>VLOOKUP(B2167,Products!$A$2:$D$201,3,FALSE())</f>
        <v/>
      </c>
      <c r="E2167" s="2">
        <f>C2167*D2167</f>
        <v/>
      </c>
      <c r="F2167" s="2">
        <f>C2167*INDEX(Products!$D$2:$D$201,MATCH(B2167,Products!$A$2:$A$201,0))</f>
        <v/>
      </c>
      <c r="G2167" s="2">
        <f>E2167-F2167</f>
        <v/>
      </c>
    </row>
    <row r="2168" ht="15" customHeight="1" s="1">
      <c r="A2168" s="2" t="n">
        <v>52166</v>
      </c>
      <c r="B2168" s="2" t="inlineStr">
        <is>
          <t>SKU-0099</t>
        </is>
      </c>
      <c r="C2168" s="2" t="n">
        <v>17</v>
      </c>
      <c r="D2168" s="2">
        <f>VLOOKUP(B2168,Products!$A$2:$D$201,3,FALSE())</f>
        <v/>
      </c>
      <c r="E2168" s="2">
        <f>C2168*D2168</f>
        <v/>
      </c>
      <c r="F2168" s="2">
        <f>C2168*INDEX(Products!$D$2:$D$201,MATCH(B2168,Products!$A$2:$A$201,0))</f>
        <v/>
      </c>
      <c r="G2168" s="2">
        <f>E2168-F2168</f>
        <v/>
      </c>
    </row>
    <row r="2169" ht="15" customHeight="1" s="1">
      <c r="A2169" s="2" t="n">
        <v>52167</v>
      </c>
      <c r="B2169" s="2" t="inlineStr">
        <is>
          <t>SKU-0174</t>
        </is>
      </c>
      <c r="C2169" s="2" t="n">
        <v>4</v>
      </c>
      <c r="D2169" s="2">
        <f>VLOOKUP(B2169,Products!$A$2:$D$201,3,FALSE())</f>
        <v/>
      </c>
      <c r="E2169" s="2">
        <f>C2169*D2169</f>
        <v/>
      </c>
      <c r="F2169" s="2">
        <f>C2169*INDEX(Products!$D$2:$D$201,MATCH(B2169,Products!$A$2:$A$201,0))</f>
        <v/>
      </c>
      <c r="G2169" s="2">
        <f>E2169-F2169</f>
        <v/>
      </c>
    </row>
    <row r="2170" ht="15" customHeight="1" s="1">
      <c r="A2170" s="2" t="n">
        <v>52168</v>
      </c>
      <c r="B2170" s="2" t="inlineStr">
        <is>
          <t>SKU-0146</t>
        </is>
      </c>
      <c r="C2170" s="2" t="n">
        <v>10</v>
      </c>
      <c r="D2170" s="2">
        <f>VLOOKUP(B2170,Products!$A$2:$D$201,3,FALSE())</f>
        <v/>
      </c>
      <c r="E2170" s="2">
        <f>C2170*D2170</f>
        <v/>
      </c>
      <c r="F2170" s="2">
        <f>C2170*INDEX(Products!$D$2:$D$201,MATCH(B2170,Products!$A$2:$A$201,0))</f>
        <v/>
      </c>
      <c r="G2170" s="2">
        <f>E2170-F2170</f>
        <v/>
      </c>
    </row>
    <row r="2171" ht="15" customHeight="1" s="1">
      <c r="A2171" s="2" t="n">
        <v>52169</v>
      </c>
      <c r="B2171" s="2" t="inlineStr">
        <is>
          <t>SKU-0170</t>
        </is>
      </c>
      <c r="C2171" s="2" t="n">
        <v>13</v>
      </c>
      <c r="D2171" s="2">
        <f>VLOOKUP(B2171,Products!$A$2:$D$201,3,FALSE())</f>
        <v/>
      </c>
      <c r="E2171" s="2">
        <f>C2171*D2171</f>
        <v/>
      </c>
      <c r="F2171" s="2">
        <f>C2171*INDEX(Products!$D$2:$D$201,MATCH(B2171,Products!$A$2:$A$201,0))</f>
        <v/>
      </c>
      <c r="G2171" s="2">
        <f>E2171-F2171</f>
        <v/>
      </c>
    </row>
    <row r="2172" ht="15" customHeight="1" s="1">
      <c r="A2172" s="2" t="n">
        <v>52170</v>
      </c>
      <c r="B2172" s="2" t="inlineStr">
        <is>
          <t>SKU-0050</t>
        </is>
      </c>
      <c r="C2172" s="2" t="n">
        <v>4</v>
      </c>
      <c r="D2172" s="2">
        <f>VLOOKUP(B2172,Products!$A$2:$D$201,3,FALSE())</f>
        <v/>
      </c>
      <c r="E2172" s="2">
        <f>C2172*D2172</f>
        <v/>
      </c>
      <c r="F2172" s="2">
        <f>C2172*INDEX(Products!$D$2:$D$201,MATCH(B2172,Products!$A$2:$A$201,0))</f>
        <v/>
      </c>
      <c r="G2172" s="2">
        <f>E2172-F2172</f>
        <v/>
      </c>
    </row>
    <row r="2173" ht="15" customHeight="1" s="1">
      <c r="A2173" s="2" t="n">
        <v>52171</v>
      </c>
      <c r="B2173" s="2" t="inlineStr">
        <is>
          <t>SKU-0095</t>
        </is>
      </c>
      <c r="C2173" s="2" t="n">
        <v>17</v>
      </c>
      <c r="D2173" s="2">
        <f>VLOOKUP(B2173,Products!$A$2:$D$201,3,FALSE())</f>
        <v/>
      </c>
      <c r="E2173" s="2">
        <f>C2173*D2173</f>
        <v/>
      </c>
      <c r="F2173" s="2">
        <f>C2173*INDEX(Products!$D$2:$D$201,MATCH(B2173,Products!$A$2:$A$201,0))</f>
        <v/>
      </c>
      <c r="G2173" s="2">
        <f>E2173-F2173</f>
        <v/>
      </c>
    </row>
    <row r="2174" ht="15" customHeight="1" s="1">
      <c r="A2174" s="2" t="n">
        <v>52172</v>
      </c>
      <c r="B2174" s="2" t="inlineStr">
        <is>
          <t>SKU-0133</t>
        </is>
      </c>
      <c r="C2174" s="2" t="n">
        <v>9</v>
      </c>
      <c r="D2174" s="2">
        <f>VLOOKUP(B2174,Products!$A$2:$D$201,3,FALSE())</f>
        <v/>
      </c>
      <c r="E2174" s="2">
        <f>C2174*D2174</f>
        <v/>
      </c>
      <c r="F2174" s="2">
        <f>C2174*INDEX(Products!$D$2:$D$201,MATCH(B2174,Products!$A$2:$A$201,0))</f>
        <v/>
      </c>
      <c r="G2174" s="2">
        <f>E2174-F2174</f>
        <v/>
      </c>
    </row>
    <row r="2175" ht="15" customHeight="1" s="1">
      <c r="A2175" s="2" t="n">
        <v>52173</v>
      </c>
      <c r="B2175" s="2" t="inlineStr">
        <is>
          <t>SKU-0165</t>
        </is>
      </c>
      <c r="C2175" s="2" t="n">
        <v>3</v>
      </c>
      <c r="D2175" s="2">
        <f>VLOOKUP(B2175,Products!$A$2:$D$201,3,FALSE())</f>
        <v/>
      </c>
      <c r="E2175" s="2">
        <f>C2175*D2175</f>
        <v/>
      </c>
      <c r="F2175" s="2">
        <f>C2175*INDEX(Products!$D$2:$D$201,MATCH(B2175,Products!$A$2:$A$201,0))</f>
        <v/>
      </c>
      <c r="G2175" s="2">
        <f>E2175-F2175</f>
        <v/>
      </c>
    </row>
    <row r="2176" ht="15" customHeight="1" s="1">
      <c r="A2176" s="2" t="n">
        <v>52174</v>
      </c>
      <c r="B2176" s="2" t="inlineStr">
        <is>
          <t>SKU-0077</t>
        </is>
      </c>
      <c r="C2176" s="2" t="n">
        <v>10</v>
      </c>
      <c r="D2176" s="2">
        <f>VLOOKUP(B2176,Products!$A$2:$D$201,3,FALSE())</f>
        <v/>
      </c>
      <c r="E2176" s="2">
        <f>C2176*D2176</f>
        <v/>
      </c>
      <c r="F2176" s="2">
        <f>C2176*INDEX(Products!$D$2:$D$201,MATCH(B2176,Products!$A$2:$A$201,0))</f>
        <v/>
      </c>
      <c r="G2176" s="2">
        <f>E2176-F2176</f>
        <v/>
      </c>
    </row>
    <row r="2177" ht="15" customHeight="1" s="1">
      <c r="A2177" s="2" t="n">
        <v>52175</v>
      </c>
      <c r="B2177" s="2" t="inlineStr">
        <is>
          <t>SKU-0074</t>
        </is>
      </c>
      <c r="C2177" s="2" t="n">
        <v>14</v>
      </c>
      <c r="D2177" s="2">
        <f>VLOOKUP(B2177,Products!$A$2:$D$201,3,FALSE())</f>
        <v/>
      </c>
      <c r="E2177" s="2">
        <f>C2177*D2177</f>
        <v/>
      </c>
      <c r="F2177" s="2">
        <f>C2177*INDEX(Products!$D$2:$D$201,MATCH(B2177,Products!$A$2:$A$201,0))</f>
        <v/>
      </c>
      <c r="G2177" s="2">
        <f>E2177-F2177</f>
        <v/>
      </c>
    </row>
    <row r="2178" ht="15" customHeight="1" s="1">
      <c r="A2178" s="2" t="n">
        <v>52176</v>
      </c>
      <c r="B2178" s="2" t="inlineStr">
        <is>
          <t>SKU-0177</t>
        </is>
      </c>
      <c r="C2178" s="2" t="n">
        <v>5</v>
      </c>
      <c r="D2178" s="2">
        <f>VLOOKUP(B2178,Products!$A$2:$D$201,3,FALSE())</f>
        <v/>
      </c>
      <c r="E2178" s="2">
        <f>C2178*D2178</f>
        <v/>
      </c>
      <c r="F2178" s="2">
        <f>C2178*INDEX(Products!$D$2:$D$201,MATCH(B2178,Products!$A$2:$A$201,0))</f>
        <v/>
      </c>
      <c r="G2178" s="2">
        <f>E2178-F2178</f>
        <v/>
      </c>
    </row>
    <row r="2179" ht="15" customHeight="1" s="1">
      <c r="A2179" s="2" t="n">
        <v>52177</v>
      </c>
      <c r="B2179" s="2" t="inlineStr">
        <is>
          <t>SKU-0059</t>
        </is>
      </c>
      <c r="C2179" s="2" t="n">
        <v>14</v>
      </c>
      <c r="D2179" s="2">
        <f>VLOOKUP(B2179,Products!$A$2:$D$201,3,FALSE())</f>
        <v/>
      </c>
      <c r="E2179" s="2">
        <f>C2179*D2179</f>
        <v/>
      </c>
      <c r="F2179" s="2">
        <f>C2179*INDEX(Products!$D$2:$D$201,MATCH(B2179,Products!$A$2:$A$201,0))</f>
        <v/>
      </c>
      <c r="G2179" s="2">
        <f>E2179-F2179</f>
        <v/>
      </c>
    </row>
    <row r="2180" ht="15" customHeight="1" s="1">
      <c r="A2180" s="2" t="n">
        <v>52178</v>
      </c>
      <c r="B2180" s="2" t="inlineStr">
        <is>
          <t>SKU-0173</t>
        </is>
      </c>
      <c r="C2180" s="2" t="n">
        <v>17</v>
      </c>
      <c r="D2180" s="2">
        <f>VLOOKUP(B2180,Products!$A$2:$D$201,3,FALSE())</f>
        <v/>
      </c>
      <c r="E2180" s="2">
        <f>C2180*D2180</f>
        <v/>
      </c>
      <c r="F2180" s="2">
        <f>C2180*INDEX(Products!$D$2:$D$201,MATCH(B2180,Products!$A$2:$A$201,0))</f>
        <v/>
      </c>
      <c r="G2180" s="2">
        <f>E2180-F2180</f>
        <v/>
      </c>
    </row>
    <row r="2181" ht="15" customHeight="1" s="1">
      <c r="A2181" s="2" t="n">
        <v>52179</v>
      </c>
      <c r="B2181" s="2" t="inlineStr">
        <is>
          <t>SKU-0068</t>
        </is>
      </c>
      <c r="C2181" s="2" t="n">
        <v>20</v>
      </c>
      <c r="D2181" s="2">
        <f>VLOOKUP(B2181,Products!$A$2:$D$201,3,FALSE())</f>
        <v/>
      </c>
      <c r="E2181" s="2">
        <f>C2181*D2181</f>
        <v/>
      </c>
      <c r="F2181" s="2">
        <f>C2181*INDEX(Products!$D$2:$D$201,MATCH(B2181,Products!$A$2:$A$201,0))</f>
        <v/>
      </c>
      <c r="G2181" s="2">
        <f>E2181-F2181</f>
        <v/>
      </c>
    </row>
    <row r="2182" ht="15" customHeight="1" s="1">
      <c r="A2182" s="2" t="n">
        <v>52180</v>
      </c>
      <c r="B2182" s="2" t="inlineStr">
        <is>
          <t>SKU-0007</t>
        </is>
      </c>
      <c r="C2182" s="2" t="n">
        <v>4</v>
      </c>
      <c r="D2182" s="2">
        <f>VLOOKUP(B2182,Products!$A$2:$D$201,3,FALSE())</f>
        <v/>
      </c>
      <c r="E2182" s="2">
        <f>C2182*D2182</f>
        <v/>
      </c>
      <c r="F2182" s="2">
        <f>C2182*INDEX(Products!$D$2:$D$201,MATCH(B2182,Products!$A$2:$A$201,0))</f>
        <v/>
      </c>
      <c r="G2182" s="2">
        <f>E2182-F2182</f>
        <v/>
      </c>
    </row>
    <row r="2183" ht="15" customHeight="1" s="1">
      <c r="A2183" s="2" t="n">
        <v>52181</v>
      </c>
      <c r="B2183" s="2" t="inlineStr">
        <is>
          <t>SKU-0184</t>
        </is>
      </c>
      <c r="C2183" s="2" t="n">
        <v>7</v>
      </c>
      <c r="D2183" s="2">
        <f>VLOOKUP(B2183,Products!$A$2:$D$201,3,FALSE())</f>
        <v/>
      </c>
      <c r="E2183" s="2">
        <f>C2183*D2183</f>
        <v/>
      </c>
      <c r="F2183" s="2">
        <f>C2183*INDEX(Products!$D$2:$D$201,MATCH(B2183,Products!$A$2:$A$201,0))</f>
        <v/>
      </c>
      <c r="G2183" s="2">
        <f>E2183-F2183</f>
        <v/>
      </c>
    </row>
    <row r="2184" ht="15" customHeight="1" s="1">
      <c r="A2184" s="2" t="n">
        <v>52182</v>
      </c>
      <c r="B2184" s="2" t="inlineStr">
        <is>
          <t>SKU-0103</t>
        </is>
      </c>
      <c r="C2184" s="2" t="n">
        <v>12</v>
      </c>
      <c r="D2184" s="2">
        <f>VLOOKUP(B2184,Products!$A$2:$D$201,3,FALSE())</f>
        <v/>
      </c>
      <c r="E2184" s="2">
        <f>C2184*D2184</f>
        <v/>
      </c>
      <c r="F2184" s="2">
        <f>C2184*INDEX(Products!$D$2:$D$201,MATCH(B2184,Products!$A$2:$A$201,0))</f>
        <v/>
      </c>
      <c r="G2184" s="2">
        <f>E2184-F2184</f>
        <v/>
      </c>
    </row>
    <row r="2185" ht="15" customHeight="1" s="1">
      <c r="A2185" s="2" t="n">
        <v>52183</v>
      </c>
      <c r="B2185" s="2" t="inlineStr">
        <is>
          <t>SKU-0174</t>
        </is>
      </c>
      <c r="C2185" s="2" t="n">
        <v>20</v>
      </c>
      <c r="D2185" s="2">
        <f>VLOOKUP(B2185,Products!$A$2:$D$201,3,FALSE())</f>
        <v/>
      </c>
      <c r="E2185" s="2">
        <f>C2185*D2185</f>
        <v/>
      </c>
      <c r="F2185" s="2">
        <f>C2185*INDEX(Products!$D$2:$D$201,MATCH(B2185,Products!$A$2:$A$201,0))</f>
        <v/>
      </c>
      <c r="G2185" s="2">
        <f>E2185-F2185</f>
        <v/>
      </c>
    </row>
    <row r="2186" ht="15" customHeight="1" s="1">
      <c r="A2186" s="2" t="n">
        <v>52184</v>
      </c>
      <c r="B2186" s="2" t="inlineStr">
        <is>
          <t>SKU-0127</t>
        </is>
      </c>
      <c r="C2186" s="2" t="n">
        <v>4</v>
      </c>
      <c r="D2186" s="2">
        <f>VLOOKUP(B2186,Products!$A$2:$D$201,3,FALSE())</f>
        <v/>
      </c>
      <c r="E2186" s="2">
        <f>C2186*D2186</f>
        <v/>
      </c>
      <c r="F2186" s="2">
        <f>C2186*INDEX(Products!$D$2:$D$201,MATCH(B2186,Products!$A$2:$A$201,0))</f>
        <v/>
      </c>
      <c r="G2186" s="2">
        <f>E2186-F2186</f>
        <v/>
      </c>
    </row>
    <row r="2187" ht="15" customHeight="1" s="1">
      <c r="A2187" s="2" t="n">
        <v>52185</v>
      </c>
      <c r="B2187" s="2" t="inlineStr">
        <is>
          <t>SKU-0150</t>
        </is>
      </c>
      <c r="C2187" s="2" t="n">
        <v>14</v>
      </c>
      <c r="D2187" s="2">
        <f>VLOOKUP(B2187,Products!$A$2:$D$201,3,FALSE())</f>
        <v/>
      </c>
      <c r="E2187" s="2">
        <f>C2187*D2187</f>
        <v/>
      </c>
      <c r="F2187" s="2">
        <f>C2187*INDEX(Products!$D$2:$D$201,MATCH(B2187,Products!$A$2:$A$201,0))</f>
        <v/>
      </c>
      <c r="G2187" s="2">
        <f>E2187-F2187</f>
        <v/>
      </c>
    </row>
    <row r="2188" ht="15" customHeight="1" s="1">
      <c r="A2188" s="2" t="n">
        <v>52186</v>
      </c>
      <c r="B2188" s="2" t="inlineStr">
        <is>
          <t>SKU-0117</t>
        </is>
      </c>
      <c r="C2188" s="2" t="n">
        <v>8</v>
      </c>
      <c r="D2188" s="2">
        <f>VLOOKUP(B2188,Products!$A$2:$D$201,3,FALSE())</f>
        <v/>
      </c>
      <c r="E2188" s="2">
        <f>C2188*D2188</f>
        <v/>
      </c>
      <c r="F2188" s="2">
        <f>C2188*INDEX(Products!$D$2:$D$201,MATCH(B2188,Products!$A$2:$A$201,0))</f>
        <v/>
      </c>
      <c r="G2188" s="2">
        <f>E2188-F2188</f>
        <v/>
      </c>
    </row>
    <row r="2189" ht="15" customHeight="1" s="1">
      <c r="A2189" s="2" t="n">
        <v>52187</v>
      </c>
      <c r="B2189" s="2" t="inlineStr">
        <is>
          <t>SKU-0081</t>
        </is>
      </c>
      <c r="C2189" s="2" t="n">
        <v>14</v>
      </c>
      <c r="D2189" s="2">
        <f>VLOOKUP(B2189,Products!$A$2:$D$201,3,FALSE())</f>
        <v/>
      </c>
      <c r="E2189" s="2">
        <f>C2189*D2189</f>
        <v/>
      </c>
      <c r="F2189" s="2">
        <f>C2189*INDEX(Products!$D$2:$D$201,MATCH(B2189,Products!$A$2:$A$201,0))</f>
        <v/>
      </c>
      <c r="G2189" s="2">
        <f>E2189-F2189</f>
        <v/>
      </c>
    </row>
    <row r="2190" ht="15" customHeight="1" s="1">
      <c r="A2190" s="2" t="n">
        <v>52188</v>
      </c>
      <c r="B2190" s="2" t="inlineStr">
        <is>
          <t>SKU-0133</t>
        </is>
      </c>
      <c r="C2190" s="2" t="n">
        <v>2</v>
      </c>
      <c r="D2190" s="2">
        <f>VLOOKUP(B2190,Products!$A$2:$D$201,3,FALSE())</f>
        <v/>
      </c>
      <c r="E2190" s="2">
        <f>C2190*D2190</f>
        <v/>
      </c>
      <c r="F2190" s="2">
        <f>C2190*INDEX(Products!$D$2:$D$201,MATCH(B2190,Products!$A$2:$A$201,0))</f>
        <v/>
      </c>
      <c r="G2190" s="2">
        <f>E2190-F2190</f>
        <v/>
      </c>
    </row>
    <row r="2191" ht="15" customHeight="1" s="1">
      <c r="A2191" s="2" t="n">
        <v>52189</v>
      </c>
      <c r="B2191" s="2" t="inlineStr">
        <is>
          <t>SKU-0073</t>
        </is>
      </c>
      <c r="C2191" s="2" t="n">
        <v>16</v>
      </c>
      <c r="D2191" s="2">
        <f>VLOOKUP(B2191,Products!$A$2:$D$201,3,FALSE())</f>
        <v/>
      </c>
      <c r="E2191" s="2">
        <f>C2191*D2191</f>
        <v/>
      </c>
      <c r="F2191" s="2">
        <f>C2191*INDEX(Products!$D$2:$D$201,MATCH(B2191,Products!$A$2:$A$201,0))</f>
        <v/>
      </c>
      <c r="G2191" s="2">
        <f>E2191-F2191</f>
        <v/>
      </c>
    </row>
    <row r="2192" ht="15" customHeight="1" s="1">
      <c r="A2192" s="2" t="n">
        <v>52190</v>
      </c>
      <c r="B2192" s="2" t="inlineStr">
        <is>
          <t>SKU-0158</t>
        </is>
      </c>
      <c r="C2192" s="2" t="n">
        <v>19</v>
      </c>
      <c r="D2192" s="2">
        <f>VLOOKUP(B2192,Products!$A$2:$D$201,3,FALSE())</f>
        <v/>
      </c>
      <c r="E2192" s="2">
        <f>C2192*D2192</f>
        <v/>
      </c>
      <c r="F2192" s="2">
        <f>C2192*INDEX(Products!$D$2:$D$201,MATCH(B2192,Products!$A$2:$A$201,0))</f>
        <v/>
      </c>
      <c r="G2192" s="2">
        <f>E2192-F2192</f>
        <v/>
      </c>
    </row>
    <row r="2193" ht="15" customHeight="1" s="1">
      <c r="A2193" s="2" t="n">
        <v>52191</v>
      </c>
      <c r="B2193" s="2" t="inlineStr">
        <is>
          <t>SKU-0085</t>
        </is>
      </c>
      <c r="C2193" s="2" t="n">
        <v>1</v>
      </c>
      <c r="D2193" s="2">
        <f>VLOOKUP(B2193,Products!$A$2:$D$201,3,FALSE())</f>
        <v/>
      </c>
      <c r="E2193" s="2">
        <f>C2193*D2193</f>
        <v/>
      </c>
      <c r="F2193" s="2">
        <f>C2193*INDEX(Products!$D$2:$D$201,MATCH(B2193,Products!$A$2:$A$201,0))</f>
        <v/>
      </c>
      <c r="G2193" s="2">
        <f>E2193-F2193</f>
        <v/>
      </c>
    </row>
    <row r="2194" ht="15" customHeight="1" s="1">
      <c r="A2194" s="2" t="n">
        <v>52192</v>
      </c>
      <c r="B2194" s="2" t="inlineStr">
        <is>
          <t>SKU-0115</t>
        </is>
      </c>
      <c r="C2194" s="2" t="n">
        <v>17</v>
      </c>
      <c r="D2194" s="2">
        <f>VLOOKUP(B2194,Products!$A$2:$D$201,3,FALSE())</f>
        <v/>
      </c>
      <c r="E2194" s="2">
        <f>C2194*D2194</f>
        <v/>
      </c>
      <c r="F2194" s="2">
        <f>C2194*INDEX(Products!$D$2:$D$201,MATCH(B2194,Products!$A$2:$A$201,0))</f>
        <v/>
      </c>
      <c r="G2194" s="2">
        <f>E2194-F2194</f>
        <v/>
      </c>
    </row>
    <row r="2195" ht="15" customHeight="1" s="1">
      <c r="A2195" s="2" t="n">
        <v>52193</v>
      </c>
      <c r="B2195" s="2" t="inlineStr">
        <is>
          <t>SKU-0037</t>
        </is>
      </c>
      <c r="C2195" s="2" t="n">
        <v>15</v>
      </c>
      <c r="D2195" s="2">
        <f>VLOOKUP(B2195,Products!$A$2:$D$201,3,FALSE())</f>
        <v/>
      </c>
      <c r="E2195" s="2">
        <f>C2195*D2195</f>
        <v/>
      </c>
      <c r="F2195" s="2">
        <f>C2195*INDEX(Products!$D$2:$D$201,MATCH(B2195,Products!$A$2:$A$201,0))</f>
        <v/>
      </c>
      <c r="G2195" s="2">
        <f>E2195-F2195</f>
        <v/>
      </c>
    </row>
    <row r="2196" ht="15" customHeight="1" s="1">
      <c r="A2196" s="2" t="n">
        <v>52194</v>
      </c>
      <c r="B2196" s="2" t="inlineStr">
        <is>
          <t>SKU-0006</t>
        </is>
      </c>
      <c r="C2196" s="2" t="n">
        <v>6</v>
      </c>
      <c r="D2196" s="2">
        <f>VLOOKUP(B2196,Products!$A$2:$D$201,3,FALSE())</f>
        <v/>
      </c>
      <c r="E2196" s="2">
        <f>C2196*D2196</f>
        <v/>
      </c>
      <c r="F2196" s="2">
        <f>C2196*INDEX(Products!$D$2:$D$201,MATCH(B2196,Products!$A$2:$A$201,0))</f>
        <v/>
      </c>
      <c r="G2196" s="2">
        <f>E2196-F2196</f>
        <v/>
      </c>
    </row>
    <row r="2197" ht="15" customHeight="1" s="1">
      <c r="A2197" s="2" t="n">
        <v>52195</v>
      </c>
      <c r="B2197" s="2" t="inlineStr">
        <is>
          <t>SKU-0160</t>
        </is>
      </c>
      <c r="C2197" s="2" t="n">
        <v>13</v>
      </c>
      <c r="D2197" s="2">
        <f>VLOOKUP(B2197,Products!$A$2:$D$201,3,FALSE())</f>
        <v/>
      </c>
      <c r="E2197" s="2">
        <f>C2197*D2197</f>
        <v/>
      </c>
      <c r="F2197" s="2">
        <f>C2197*INDEX(Products!$D$2:$D$201,MATCH(B2197,Products!$A$2:$A$201,0))</f>
        <v/>
      </c>
      <c r="G2197" s="2">
        <f>E2197-F2197</f>
        <v/>
      </c>
    </row>
    <row r="2198" ht="15" customHeight="1" s="1">
      <c r="A2198" s="2" t="n">
        <v>52196</v>
      </c>
      <c r="B2198" s="2" t="inlineStr">
        <is>
          <t>SKU-0029</t>
        </is>
      </c>
      <c r="C2198" s="2" t="n">
        <v>7</v>
      </c>
      <c r="D2198" s="2">
        <f>VLOOKUP(B2198,Products!$A$2:$D$201,3,FALSE())</f>
        <v/>
      </c>
      <c r="E2198" s="2">
        <f>C2198*D2198</f>
        <v/>
      </c>
      <c r="F2198" s="2">
        <f>C2198*INDEX(Products!$D$2:$D$201,MATCH(B2198,Products!$A$2:$A$201,0))</f>
        <v/>
      </c>
      <c r="G2198" s="2">
        <f>E2198-F2198</f>
        <v/>
      </c>
    </row>
    <row r="2199" ht="15" customHeight="1" s="1">
      <c r="A2199" s="2" t="n">
        <v>52197</v>
      </c>
      <c r="B2199" s="2" t="inlineStr">
        <is>
          <t>SKU-0076</t>
        </is>
      </c>
      <c r="C2199" s="2" t="n">
        <v>7</v>
      </c>
      <c r="D2199" s="2">
        <f>VLOOKUP(B2199,Products!$A$2:$D$201,3,FALSE())</f>
        <v/>
      </c>
      <c r="E2199" s="2">
        <f>C2199*D2199</f>
        <v/>
      </c>
      <c r="F2199" s="2">
        <f>C2199*INDEX(Products!$D$2:$D$201,MATCH(B2199,Products!$A$2:$A$201,0))</f>
        <v/>
      </c>
      <c r="G2199" s="2">
        <f>E2199-F2199</f>
        <v/>
      </c>
    </row>
    <row r="2200" ht="15" customHeight="1" s="1">
      <c r="A2200" s="2" t="n">
        <v>52198</v>
      </c>
      <c r="B2200" s="2" t="inlineStr">
        <is>
          <t>SKU-0016</t>
        </is>
      </c>
      <c r="C2200" s="2" t="n">
        <v>16</v>
      </c>
      <c r="D2200" s="2">
        <f>VLOOKUP(B2200,Products!$A$2:$D$201,3,FALSE())</f>
        <v/>
      </c>
      <c r="E2200" s="2">
        <f>C2200*D2200</f>
        <v/>
      </c>
      <c r="F2200" s="2">
        <f>C2200*INDEX(Products!$D$2:$D$201,MATCH(B2200,Products!$A$2:$A$201,0))</f>
        <v/>
      </c>
      <c r="G2200" s="2">
        <f>E2200-F2200</f>
        <v/>
      </c>
    </row>
    <row r="2201" ht="15" customHeight="1" s="1">
      <c r="A2201" s="2" t="n">
        <v>52199</v>
      </c>
      <c r="B2201" s="2" t="inlineStr">
        <is>
          <t>SKU-0169</t>
        </is>
      </c>
      <c r="C2201" s="2" t="n">
        <v>5</v>
      </c>
      <c r="D2201" s="2">
        <f>VLOOKUP(B2201,Products!$A$2:$D$201,3,FALSE())</f>
        <v/>
      </c>
      <c r="E2201" s="2">
        <f>C2201*D2201</f>
        <v/>
      </c>
      <c r="F2201" s="2">
        <f>C2201*INDEX(Products!$D$2:$D$201,MATCH(B2201,Products!$A$2:$A$201,0))</f>
        <v/>
      </c>
      <c r="G2201" s="2">
        <f>E2201-F2201</f>
        <v/>
      </c>
    </row>
    <row r="2202" ht="15" customHeight="1" s="1">
      <c r="A2202" s="2" t="n">
        <v>52200</v>
      </c>
      <c r="B2202" s="2" t="inlineStr">
        <is>
          <t>SKU-0028</t>
        </is>
      </c>
      <c r="C2202" s="2" t="n">
        <v>1</v>
      </c>
      <c r="D2202" s="2">
        <f>VLOOKUP(B2202,Products!$A$2:$D$201,3,FALSE())</f>
        <v/>
      </c>
      <c r="E2202" s="2">
        <f>C2202*D2202</f>
        <v/>
      </c>
      <c r="F2202" s="2">
        <f>C2202*INDEX(Products!$D$2:$D$201,MATCH(B2202,Products!$A$2:$A$201,0))</f>
        <v/>
      </c>
      <c r="G2202" s="2">
        <f>E2202-F2202</f>
        <v/>
      </c>
    </row>
    <row r="2203" ht="15" customHeight="1" s="1">
      <c r="A2203" s="2" t="n">
        <v>52201</v>
      </c>
      <c r="B2203" s="2" t="inlineStr">
        <is>
          <t>SKU-0027</t>
        </is>
      </c>
      <c r="C2203" s="2" t="n">
        <v>20</v>
      </c>
      <c r="D2203" s="2">
        <f>VLOOKUP(B2203,Products!$A$2:$D$201,3,FALSE())</f>
        <v/>
      </c>
      <c r="E2203" s="2">
        <f>C2203*D2203</f>
        <v/>
      </c>
      <c r="F2203" s="2">
        <f>C2203*INDEX(Products!$D$2:$D$201,MATCH(B2203,Products!$A$2:$A$201,0))</f>
        <v/>
      </c>
      <c r="G2203" s="2">
        <f>E2203-F2203</f>
        <v/>
      </c>
    </row>
    <row r="2204" ht="15" customHeight="1" s="1">
      <c r="A2204" s="2" t="n">
        <v>52202</v>
      </c>
      <c r="B2204" s="2" t="inlineStr">
        <is>
          <t>SKU-0074</t>
        </is>
      </c>
      <c r="C2204" s="2" t="n">
        <v>20</v>
      </c>
      <c r="D2204" s="2">
        <f>VLOOKUP(B2204,Products!$A$2:$D$201,3,FALSE())</f>
        <v/>
      </c>
      <c r="E2204" s="2">
        <f>C2204*D2204</f>
        <v/>
      </c>
      <c r="F2204" s="2">
        <f>C2204*INDEX(Products!$D$2:$D$201,MATCH(B2204,Products!$A$2:$A$201,0))</f>
        <v/>
      </c>
      <c r="G2204" s="2">
        <f>E2204-F2204</f>
        <v/>
      </c>
    </row>
    <row r="2205" ht="15" customHeight="1" s="1">
      <c r="A2205" s="2" t="n">
        <v>52203</v>
      </c>
      <c r="B2205" s="2" t="inlineStr">
        <is>
          <t>SKU-0125</t>
        </is>
      </c>
      <c r="C2205" s="2" t="n">
        <v>2</v>
      </c>
      <c r="D2205" s="2">
        <f>VLOOKUP(B2205,Products!$A$2:$D$201,3,FALSE())</f>
        <v/>
      </c>
      <c r="E2205" s="2">
        <f>C2205*D2205</f>
        <v/>
      </c>
      <c r="F2205" s="2">
        <f>C2205*INDEX(Products!$D$2:$D$201,MATCH(B2205,Products!$A$2:$A$201,0))</f>
        <v/>
      </c>
      <c r="G2205" s="2">
        <f>E2205-F2205</f>
        <v/>
      </c>
    </row>
    <row r="2206" ht="15" customHeight="1" s="1">
      <c r="A2206" s="2" t="n">
        <v>52204</v>
      </c>
      <c r="B2206" s="2" t="inlineStr">
        <is>
          <t>SKU-0109</t>
        </is>
      </c>
      <c r="C2206" s="2" t="n">
        <v>7</v>
      </c>
      <c r="D2206" s="2">
        <f>VLOOKUP(B2206,Products!$A$2:$D$201,3,FALSE())</f>
        <v/>
      </c>
      <c r="E2206" s="2">
        <f>C2206*D2206</f>
        <v/>
      </c>
      <c r="F2206" s="2">
        <f>C2206*INDEX(Products!$D$2:$D$201,MATCH(B2206,Products!$A$2:$A$201,0))</f>
        <v/>
      </c>
      <c r="G2206" s="2">
        <f>E2206-F2206</f>
        <v/>
      </c>
    </row>
    <row r="2207" ht="15" customHeight="1" s="1">
      <c r="A2207" s="2" t="n">
        <v>52205</v>
      </c>
      <c r="B2207" s="2" t="inlineStr">
        <is>
          <t>SKU-0196</t>
        </is>
      </c>
      <c r="C2207" s="2" t="n">
        <v>17</v>
      </c>
      <c r="D2207" s="2">
        <f>VLOOKUP(B2207,Products!$A$2:$D$201,3,FALSE())</f>
        <v/>
      </c>
      <c r="E2207" s="2">
        <f>C2207*D2207</f>
        <v/>
      </c>
      <c r="F2207" s="2">
        <f>C2207*INDEX(Products!$D$2:$D$201,MATCH(B2207,Products!$A$2:$A$201,0))</f>
        <v/>
      </c>
      <c r="G2207" s="2">
        <f>E2207-F2207</f>
        <v/>
      </c>
    </row>
    <row r="2208" ht="15" customHeight="1" s="1">
      <c r="A2208" s="2" t="n">
        <v>52206</v>
      </c>
      <c r="B2208" s="2" t="inlineStr">
        <is>
          <t>SKU-0152</t>
        </is>
      </c>
      <c r="C2208" s="2" t="n">
        <v>5</v>
      </c>
      <c r="D2208" s="2">
        <f>VLOOKUP(B2208,Products!$A$2:$D$201,3,FALSE())</f>
        <v/>
      </c>
      <c r="E2208" s="2">
        <f>C2208*D2208</f>
        <v/>
      </c>
      <c r="F2208" s="2">
        <f>C2208*INDEX(Products!$D$2:$D$201,MATCH(B2208,Products!$A$2:$A$201,0))</f>
        <v/>
      </c>
      <c r="G2208" s="2">
        <f>E2208-F2208</f>
        <v/>
      </c>
    </row>
    <row r="2209" ht="15" customHeight="1" s="1">
      <c r="A2209" s="2" t="n">
        <v>52207</v>
      </c>
      <c r="B2209" s="2" t="inlineStr">
        <is>
          <t>SKU-0062</t>
        </is>
      </c>
      <c r="C2209" s="2" t="n">
        <v>18</v>
      </c>
      <c r="D2209" s="2">
        <f>VLOOKUP(B2209,Products!$A$2:$D$201,3,FALSE())</f>
        <v/>
      </c>
      <c r="E2209" s="2">
        <f>C2209*D2209</f>
        <v/>
      </c>
      <c r="F2209" s="2">
        <f>C2209*INDEX(Products!$D$2:$D$201,MATCH(B2209,Products!$A$2:$A$201,0))</f>
        <v/>
      </c>
      <c r="G2209" s="2">
        <f>E2209-F2209</f>
        <v/>
      </c>
    </row>
    <row r="2210" ht="15" customHeight="1" s="1">
      <c r="A2210" s="2" t="n">
        <v>52208</v>
      </c>
      <c r="B2210" s="2" t="inlineStr">
        <is>
          <t>SKU-0001</t>
        </is>
      </c>
      <c r="C2210" s="2" t="n">
        <v>8</v>
      </c>
      <c r="D2210" s="2">
        <f>VLOOKUP(B2210,Products!$A$2:$D$201,3,FALSE())</f>
        <v/>
      </c>
      <c r="E2210" s="2">
        <f>C2210*D2210</f>
        <v/>
      </c>
      <c r="F2210" s="2">
        <f>C2210*INDEX(Products!$D$2:$D$201,MATCH(B2210,Products!$A$2:$A$201,0))</f>
        <v/>
      </c>
      <c r="G2210" s="2">
        <f>E2210-F2210</f>
        <v/>
      </c>
    </row>
    <row r="2211" ht="15" customHeight="1" s="1">
      <c r="A2211" s="2" t="n">
        <v>52209</v>
      </c>
      <c r="B2211" s="2" t="inlineStr">
        <is>
          <t>SKU-0110</t>
        </is>
      </c>
      <c r="C2211" s="2" t="n">
        <v>18</v>
      </c>
      <c r="D2211" s="2">
        <f>VLOOKUP(B2211,Products!$A$2:$D$201,3,FALSE())</f>
        <v/>
      </c>
      <c r="E2211" s="2">
        <f>C2211*D2211</f>
        <v/>
      </c>
      <c r="F2211" s="2">
        <f>C2211*INDEX(Products!$D$2:$D$201,MATCH(B2211,Products!$A$2:$A$201,0))</f>
        <v/>
      </c>
      <c r="G2211" s="2">
        <f>E2211-F2211</f>
        <v/>
      </c>
    </row>
    <row r="2212" ht="15" customHeight="1" s="1">
      <c r="A2212" s="2" t="n">
        <v>52210</v>
      </c>
      <c r="B2212" s="2" t="inlineStr">
        <is>
          <t>SKU-0160</t>
        </is>
      </c>
      <c r="C2212" s="2" t="n">
        <v>18</v>
      </c>
      <c r="D2212" s="2">
        <f>VLOOKUP(B2212,Products!$A$2:$D$201,3,FALSE())</f>
        <v/>
      </c>
      <c r="E2212" s="2">
        <f>C2212*D2212</f>
        <v/>
      </c>
      <c r="F2212" s="2">
        <f>C2212*INDEX(Products!$D$2:$D$201,MATCH(B2212,Products!$A$2:$A$201,0))</f>
        <v/>
      </c>
      <c r="G2212" s="2">
        <f>E2212-F2212</f>
        <v/>
      </c>
    </row>
    <row r="2213" ht="15" customHeight="1" s="1">
      <c r="A2213" s="2" t="n">
        <v>52211</v>
      </c>
      <c r="B2213" s="2" t="inlineStr">
        <is>
          <t>SKU-0134</t>
        </is>
      </c>
      <c r="C2213" s="2" t="n">
        <v>20</v>
      </c>
      <c r="D2213" s="2">
        <f>VLOOKUP(B2213,Products!$A$2:$D$201,3,FALSE())</f>
        <v/>
      </c>
      <c r="E2213" s="2">
        <f>C2213*D2213</f>
        <v/>
      </c>
      <c r="F2213" s="2">
        <f>C2213*INDEX(Products!$D$2:$D$201,MATCH(B2213,Products!$A$2:$A$201,0))</f>
        <v/>
      </c>
      <c r="G2213" s="2">
        <f>E2213-F2213</f>
        <v/>
      </c>
    </row>
    <row r="2214" ht="15" customHeight="1" s="1">
      <c r="A2214" s="2" t="n">
        <v>52212</v>
      </c>
      <c r="B2214" s="2" t="inlineStr">
        <is>
          <t>SKU-0112</t>
        </is>
      </c>
      <c r="C2214" s="2" t="n">
        <v>15</v>
      </c>
      <c r="D2214" s="2">
        <f>VLOOKUP(B2214,Products!$A$2:$D$201,3,FALSE())</f>
        <v/>
      </c>
      <c r="E2214" s="2">
        <f>C2214*D2214</f>
        <v/>
      </c>
      <c r="F2214" s="2">
        <f>C2214*INDEX(Products!$D$2:$D$201,MATCH(B2214,Products!$A$2:$A$201,0))</f>
        <v/>
      </c>
      <c r="G2214" s="2">
        <f>E2214-F2214</f>
        <v/>
      </c>
    </row>
    <row r="2215" ht="15" customHeight="1" s="1">
      <c r="A2215" s="2" t="n">
        <v>52213</v>
      </c>
      <c r="B2215" s="2" t="inlineStr">
        <is>
          <t>SKU-0104</t>
        </is>
      </c>
      <c r="C2215" s="2" t="n">
        <v>11</v>
      </c>
      <c r="D2215" s="2">
        <f>VLOOKUP(B2215,Products!$A$2:$D$201,3,FALSE())</f>
        <v/>
      </c>
      <c r="E2215" s="2">
        <f>C2215*D2215</f>
        <v/>
      </c>
      <c r="F2215" s="2">
        <f>C2215*INDEX(Products!$D$2:$D$201,MATCH(B2215,Products!$A$2:$A$201,0))</f>
        <v/>
      </c>
      <c r="G2215" s="2">
        <f>E2215-F2215</f>
        <v/>
      </c>
    </row>
    <row r="2216" ht="15" customHeight="1" s="1">
      <c r="A2216" s="2" t="n">
        <v>52214</v>
      </c>
      <c r="B2216" s="2" t="inlineStr">
        <is>
          <t>SKU-0125</t>
        </is>
      </c>
      <c r="C2216" s="2" t="n">
        <v>2</v>
      </c>
      <c r="D2216" s="2">
        <f>VLOOKUP(B2216,Products!$A$2:$D$201,3,FALSE())</f>
        <v/>
      </c>
      <c r="E2216" s="2">
        <f>C2216*D2216</f>
        <v/>
      </c>
      <c r="F2216" s="2">
        <f>C2216*INDEX(Products!$D$2:$D$201,MATCH(B2216,Products!$A$2:$A$201,0))</f>
        <v/>
      </c>
      <c r="G2216" s="2">
        <f>E2216-F2216</f>
        <v/>
      </c>
    </row>
    <row r="2217" ht="15" customHeight="1" s="1">
      <c r="A2217" s="2" t="n">
        <v>52215</v>
      </c>
      <c r="B2217" s="2" t="inlineStr">
        <is>
          <t>SKU-0032</t>
        </is>
      </c>
      <c r="C2217" s="2" t="n">
        <v>6</v>
      </c>
      <c r="D2217" s="2">
        <f>VLOOKUP(B2217,Products!$A$2:$D$201,3,FALSE())</f>
        <v/>
      </c>
      <c r="E2217" s="2">
        <f>C2217*D2217</f>
        <v/>
      </c>
      <c r="F2217" s="2">
        <f>C2217*INDEX(Products!$D$2:$D$201,MATCH(B2217,Products!$A$2:$A$201,0))</f>
        <v/>
      </c>
      <c r="G2217" s="2">
        <f>E2217-F2217</f>
        <v/>
      </c>
    </row>
    <row r="2218" ht="15" customHeight="1" s="1">
      <c r="A2218" s="2" t="n">
        <v>52216</v>
      </c>
      <c r="B2218" s="2" t="inlineStr">
        <is>
          <t>SKU-0194</t>
        </is>
      </c>
      <c r="C2218" s="2" t="n">
        <v>6</v>
      </c>
      <c r="D2218" s="2">
        <f>VLOOKUP(B2218,Products!$A$2:$D$201,3,FALSE())</f>
        <v/>
      </c>
      <c r="E2218" s="2">
        <f>C2218*D2218</f>
        <v/>
      </c>
      <c r="F2218" s="2">
        <f>C2218*INDEX(Products!$D$2:$D$201,MATCH(B2218,Products!$A$2:$A$201,0))</f>
        <v/>
      </c>
      <c r="G2218" s="2">
        <f>E2218-F2218</f>
        <v/>
      </c>
    </row>
    <row r="2219" ht="15" customHeight="1" s="1">
      <c r="A2219" s="2" t="n">
        <v>52217</v>
      </c>
      <c r="B2219" s="2" t="inlineStr">
        <is>
          <t>SKU-0053</t>
        </is>
      </c>
      <c r="C2219" s="2" t="n">
        <v>2</v>
      </c>
      <c r="D2219" s="2">
        <f>VLOOKUP(B2219,Products!$A$2:$D$201,3,FALSE())</f>
        <v/>
      </c>
      <c r="E2219" s="2">
        <f>C2219*D2219</f>
        <v/>
      </c>
      <c r="F2219" s="2">
        <f>C2219*INDEX(Products!$D$2:$D$201,MATCH(B2219,Products!$A$2:$A$201,0))</f>
        <v/>
      </c>
      <c r="G2219" s="2">
        <f>E2219-F2219</f>
        <v/>
      </c>
    </row>
    <row r="2220" ht="15" customHeight="1" s="1">
      <c r="A2220" s="2" t="n">
        <v>52218</v>
      </c>
      <c r="B2220" s="2" t="inlineStr">
        <is>
          <t>SKU-0059</t>
        </is>
      </c>
      <c r="C2220" s="2" t="n">
        <v>14</v>
      </c>
      <c r="D2220" s="2">
        <f>VLOOKUP(B2220,Products!$A$2:$D$201,3,FALSE())</f>
        <v/>
      </c>
      <c r="E2220" s="2">
        <f>C2220*D2220</f>
        <v/>
      </c>
      <c r="F2220" s="2">
        <f>C2220*INDEX(Products!$D$2:$D$201,MATCH(B2220,Products!$A$2:$A$201,0))</f>
        <v/>
      </c>
      <c r="G2220" s="2">
        <f>E2220-F2220</f>
        <v/>
      </c>
    </row>
    <row r="2221" ht="15" customHeight="1" s="1">
      <c r="A2221" s="2" t="n">
        <v>52219</v>
      </c>
      <c r="B2221" s="2" t="inlineStr">
        <is>
          <t>SKU-0014</t>
        </is>
      </c>
      <c r="C2221" s="2" t="n">
        <v>1</v>
      </c>
      <c r="D2221" s="2">
        <f>VLOOKUP(B2221,Products!$A$2:$D$201,3,FALSE())</f>
        <v/>
      </c>
      <c r="E2221" s="2">
        <f>C2221*D2221</f>
        <v/>
      </c>
      <c r="F2221" s="2">
        <f>C2221*INDEX(Products!$D$2:$D$201,MATCH(B2221,Products!$A$2:$A$201,0))</f>
        <v/>
      </c>
      <c r="G2221" s="2">
        <f>E2221-F2221</f>
        <v/>
      </c>
    </row>
    <row r="2222" ht="15" customHeight="1" s="1">
      <c r="A2222" s="2" t="n">
        <v>52220</v>
      </c>
      <c r="B2222" s="2" t="inlineStr">
        <is>
          <t>SKU-0080</t>
        </is>
      </c>
      <c r="C2222" s="2" t="n">
        <v>3</v>
      </c>
      <c r="D2222" s="2">
        <f>VLOOKUP(B2222,Products!$A$2:$D$201,3,FALSE())</f>
        <v/>
      </c>
      <c r="E2222" s="2">
        <f>C2222*D2222</f>
        <v/>
      </c>
      <c r="F2222" s="2">
        <f>C2222*INDEX(Products!$D$2:$D$201,MATCH(B2222,Products!$A$2:$A$201,0))</f>
        <v/>
      </c>
      <c r="G2222" s="2">
        <f>E2222-F2222</f>
        <v/>
      </c>
    </row>
    <row r="2223" ht="15" customHeight="1" s="1">
      <c r="A2223" s="2" t="n">
        <v>52221</v>
      </c>
      <c r="B2223" s="2" t="inlineStr">
        <is>
          <t>SKU-0079</t>
        </is>
      </c>
      <c r="C2223" s="2" t="n">
        <v>20</v>
      </c>
      <c r="D2223" s="2">
        <f>VLOOKUP(B2223,Products!$A$2:$D$201,3,FALSE())</f>
        <v/>
      </c>
      <c r="E2223" s="2">
        <f>C2223*D2223</f>
        <v/>
      </c>
      <c r="F2223" s="2">
        <f>C2223*INDEX(Products!$D$2:$D$201,MATCH(B2223,Products!$A$2:$A$201,0))</f>
        <v/>
      </c>
      <c r="G2223" s="2">
        <f>E2223-F2223</f>
        <v/>
      </c>
    </row>
    <row r="2224" ht="15" customHeight="1" s="1">
      <c r="A2224" s="2" t="n">
        <v>52222</v>
      </c>
      <c r="B2224" s="2" t="inlineStr">
        <is>
          <t>SKU-0008</t>
        </is>
      </c>
      <c r="C2224" s="2" t="n">
        <v>4</v>
      </c>
      <c r="D2224" s="2">
        <f>VLOOKUP(B2224,Products!$A$2:$D$201,3,FALSE())</f>
        <v/>
      </c>
      <c r="E2224" s="2">
        <f>C2224*D2224</f>
        <v/>
      </c>
      <c r="F2224" s="2">
        <f>C2224*INDEX(Products!$D$2:$D$201,MATCH(B2224,Products!$A$2:$A$201,0))</f>
        <v/>
      </c>
      <c r="G2224" s="2">
        <f>E2224-F2224</f>
        <v/>
      </c>
    </row>
    <row r="2225" ht="15" customHeight="1" s="1">
      <c r="A2225" s="2" t="n">
        <v>52223</v>
      </c>
      <c r="B2225" s="2" t="inlineStr">
        <is>
          <t>SKU-0071</t>
        </is>
      </c>
      <c r="C2225" s="2" t="n">
        <v>3</v>
      </c>
      <c r="D2225" s="2">
        <f>VLOOKUP(B2225,Products!$A$2:$D$201,3,FALSE())</f>
        <v/>
      </c>
      <c r="E2225" s="2">
        <f>C2225*D2225</f>
        <v/>
      </c>
      <c r="F2225" s="2">
        <f>C2225*INDEX(Products!$D$2:$D$201,MATCH(B2225,Products!$A$2:$A$201,0))</f>
        <v/>
      </c>
      <c r="G2225" s="2">
        <f>E2225-F2225</f>
        <v/>
      </c>
    </row>
    <row r="2226" ht="15" customHeight="1" s="1">
      <c r="A2226" s="2" t="n">
        <v>52224</v>
      </c>
      <c r="B2226" s="2" t="inlineStr">
        <is>
          <t>SKU-0133</t>
        </is>
      </c>
      <c r="C2226" s="2" t="n">
        <v>4</v>
      </c>
      <c r="D2226" s="2">
        <f>VLOOKUP(B2226,Products!$A$2:$D$201,3,FALSE())</f>
        <v/>
      </c>
      <c r="E2226" s="2">
        <f>C2226*D2226</f>
        <v/>
      </c>
      <c r="F2226" s="2">
        <f>C2226*INDEX(Products!$D$2:$D$201,MATCH(B2226,Products!$A$2:$A$201,0))</f>
        <v/>
      </c>
      <c r="G2226" s="2">
        <f>E2226-F2226</f>
        <v/>
      </c>
    </row>
    <row r="2227" ht="15" customHeight="1" s="1">
      <c r="A2227" s="2" t="n">
        <v>52225</v>
      </c>
      <c r="B2227" s="2" t="inlineStr">
        <is>
          <t>SKU-0162</t>
        </is>
      </c>
      <c r="C2227" s="2" t="n">
        <v>16</v>
      </c>
      <c r="D2227" s="2">
        <f>VLOOKUP(B2227,Products!$A$2:$D$201,3,FALSE())</f>
        <v/>
      </c>
      <c r="E2227" s="2">
        <f>C2227*D2227</f>
        <v/>
      </c>
      <c r="F2227" s="2">
        <f>C2227*INDEX(Products!$D$2:$D$201,MATCH(B2227,Products!$A$2:$A$201,0))</f>
        <v/>
      </c>
      <c r="G2227" s="2">
        <f>E2227-F2227</f>
        <v/>
      </c>
    </row>
    <row r="2228" ht="15" customHeight="1" s="1">
      <c r="A2228" s="2" t="n">
        <v>52226</v>
      </c>
      <c r="B2228" s="2" t="inlineStr">
        <is>
          <t>SKU-0035</t>
        </is>
      </c>
      <c r="C2228" s="2" t="n">
        <v>9</v>
      </c>
      <c r="D2228" s="2">
        <f>VLOOKUP(B2228,Products!$A$2:$D$201,3,FALSE())</f>
        <v/>
      </c>
      <c r="E2228" s="2">
        <f>C2228*D2228</f>
        <v/>
      </c>
      <c r="F2228" s="2">
        <f>C2228*INDEX(Products!$D$2:$D$201,MATCH(B2228,Products!$A$2:$A$201,0))</f>
        <v/>
      </c>
      <c r="G2228" s="2">
        <f>E2228-F2228</f>
        <v/>
      </c>
    </row>
    <row r="2229" ht="15" customHeight="1" s="1">
      <c r="A2229" s="2" t="n">
        <v>52227</v>
      </c>
      <c r="B2229" s="2" t="inlineStr">
        <is>
          <t>SKU-0188</t>
        </is>
      </c>
      <c r="C2229" s="2" t="n">
        <v>14</v>
      </c>
      <c r="D2229" s="2">
        <f>VLOOKUP(B2229,Products!$A$2:$D$201,3,FALSE())</f>
        <v/>
      </c>
      <c r="E2229" s="2">
        <f>C2229*D2229</f>
        <v/>
      </c>
      <c r="F2229" s="2">
        <f>C2229*INDEX(Products!$D$2:$D$201,MATCH(B2229,Products!$A$2:$A$201,0))</f>
        <v/>
      </c>
      <c r="G2229" s="2">
        <f>E2229-F2229</f>
        <v/>
      </c>
    </row>
    <row r="2230" ht="15" customHeight="1" s="1">
      <c r="A2230" s="2" t="n">
        <v>52228</v>
      </c>
      <c r="B2230" s="2" t="inlineStr">
        <is>
          <t>SKU-0140</t>
        </is>
      </c>
      <c r="C2230" s="2" t="n">
        <v>16</v>
      </c>
      <c r="D2230" s="2">
        <f>VLOOKUP(B2230,Products!$A$2:$D$201,3,FALSE())</f>
        <v/>
      </c>
      <c r="E2230" s="2">
        <f>C2230*D2230</f>
        <v/>
      </c>
      <c r="F2230" s="2">
        <f>C2230*INDEX(Products!$D$2:$D$201,MATCH(B2230,Products!$A$2:$A$201,0))</f>
        <v/>
      </c>
      <c r="G2230" s="2">
        <f>E2230-F2230</f>
        <v/>
      </c>
    </row>
    <row r="2231" ht="15" customHeight="1" s="1">
      <c r="A2231" s="2" t="n">
        <v>52229</v>
      </c>
      <c r="B2231" s="2" t="inlineStr">
        <is>
          <t>SKU-0179</t>
        </is>
      </c>
      <c r="C2231" s="2" t="n">
        <v>14</v>
      </c>
      <c r="D2231" s="2">
        <f>VLOOKUP(B2231,Products!$A$2:$D$201,3,FALSE())</f>
        <v/>
      </c>
      <c r="E2231" s="2">
        <f>C2231*D2231</f>
        <v/>
      </c>
      <c r="F2231" s="2">
        <f>C2231*INDEX(Products!$D$2:$D$201,MATCH(B2231,Products!$A$2:$A$201,0))</f>
        <v/>
      </c>
      <c r="G2231" s="2">
        <f>E2231-F2231</f>
        <v/>
      </c>
    </row>
    <row r="2232" ht="15" customHeight="1" s="1">
      <c r="A2232" s="2" t="n">
        <v>52230</v>
      </c>
      <c r="B2232" s="2" t="inlineStr">
        <is>
          <t>SKU-0115</t>
        </is>
      </c>
      <c r="C2232" s="2" t="n">
        <v>1</v>
      </c>
      <c r="D2232" s="2">
        <f>VLOOKUP(B2232,Products!$A$2:$D$201,3,FALSE())</f>
        <v/>
      </c>
      <c r="E2232" s="2">
        <f>C2232*D2232</f>
        <v/>
      </c>
      <c r="F2232" s="2">
        <f>C2232*INDEX(Products!$D$2:$D$201,MATCH(B2232,Products!$A$2:$A$201,0))</f>
        <v/>
      </c>
      <c r="G2232" s="2">
        <f>E2232-F2232</f>
        <v/>
      </c>
    </row>
    <row r="2233" ht="15" customHeight="1" s="1">
      <c r="A2233" s="2" t="n">
        <v>52231</v>
      </c>
      <c r="B2233" s="2" t="inlineStr">
        <is>
          <t>SKU-0176</t>
        </is>
      </c>
      <c r="C2233" s="2" t="n">
        <v>15</v>
      </c>
      <c r="D2233" s="2">
        <f>VLOOKUP(B2233,Products!$A$2:$D$201,3,FALSE())</f>
        <v/>
      </c>
      <c r="E2233" s="2">
        <f>C2233*D2233</f>
        <v/>
      </c>
      <c r="F2233" s="2">
        <f>C2233*INDEX(Products!$D$2:$D$201,MATCH(B2233,Products!$A$2:$A$201,0))</f>
        <v/>
      </c>
      <c r="G2233" s="2">
        <f>E2233-F2233</f>
        <v/>
      </c>
    </row>
    <row r="2234" ht="15" customHeight="1" s="1">
      <c r="A2234" s="2" t="n">
        <v>52232</v>
      </c>
      <c r="B2234" s="2" t="inlineStr">
        <is>
          <t>SKU-0131</t>
        </is>
      </c>
      <c r="C2234" s="2" t="n">
        <v>2</v>
      </c>
      <c r="D2234" s="2">
        <f>VLOOKUP(B2234,Products!$A$2:$D$201,3,FALSE())</f>
        <v/>
      </c>
      <c r="E2234" s="2">
        <f>C2234*D2234</f>
        <v/>
      </c>
      <c r="F2234" s="2">
        <f>C2234*INDEX(Products!$D$2:$D$201,MATCH(B2234,Products!$A$2:$A$201,0))</f>
        <v/>
      </c>
      <c r="G2234" s="2">
        <f>E2234-F2234</f>
        <v/>
      </c>
    </row>
    <row r="2235" ht="15" customHeight="1" s="1">
      <c r="A2235" s="2" t="n">
        <v>52233</v>
      </c>
      <c r="B2235" s="2" t="inlineStr">
        <is>
          <t>SKU-0044</t>
        </is>
      </c>
      <c r="C2235" s="2" t="n">
        <v>5</v>
      </c>
      <c r="D2235" s="2">
        <f>VLOOKUP(B2235,Products!$A$2:$D$201,3,FALSE())</f>
        <v/>
      </c>
      <c r="E2235" s="2">
        <f>C2235*D2235</f>
        <v/>
      </c>
      <c r="F2235" s="2">
        <f>C2235*INDEX(Products!$D$2:$D$201,MATCH(B2235,Products!$A$2:$A$201,0))</f>
        <v/>
      </c>
      <c r="G2235" s="2">
        <f>E2235-F2235</f>
        <v/>
      </c>
    </row>
    <row r="2236" ht="15" customHeight="1" s="1">
      <c r="A2236" s="2" t="n">
        <v>52234</v>
      </c>
      <c r="B2236" s="2" t="inlineStr">
        <is>
          <t>SKU-0176</t>
        </is>
      </c>
      <c r="C2236" s="2" t="n">
        <v>4</v>
      </c>
      <c r="D2236" s="2">
        <f>VLOOKUP(B2236,Products!$A$2:$D$201,3,FALSE())</f>
        <v/>
      </c>
      <c r="E2236" s="2">
        <f>C2236*D2236</f>
        <v/>
      </c>
      <c r="F2236" s="2">
        <f>C2236*INDEX(Products!$D$2:$D$201,MATCH(B2236,Products!$A$2:$A$201,0))</f>
        <v/>
      </c>
      <c r="G2236" s="2">
        <f>E2236-F2236</f>
        <v/>
      </c>
    </row>
    <row r="2237" ht="15" customHeight="1" s="1">
      <c r="A2237" s="2" t="n">
        <v>52235</v>
      </c>
      <c r="B2237" s="2" t="inlineStr">
        <is>
          <t>SKU-0069</t>
        </is>
      </c>
      <c r="C2237" s="2" t="n">
        <v>20</v>
      </c>
      <c r="D2237" s="2">
        <f>VLOOKUP(B2237,Products!$A$2:$D$201,3,FALSE())</f>
        <v/>
      </c>
      <c r="E2237" s="2">
        <f>C2237*D2237</f>
        <v/>
      </c>
      <c r="F2237" s="2">
        <f>C2237*INDEX(Products!$D$2:$D$201,MATCH(B2237,Products!$A$2:$A$201,0))</f>
        <v/>
      </c>
      <c r="G2237" s="2">
        <f>E2237-F2237</f>
        <v/>
      </c>
    </row>
    <row r="2238" ht="15" customHeight="1" s="1">
      <c r="A2238" s="2" t="n">
        <v>52236</v>
      </c>
      <c r="B2238" s="2" t="inlineStr">
        <is>
          <t>SKU-0112</t>
        </is>
      </c>
      <c r="C2238" s="2" t="n">
        <v>16</v>
      </c>
      <c r="D2238" s="2">
        <f>VLOOKUP(B2238,Products!$A$2:$D$201,3,FALSE())</f>
        <v/>
      </c>
      <c r="E2238" s="2">
        <f>C2238*D2238</f>
        <v/>
      </c>
      <c r="F2238" s="2">
        <f>C2238*INDEX(Products!$D$2:$D$201,MATCH(B2238,Products!$A$2:$A$201,0))</f>
        <v/>
      </c>
      <c r="G2238" s="2">
        <f>E2238-F2238</f>
        <v/>
      </c>
    </row>
    <row r="2239" ht="15" customHeight="1" s="1">
      <c r="A2239" s="2" t="n">
        <v>52237</v>
      </c>
      <c r="B2239" s="2" t="inlineStr">
        <is>
          <t>SKU-0040</t>
        </is>
      </c>
      <c r="C2239" s="2" t="n">
        <v>3</v>
      </c>
      <c r="D2239" s="2">
        <f>VLOOKUP(B2239,Products!$A$2:$D$201,3,FALSE())</f>
        <v/>
      </c>
      <c r="E2239" s="2">
        <f>C2239*D2239</f>
        <v/>
      </c>
      <c r="F2239" s="2">
        <f>C2239*INDEX(Products!$D$2:$D$201,MATCH(B2239,Products!$A$2:$A$201,0))</f>
        <v/>
      </c>
      <c r="G2239" s="2">
        <f>E2239-F2239</f>
        <v/>
      </c>
    </row>
    <row r="2240" ht="15" customHeight="1" s="1">
      <c r="A2240" s="2" t="n">
        <v>52238</v>
      </c>
      <c r="B2240" s="2" t="inlineStr">
        <is>
          <t>SKU-0189</t>
        </is>
      </c>
      <c r="C2240" s="2" t="n">
        <v>15</v>
      </c>
      <c r="D2240" s="2">
        <f>VLOOKUP(B2240,Products!$A$2:$D$201,3,FALSE())</f>
        <v/>
      </c>
      <c r="E2240" s="2">
        <f>C2240*D2240</f>
        <v/>
      </c>
      <c r="F2240" s="2">
        <f>C2240*INDEX(Products!$D$2:$D$201,MATCH(B2240,Products!$A$2:$A$201,0))</f>
        <v/>
      </c>
      <c r="G2240" s="2">
        <f>E2240-F2240</f>
        <v/>
      </c>
    </row>
    <row r="2241" ht="15" customHeight="1" s="1">
      <c r="A2241" s="2" t="n">
        <v>52239</v>
      </c>
      <c r="B2241" s="2" t="inlineStr">
        <is>
          <t>SKU-0091</t>
        </is>
      </c>
      <c r="C2241" s="2" t="n">
        <v>3</v>
      </c>
      <c r="D2241" s="2">
        <f>VLOOKUP(B2241,Products!$A$2:$D$201,3,FALSE())</f>
        <v/>
      </c>
      <c r="E2241" s="2">
        <f>C2241*D2241</f>
        <v/>
      </c>
      <c r="F2241" s="2">
        <f>C2241*INDEX(Products!$D$2:$D$201,MATCH(B2241,Products!$A$2:$A$201,0))</f>
        <v/>
      </c>
      <c r="G2241" s="2">
        <f>E2241-F2241</f>
        <v/>
      </c>
    </row>
    <row r="2242" ht="15" customHeight="1" s="1">
      <c r="A2242" s="2" t="n">
        <v>52240</v>
      </c>
      <c r="B2242" s="2" t="inlineStr">
        <is>
          <t>SKU-0181</t>
        </is>
      </c>
      <c r="C2242" s="2" t="n">
        <v>9</v>
      </c>
      <c r="D2242" s="2">
        <f>VLOOKUP(B2242,Products!$A$2:$D$201,3,FALSE())</f>
        <v/>
      </c>
      <c r="E2242" s="2">
        <f>C2242*D2242</f>
        <v/>
      </c>
      <c r="F2242" s="2">
        <f>C2242*INDEX(Products!$D$2:$D$201,MATCH(B2242,Products!$A$2:$A$201,0))</f>
        <v/>
      </c>
      <c r="G2242" s="2">
        <f>E2242-F2242</f>
        <v/>
      </c>
    </row>
    <row r="2243" ht="15" customHeight="1" s="1">
      <c r="A2243" s="2" t="n">
        <v>52241</v>
      </c>
      <c r="B2243" s="2" t="inlineStr">
        <is>
          <t>SKU-0179</t>
        </is>
      </c>
      <c r="C2243" s="2" t="n">
        <v>8</v>
      </c>
      <c r="D2243" s="2">
        <f>VLOOKUP(B2243,Products!$A$2:$D$201,3,FALSE())</f>
        <v/>
      </c>
      <c r="E2243" s="2">
        <f>C2243*D2243</f>
        <v/>
      </c>
      <c r="F2243" s="2">
        <f>C2243*INDEX(Products!$D$2:$D$201,MATCH(B2243,Products!$A$2:$A$201,0))</f>
        <v/>
      </c>
      <c r="G2243" s="2">
        <f>E2243-F2243</f>
        <v/>
      </c>
    </row>
    <row r="2244" ht="15" customHeight="1" s="1">
      <c r="A2244" s="2" t="n">
        <v>52242</v>
      </c>
      <c r="B2244" s="2" t="inlineStr">
        <is>
          <t>SKU-0063</t>
        </is>
      </c>
      <c r="C2244" s="2" t="n">
        <v>3</v>
      </c>
      <c r="D2244" s="2">
        <f>VLOOKUP(B2244,Products!$A$2:$D$201,3,FALSE())</f>
        <v/>
      </c>
      <c r="E2244" s="2">
        <f>C2244*D2244</f>
        <v/>
      </c>
      <c r="F2244" s="2">
        <f>C2244*INDEX(Products!$D$2:$D$201,MATCH(B2244,Products!$A$2:$A$201,0))</f>
        <v/>
      </c>
      <c r="G2244" s="2">
        <f>E2244-F2244</f>
        <v/>
      </c>
    </row>
    <row r="2245" ht="15" customHeight="1" s="1">
      <c r="A2245" s="2" t="n">
        <v>52243</v>
      </c>
      <c r="B2245" s="2" t="inlineStr">
        <is>
          <t>SKU-0198</t>
        </is>
      </c>
      <c r="C2245" s="2" t="n">
        <v>18</v>
      </c>
      <c r="D2245" s="2">
        <f>VLOOKUP(B2245,Products!$A$2:$D$201,3,FALSE())</f>
        <v/>
      </c>
      <c r="E2245" s="2">
        <f>C2245*D2245</f>
        <v/>
      </c>
      <c r="F2245" s="2">
        <f>C2245*INDEX(Products!$D$2:$D$201,MATCH(B2245,Products!$A$2:$A$201,0))</f>
        <v/>
      </c>
      <c r="G2245" s="2">
        <f>E2245-F2245</f>
        <v/>
      </c>
    </row>
    <row r="2246" ht="15" customHeight="1" s="1">
      <c r="A2246" s="2" t="n">
        <v>52244</v>
      </c>
      <c r="B2246" s="2" t="inlineStr">
        <is>
          <t>SKU-0187</t>
        </is>
      </c>
      <c r="C2246" s="2" t="n">
        <v>4</v>
      </c>
      <c r="D2246" s="2">
        <f>VLOOKUP(B2246,Products!$A$2:$D$201,3,FALSE())</f>
        <v/>
      </c>
      <c r="E2246" s="2">
        <f>C2246*D2246</f>
        <v/>
      </c>
      <c r="F2246" s="2">
        <f>C2246*INDEX(Products!$D$2:$D$201,MATCH(B2246,Products!$A$2:$A$201,0))</f>
        <v/>
      </c>
      <c r="G2246" s="2">
        <f>E2246-F2246</f>
        <v/>
      </c>
    </row>
    <row r="2247" ht="15" customHeight="1" s="1">
      <c r="A2247" s="2" t="n">
        <v>52245</v>
      </c>
      <c r="B2247" s="2" t="inlineStr">
        <is>
          <t>SKU-0083</t>
        </is>
      </c>
      <c r="C2247" s="2" t="n">
        <v>1</v>
      </c>
      <c r="D2247" s="2">
        <f>VLOOKUP(B2247,Products!$A$2:$D$201,3,FALSE())</f>
        <v/>
      </c>
      <c r="E2247" s="2">
        <f>C2247*D2247</f>
        <v/>
      </c>
      <c r="F2247" s="2">
        <f>C2247*INDEX(Products!$D$2:$D$201,MATCH(B2247,Products!$A$2:$A$201,0))</f>
        <v/>
      </c>
      <c r="G2247" s="2">
        <f>E2247-F2247</f>
        <v/>
      </c>
    </row>
    <row r="2248" ht="15" customHeight="1" s="1">
      <c r="A2248" s="2" t="n">
        <v>52246</v>
      </c>
      <c r="B2248" s="2" t="inlineStr">
        <is>
          <t>SKU-0021</t>
        </is>
      </c>
      <c r="C2248" s="2" t="n">
        <v>19</v>
      </c>
      <c r="D2248" s="2">
        <f>VLOOKUP(B2248,Products!$A$2:$D$201,3,FALSE())</f>
        <v/>
      </c>
      <c r="E2248" s="2">
        <f>C2248*D2248</f>
        <v/>
      </c>
      <c r="F2248" s="2">
        <f>C2248*INDEX(Products!$D$2:$D$201,MATCH(B2248,Products!$A$2:$A$201,0))</f>
        <v/>
      </c>
      <c r="G2248" s="2">
        <f>E2248-F2248</f>
        <v/>
      </c>
    </row>
    <row r="2249" ht="15" customHeight="1" s="1">
      <c r="A2249" s="2" t="n">
        <v>52247</v>
      </c>
      <c r="B2249" s="2" t="inlineStr">
        <is>
          <t>SKU-0044</t>
        </is>
      </c>
      <c r="C2249" s="2" t="n">
        <v>17</v>
      </c>
      <c r="D2249" s="2">
        <f>VLOOKUP(B2249,Products!$A$2:$D$201,3,FALSE())</f>
        <v/>
      </c>
      <c r="E2249" s="2">
        <f>C2249*D2249</f>
        <v/>
      </c>
      <c r="F2249" s="2">
        <f>C2249*INDEX(Products!$D$2:$D$201,MATCH(B2249,Products!$A$2:$A$201,0))</f>
        <v/>
      </c>
      <c r="G2249" s="2">
        <f>E2249-F2249</f>
        <v/>
      </c>
    </row>
    <row r="2250" ht="15" customHeight="1" s="1">
      <c r="A2250" s="2" t="n">
        <v>52248</v>
      </c>
      <c r="B2250" s="2" t="inlineStr">
        <is>
          <t>SKU-0022</t>
        </is>
      </c>
      <c r="C2250" s="2" t="n">
        <v>14</v>
      </c>
      <c r="D2250" s="2">
        <f>VLOOKUP(B2250,Products!$A$2:$D$201,3,FALSE())</f>
        <v/>
      </c>
      <c r="E2250" s="2">
        <f>C2250*D2250</f>
        <v/>
      </c>
      <c r="F2250" s="2">
        <f>C2250*INDEX(Products!$D$2:$D$201,MATCH(B2250,Products!$A$2:$A$201,0))</f>
        <v/>
      </c>
      <c r="G2250" s="2">
        <f>E2250-F2250</f>
        <v/>
      </c>
    </row>
    <row r="2251" ht="15" customHeight="1" s="1">
      <c r="A2251" s="2" t="n">
        <v>52249</v>
      </c>
      <c r="B2251" s="2" t="inlineStr">
        <is>
          <t>SKU-0122</t>
        </is>
      </c>
      <c r="C2251" s="2" t="n">
        <v>17</v>
      </c>
      <c r="D2251" s="2">
        <f>VLOOKUP(B2251,Products!$A$2:$D$201,3,FALSE())</f>
        <v/>
      </c>
      <c r="E2251" s="2">
        <f>C2251*D2251</f>
        <v/>
      </c>
      <c r="F2251" s="2">
        <f>C2251*INDEX(Products!$D$2:$D$201,MATCH(B2251,Products!$A$2:$A$201,0))</f>
        <v/>
      </c>
      <c r="G2251" s="2">
        <f>E2251-F2251</f>
        <v/>
      </c>
    </row>
    <row r="2252" ht="15" customHeight="1" s="1">
      <c r="A2252" s="2" t="n">
        <v>52250</v>
      </c>
      <c r="B2252" s="2" t="inlineStr">
        <is>
          <t>SKU-0031</t>
        </is>
      </c>
      <c r="C2252" s="2" t="n">
        <v>3</v>
      </c>
      <c r="D2252" s="2">
        <f>VLOOKUP(B2252,Products!$A$2:$D$201,3,FALSE())</f>
        <v/>
      </c>
      <c r="E2252" s="2">
        <f>C2252*D2252</f>
        <v/>
      </c>
      <c r="F2252" s="2">
        <f>C2252*INDEX(Products!$D$2:$D$201,MATCH(B2252,Products!$A$2:$A$201,0))</f>
        <v/>
      </c>
      <c r="G2252" s="2">
        <f>E2252-F2252</f>
        <v/>
      </c>
    </row>
    <row r="2253" ht="15" customHeight="1" s="1">
      <c r="A2253" s="2" t="n">
        <v>52251</v>
      </c>
      <c r="B2253" s="2" t="inlineStr">
        <is>
          <t>SKU-0155</t>
        </is>
      </c>
      <c r="C2253" s="2" t="n">
        <v>3</v>
      </c>
      <c r="D2253" s="2">
        <f>VLOOKUP(B2253,Products!$A$2:$D$201,3,FALSE())</f>
        <v/>
      </c>
      <c r="E2253" s="2">
        <f>C2253*D2253</f>
        <v/>
      </c>
      <c r="F2253" s="2">
        <f>C2253*INDEX(Products!$D$2:$D$201,MATCH(B2253,Products!$A$2:$A$201,0))</f>
        <v/>
      </c>
      <c r="G2253" s="2">
        <f>E2253-F2253</f>
        <v/>
      </c>
    </row>
    <row r="2254" ht="15" customHeight="1" s="1">
      <c r="A2254" s="2" t="n">
        <v>52252</v>
      </c>
      <c r="B2254" s="2" t="inlineStr">
        <is>
          <t>SKU-0029</t>
        </is>
      </c>
      <c r="C2254" s="2" t="n">
        <v>6</v>
      </c>
      <c r="D2254" s="2">
        <f>VLOOKUP(B2254,Products!$A$2:$D$201,3,FALSE())</f>
        <v/>
      </c>
      <c r="E2254" s="2">
        <f>C2254*D2254</f>
        <v/>
      </c>
      <c r="F2254" s="2">
        <f>C2254*INDEX(Products!$D$2:$D$201,MATCH(B2254,Products!$A$2:$A$201,0))</f>
        <v/>
      </c>
      <c r="G2254" s="2">
        <f>E2254-F2254</f>
        <v/>
      </c>
    </row>
    <row r="2255" ht="15" customHeight="1" s="1">
      <c r="A2255" s="2" t="n">
        <v>52253</v>
      </c>
      <c r="B2255" s="2" t="inlineStr">
        <is>
          <t>SKU-0159</t>
        </is>
      </c>
      <c r="C2255" s="2" t="n">
        <v>15</v>
      </c>
      <c r="D2255" s="2">
        <f>VLOOKUP(B2255,Products!$A$2:$D$201,3,FALSE())</f>
        <v/>
      </c>
      <c r="E2255" s="2">
        <f>C2255*D2255</f>
        <v/>
      </c>
      <c r="F2255" s="2">
        <f>C2255*INDEX(Products!$D$2:$D$201,MATCH(B2255,Products!$A$2:$A$201,0))</f>
        <v/>
      </c>
      <c r="G2255" s="2">
        <f>E2255-F2255</f>
        <v/>
      </c>
    </row>
    <row r="2256" ht="15" customHeight="1" s="1">
      <c r="A2256" s="2" t="n">
        <v>52254</v>
      </c>
      <c r="B2256" s="2" t="inlineStr">
        <is>
          <t>SKU-0066</t>
        </is>
      </c>
      <c r="C2256" s="2" t="n">
        <v>18</v>
      </c>
      <c r="D2256" s="2">
        <f>VLOOKUP(B2256,Products!$A$2:$D$201,3,FALSE())</f>
        <v/>
      </c>
      <c r="E2256" s="2">
        <f>C2256*D2256</f>
        <v/>
      </c>
      <c r="F2256" s="2">
        <f>C2256*INDEX(Products!$D$2:$D$201,MATCH(B2256,Products!$A$2:$A$201,0))</f>
        <v/>
      </c>
      <c r="G2256" s="2">
        <f>E2256-F2256</f>
        <v/>
      </c>
    </row>
    <row r="2257" ht="15" customHeight="1" s="1">
      <c r="A2257" s="2" t="n">
        <v>52255</v>
      </c>
      <c r="B2257" s="2" t="inlineStr">
        <is>
          <t>SKU-0049</t>
        </is>
      </c>
      <c r="C2257" s="2" t="n">
        <v>3</v>
      </c>
      <c r="D2257" s="2">
        <f>VLOOKUP(B2257,Products!$A$2:$D$201,3,FALSE())</f>
        <v/>
      </c>
      <c r="E2257" s="2">
        <f>C2257*D2257</f>
        <v/>
      </c>
      <c r="F2257" s="2">
        <f>C2257*INDEX(Products!$D$2:$D$201,MATCH(B2257,Products!$A$2:$A$201,0))</f>
        <v/>
      </c>
      <c r="G2257" s="2">
        <f>E2257-F2257</f>
        <v/>
      </c>
    </row>
    <row r="2258" ht="15" customHeight="1" s="1">
      <c r="A2258" s="2" t="n">
        <v>52256</v>
      </c>
      <c r="B2258" s="2" t="inlineStr">
        <is>
          <t>SKU-0152</t>
        </is>
      </c>
      <c r="C2258" s="2" t="n">
        <v>2</v>
      </c>
      <c r="D2258" s="2">
        <f>VLOOKUP(B2258,Products!$A$2:$D$201,3,FALSE())</f>
        <v/>
      </c>
      <c r="E2258" s="2">
        <f>C2258*D2258</f>
        <v/>
      </c>
      <c r="F2258" s="2">
        <f>C2258*INDEX(Products!$D$2:$D$201,MATCH(B2258,Products!$A$2:$A$201,0))</f>
        <v/>
      </c>
      <c r="G2258" s="2">
        <f>E2258-F2258</f>
        <v/>
      </c>
    </row>
    <row r="2259" ht="15" customHeight="1" s="1">
      <c r="A2259" s="2" t="n">
        <v>52257</v>
      </c>
      <c r="B2259" s="2" t="inlineStr">
        <is>
          <t>SKU-0069</t>
        </is>
      </c>
      <c r="C2259" s="2" t="n">
        <v>2</v>
      </c>
      <c r="D2259" s="2">
        <f>VLOOKUP(B2259,Products!$A$2:$D$201,3,FALSE())</f>
        <v/>
      </c>
      <c r="E2259" s="2">
        <f>C2259*D2259</f>
        <v/>
      </c>
      <c r="F2259" s="2">
        <f>C2259*INDEX(Products!$D$2:$D$201,MATCH(B2259,Products!$A$2:$A$201,0))</f>
        <v/>
      </c>
      <c r="G2259" s="2">
        <f>E2259-F2259</f>
        <v/>
      </c>
    </row>
    <row r="2260" ht="15" customHeight="1" s="1">
      <c r="A2260" s="2" t="n">
        <v>52258</v>
      </c>
      <c r="B2260" s="2" t="inlineStr">
        <is>
          <t>SKU-0032</t>
        </is>
      </c>
      <c r="C2260" s="2" t="n">
        <v>11</v>
      </c>
      <c r="D2260" s="2">
        <f>VLOOKUP(B2260,Products!$A$2:$D$201,3,FALSE())</f>
        <v/>
      </c>
      <c r="E2260" s="2">
        <f>C2260*D2260</f>
        <v/>
      </c>
      <c r="F2260" s="2">
        <f>C2260*INDEX(Products!$D$2:$D$201,MATCH(B2260,Products!$A$2:$A$201,0))</f>
        <v/>
      </c>
      <c r="G2260" s="2">
        <f>E2260-F2260</f>
        <v/>
      </c>
    </row>
    <row r="2261" ht="15" customHeight="1" s="1">
      <c r="A2261" s="2" t="n">
        <v>52259</v>
      </c>
      <c r="B2261" s="2" t="inlineStr">
        <is>
          <t>SKU-0043</t>
        </is>
      </c>
      <c r="C2261" s="2" t="n">
        <v>11</v>
      </c>
      <c r="D2261" s="2">
        <f>VLOOKUP(B2261,Products!$A$2:$D$201,3,FALSE())</f>
        <v/>
      </c>
      <c r="E2261" s="2">
        <f>C2261*D2261</f>
        <v/>
      </c>
      <c r="F2261" s="2">
        <f>C2261*INDEX(Products!$D$2:$D$201,MATCH(B2261,Products!$A$2:$A$201,0))</f>
        <v/>
      </c>
      <c r="G2261" s="2">
        <f>E2261-F2261</f>
        <v/>
      </c>
    </row>
    <row r="2262" ht="15" customHeight="1" s="1">
      <c r="A2262" s="2" t="n">
        <v>52260</v>
      </c>
      <c r="B2262" s="2" t="inlineStr">
        <is>
          <t>SKU-0144</t>
        </is>
      </c>
      <c r="C2262" s="2" t="n">
        <v>11</v>
      </c>
      <c r="D2262" s="2">
        <f>VLOOKUP(B2262,Products!$A$2:$D$201,3,FALSE())</f>
        <v/>
      </c>
      <c r="E2262" s="2">
        <f>C2262*D2262</f>
        <v/>
      </c>
      <c r="F2262" s="2">
        <f>C2262*INDEX(Products!$D$2:$D$201,MATCH(B2262,Products!$A$2:$A$201,0))</f>
        <v/>
      </c>
      <c r="G2262" s="2">
        <f>E2262-F2262</f>
        <v/>
      </c>
    </row>
    <row r="2263" ht="15" customHeight="1" s="1">
      <c r="A2263" s="2" t="n">
        <v>52261</v>
      </c>
      <c r="B2263" s="2" t="inlineStr">
        <is>
          <t>SKU-0093</t>
        </is>
      </c>
      <c r="C2263" s="2" t="n">
        <v>17</v>
      </c>
      <c r="D2263" s="2">
        <f>VLOOKUP(B2263,Products!$A$2:$D$201,3,FALSE())</f>
        <v/>
      </c>
      <c r="E2263" s="2">
        <f>C2263*D2263</f>
        <v/>
      </c>
      <c r="F2263" s="2">
        <f>C2263*INDEX(Products!$D$2:$D$201,MATCH(B2263,Products!$A$2:$A$201,0))</f>
        <v/>
      </c>
      <c r="G2263" s="2">
        <f>E2263-F2263</f>
        <v/>
      </c>
    </row>
    <row r="2264" ht="15" customHeight="1" s="1">
      <c r="A2264" s="2" t="n">
        <v>52262</v>
      </c>
      <c r="B2264" s="2" t="inlineStr">
        <is>
          <t>SKU-0151</t>
        </is>
      </c>
      <c r="C2264" s="2" t="n">
        <v>15</v>
      </c>
      <c r="D2264" s="2">
        <f>VLOOKUP(B2264,Products!$A$2:$D$201,3,FALSE())</f>
        <v/>
      </c>
      <c r="E2264" s="2">
        <f>C2264*D2264</f>
        <v/>
      </c>
      <c r="F2264" s="2">
        <f>C2264*INDEX(Products!$D$2:$D$201,MATCH(B2264,Products!$A$2:$A$201,0))</f>
        <v/>
      </c>
      <c r="G2264" s="2">
        <f>E2264-F2264</f>
        <v/>
      </c>
    </row>
    <row r="2265" ht="15" customHeight="1" s="1">
      <c r="A2265" s="2" t="n">
        <v>52263</v>
      </c>
      <c r="B2265" s="2" t="inlineStr">
        <is>
          <t>SKU-0138</t>
        </is>
      </c>
      <c r="C2265" s="2" t="n">
        <v>18</v>
      </c>
      <c r="D2265" s="2">
        <f>VLOOKUP(B2265,Products!$A$2:$D$201,3,FALSE())</f>
        <v/>
      </c>
      <c r="E2265" s="2">
        <f>C2265*D2265</f>
        <v/>
      </c>
      <c r="F2265" s="2">
        <f>C2265*INDEX(Products!$D$2:$D$201,MATCH(B2265,Products!$A$2:$A$201,0))</f>
        <v/>
      </c>
      <c r="G2265" s="2">
        <f>E2265-F2265</f>
        <v/>
      </c>
    </row>
    <row r="2266" ht="15" customHeight="1" s="1">
      <c r="A2266" s="2" t="n">
        <v>52264</v>
      </c>
      <c r="B2266" s="2" t="inlineStr">
        <is>
          <t>SKU-0068</t>
        </is>
      </c>
      <c r="C2266" s="2" t="n">
        <v>17</v>
      </c>
      <c r="D2266" s="2">
        <f>VLOOKUP(B2266,Products!$A$2:$D$201,3,FALSE())</f>
        <v/>
      </c>
      <c r="E2266" s="2">
        <f>C2266*D2266</f>
        <v/>
      </c>
      <c r="F2266" s="2">
        <f>C2266*INDEX(Products!$D$2:$D$201,MATCH(B2266,Products!$A$2:$A$201,0))</f>
        <v/>
      </c>
      <c r="G2266" s="2">
        <f>E2266-F2266</f>
        <v/>
      </c>
    </row>
    <row r="2267" ht="15" customHeight="1" s="1">
      <c r="A2267" s="2" t="n">
        <v>52265</v>
      </c>
      <c r="B2267" s="2" t="inlineStr">
        <is>
          <t>SKU-0128</t>
        </is>
      </c>
      <c r="C2267" s="2" t="n">
        <v>1</v>
      </c>
      <c r="D2267" s="2">
        <f>VLOOKUP(B2267,Products!$A$2:$D$201,3,FALSE())</f>
        <v/>
      </c>
      <c r="E2267" s="2">
        <f>C2267*D2267</f>
        <v/>
      </c>
      <c r="F2267" s="2">
        <f>C2267*INDEX(Products!$D$2:$D$201,MATCH(B2267,Products!$A$2:$A$201,0))</f>
        <v/>
      </c>
      <c r="G2267" s="2">
        <f>E2267-F2267</f>
        <v/>
      </c>
    </row>
    <row r="2268" ht="15" customHeight="1" s="1">
      <c r="A2268" s="2" t="n">
        <v>52266</v>
      </c>
      <c r="B2268" s="2" t="inlineStr">
        <is>
          <t>SKU-0054</t>
        </is>
      </c>
      <c r="C2268" s="2" t="n">
        <v>14</v>
      </c>
      <c r="D2268" s="2">
        <f>VLOOKUP(B2268,Products!$A$2:$D$201,3,FALSE())</f>
        <v/>
      </c>
      <c r="E2268" s="2">
        <f>C2268*D2268</f>
        <v/>
      </c>
      <c r="F2268" s="2">
        <f>C2268*INDEX(Products!$D$2:$D$201,MATCH(B2268,Products!$A$2:$A$201,0))</f>
        <v/>
      </c>
      <c r="G2268" s="2">
        <f>E2268-F2268</f>
        <v/>
      </c>
    </row>
    <row r="2269" ht="15" customHeight="1" s="1">
      <c r="A2269" s="2" t="n">
        <v>52267</v>
      </c>
      <c r="B2269" s="2" t="inlineStr">
        <is>
          <t>SKU-0181</t>
        </is>
      </c>
      <c r="C2269" s="2" t="n">
        <v>15</v>
      </c>
      <c r="D2269" s="2">
        <f>VLOOKUP(B2269,Products!$A$2:$D$201,3,FALSE())</f>
        <v/>
      </c>
      <c r="E2269" s="2">
        <f>C2269*D2269</f>
        <v/>
      </c>
      <c r="F2269" s="2">
        <f>C2269*INDEX(Products!$D$2:$D$201,MATCH(B2269,Products!$A$2:$A$201,0))</f>
        <v/>
      </c>
      <c r="G2269" s="2">
        <f>E2269-F2269</f>
        <v/>
      </c>
    </row>
    <row r="2270" ht="15" customHeight="1" s="1">
      <c r="A2270" s="2" t="n">
        <v>52268</v>
      </c>
      <c r="B2270" s="2" t="inlineStr">
        <is>
          <t>SKU-0098</t>
        </is>
      </c>
      <c r="C2270" s="2" t="n">
        <v>15</v>
      </c>
      <c r="D2270" s="2">
        <f>VLOOKUP(B2270,Products!$A$2:$D$201,3,FALSE())</f>
        <v/>
      </c>
      <c r="E2270" s="2">
        <f>C2270*D2270</f>
        <v/>
      </c>
      <c r="F2270" s="2">
        <f>C2270*INDEX(Products!$D$2:$D$201,MATCH(B2270,Products!$A$2:$A$201,0))</f>
        <v/>
      </c>
      <c r="G2270" s="2">
        <f>E2270-F2270</f>
        <v/>
      </c>
    </row>
    <row r="2271" ht="15" customHeight="1" s="1">
      <c r="A2271" s="2" t="n">
        <v>52269</v>
      </c>
      <c r="B2271" s="2" t="inlineStr">
        <is>
          <t>SKU-0168</t>
        </is>
      </c>
      <c r="C2271" s="2" t="n">
        <v>11</v>
      </c>
      <c r="D2271" s="2">
        <f>VLOOKUP(B2271,Products!$A$2:$D$201,3,FALSE())</f>
        <v/>
      </c>
      <c r="E2271" s="2">
        <f>C2271*D2271</f>
        <v/>
      </c>
      <c r="F2271" s="2">
        <f>C2271*INDEX(Products!$D$2:$D$201,MATCH(B2271,Products!$A$2:$A$201,0))</f>
        <v/>
      </c>
      <c r="G2271" s="2">
        <f>E2271-F2271</f>
        <v/>
      </c>
    </row>
    <row r="2272" ht="15" customHeight="1" s="1">
      <c r="A2272" s="2" t="n">
        <v>52270</v>
      </c>
      <c r="B2272" s="2" t="inlineStr">
        <is>
          <t>SKU-0156</t>
        </is>
      </c>
      <c r="C2272" s="2" t="n">
        <v>12</v>
      </c>
      <c r="D2272" s="2">
        <f>VLOOKUP(B2272,Products!$A$2:$D$201,3,FALSE())</f>
        <v/>
      </c>
      <c r="E2272" s="2">
        <f>C2272*D2272</f>
        <v/>
      </c>
      <c r="F2272" s="2">
        <f>C2272*INDEX(Products!$D$2:$D$201,MATCH(B2272,Products!$A$2:$A$201,0))</f>
        <v/>
      </c>
      <c r="G2272" s="2">
        <f>E2272-F2272</f>
        <v/>
      </c>
    </row>
    <row r="2273" ht="15" customHeight="1" s="1">
      <c r="A2273" s="2" t="n">
        <v>52271</v>
      </c>
      <c r="B2273" s="2" t="inlineStr">
        <is>
          <t>SKU-0083</t>
        </is>
      </c>
      <c r="C2273" s="2" t="n">
        <v>5</v>
      </c>
      <c r="D2273" s="2">
        <f>VLOOKUP(B2273,Products!$A$2:$D$201,3,FALSE())</f>
        <v/>
      </c>
      <c r="E2273" s="2">
        <f>C2273*D2273</f>
        <v/>
      </c>
      <c r="F2273" s="2">
        <f>C2273*INDEX(Products!$D$2:$D$201,MATCH(B2273,Products!$A$2:$A$201,0))</f>
        <v/>
      </c>
      <c r="G2273" s="2">
        <f>E2273-F2273</f>
        <v/>
      </c>
    </row>
    <row r="2274" ht="15" customHeight="1" s="1">
      <c r="A2274" s="2" t="n">
        <v>52272</v>
      </c>
      <c r="B2274" s="2" t="inlineStr">
        <is>
          <t>SKU-0064</t>
        </is>
      </c>
      <c r="C2274" s="2" t="n">
        <v>15</v>
      </c>
      <c r="D2274" s="2">
        <f>VLOOKUP(B2274,Products!$A$2:$D$201,3,FALSE())</f>
        <v/>
      </c>
      <c r="E2274" s="2">
        <f>C2274*D2274</f>
        <v/>
      </c>
      <c r="F2274" s="2">
        <f>C2274*INDEX(Products!$D$2:$D$201,MATCH(B2274,Products!$A$2:$A$201,0))</f>
        <v/>
      </c>
      <c r="G2274" s="2">
        <f>E2274-F2274</f>
        <v/>
      </c>
    </row>
    <row r="2275" ht="15" customHeight="1" s="1">
      <c r="A2275" s="2" t="n">
        <v>52273</v>
      </c>
      <c r="B2275" s="2" t="inlineStr">
        <is>
          <t>SKU-0000</t>
        </is>
      </c>
      <c r="C2275" s="2" t="n">
        <v>11</v>
      </c>
      <c r="D2275" s="2">
        <f>VLOOKUP(B2275,Products!$A$2:$D$201,3,FALSE())</f>
        <v/>
      </c>
      <c r="E2275" s="2">
        <f>C2275*D2275</f>
        <v/>
      </c>
      <c r="F2275" s="2">
        <f>C2275*INDEX(Products!$D$2:$D$201,MATCH(B2275,Products!$A$2:$A$201,0))</f>
        <v/>
      </c>
      <c r="G2275" s="2">
        <f>E2275-F2275</f>
        <v/>
      </c>
    </row>
    <row r="2276" ht="15" customHeight="1" s="1">
      <c r="A2276" s="2" t="n">
        <v>52274</v>
      </c>
      <c r="B2276" s="2" t="inlineStr">
        <is>
          <t>SKU-0177</t>
        </is>
      </c>
      <c r="C2276" s="2" t="n">
        <v>6</v>
      </c>
      <c r="D2276" s="2">
        <f>VLOOKUP(B2276,Products!$A$2:$D$201,3,FALSE())</f>
        <v/>
      </c>
      <c r="E2276" s="2">
        <f>C2276*D2276</f>
        <v/>
      </c>
      <c r="F2276" s="2">
        <f>C2276*INDEX(Products!$D$2:$D$201,MATCH(B2276,Products!$A$2:$A$201,0))</f>
        <v/>
      </c>
      <c r="G2276" s="2">
        <f>E2276-F2276</f>
        <v/>
      </c>
    </row>
    <row r="2277" ht="15" customHeight="1" s="1">
      <c r="A2277" s="2" t="n">
        <v>52275</v>
      </c>
      <c r="B2277" s="2" t="inlineStr">
        <is>
          <t>SKU-0094</t>
        </is>
      </c>
      <c r="C2277" s="2" t="n">
        <v>17</v>
      </c>
      <c r="D2277" s="2">
        <f>VLOOKUP(B2277,Products!$A$2:$D$201,3,FALSE())</f>
        <v/>
      </c>
      <c r="E2277" s="2">
        <f>C2277*D2277</f>
        <v/>
      </c>
      <c r="F2277" s="2">
        <f>C2277*INDEX(Products!$D$2:$D$201,MATCH(B2277,Products!$A$2:$A$201,0))</f>
        <v/>
      </c>
      <c r="G2277" s="2">
        <f>E2277-F2277</f>
        <v/>
      </c>
    </row>
    <row r="2278" ht="15" customHeight="1" s="1">
      <c r="A2278" s="2" t="n">
        <v>52276</v>
      </c>
      <c r="B2278" s="2" t="inlineStr">
        <is>
          <t>SKU-0186</t>
        </is>
      </c>
      <c r="C2278" s="2" t="n">
        <v>9</v>
      </c>
      <c r="D2278" s="2">
        <f>VLOOKUP(B2278,Products!$A$2:$D$201,3,FALSE())</f>
        <v/>
      </c>
      <c r="E2278" s="2">
        <f>C2278*D2278</f>
        <v/>
      </c>
      <c r="F2278" s="2">
        <f>C2278*INDEX(Products!$D$2:$D$201,MATCH(B2278,Products!$A$2:$A$201,0))</f>
        <v/>
      </c>
      <c r="G2278" s="2">
        <f>E2278-F2278</f>
        <v/>
      </c>
    </row>
    <row r="2279" ht="15" customHeight="1" s="1">
      <c r="A2279" s="2" t="n">
        <v>52277</v>
      </c>
      <c r="B2279" s="2" t="inlineStr">
        <is>
          <t>SKU-0016</t>
        </is>
      </c>
      <c r="C2279" s="2" t="n">
        <v>18</v>
      </c>
      <c r="D2279" s="2">
        <f>VLOOKUP(B2279,Products!$A$2:$D$201,3,FALSE())</f>
        <v/>
      </c>
      <c r="E2279" s="2">
        <f>C2279*D2279</f>
        <v/>
      </c>
      <c r="F2279" s="2">
        <f>C2279*INDEX(Products!$D$2:$D$201,MATCH(B2279,Products!$A$2:$A$201,0))</f>
        <v/>
      </c>
      <c r="G2279" s="2">
        <f>E2279-F2279</f>
        <v/>
      </c>
    </row>
    <row r="2280" ht="15" customHeight="1" s="1">
      <c r="A2280" s="2" t="n">
        <v>52278</v>
      </c>
      <c r="B2280" s="2" t="inlineStr">
        <is>
          <t>SKU-0163</t>
        </is>
      </c>
      <c r="C2280" s="2" t="n">
        <v>8</v>
      </c>
      <c r="D2280" s="2">
        <f>VLOOKUP(B2280,Products!$A$2:$D$201,3,FALSE())</f>
        <v/>
      </c>
      <c r="E2280" s="2">
        <f>C2280*D2280</f>
        <v/>
      </c>
      <c r="F2280" s="2">
        <f>C2280*INDEX(Products!$D$2:$D$201,MATCH(B2280,Products!$A$2:$A$201,0))</f>
        <v/>
      </c>
      <c r="G2280" s="2">
        <f>E2280-F2280</f>
        <v/>
      </c>
    </row>
    <row r="2281" ht="15" customHeight="1" s="1">
      <c r="A2281" s="2" t="n">
        <v>52279</v>
      </c>
      <c r="B2281" s="2" t="inlineStr">
        <is>
          <t>SKU-0116</t>
        </is>
      </c>
      <c r="C2281" s="2" t="n">
        <v>20</v>
      </c>
      <c r="D2281" s="2">
        <f>VLOOKUP(B2281,Products!$A$2:$D$201,3,FALSE())</f>
        <v/>
      </c>
      <c r="E2281" s="2">
        <f>C2281*D2281</f>
        <v/>
      </c>
      <c r="F2281" s="2">
        <f>C2281*INDEX(Products!$D$2:$D$201,MATCH(B2281,Products!$A$2:$A$201,0))</f>
        <v/>
      </c>
      <c r="G2281" s="2">
        <f>E2281-F2281</f>
        <v/>
      </c>
    </row>
    <row r="2282" ht="15" customHeight="1" s="1">
      <c r="A2282" s="2" t="n">
        <v>52280</v>
      </c>
      <c r="B2282" s="2" t="inlineStr">
        <is>
          <t>SKU-0051</t>
        </is>
      </c>
      <c r="C2282" s="2" t="n">
        <v>17</v>
      </c>
      <c r="D2282" s="2">
        <f>VLOOKUP(B2282,Products!$A$2:$D$201,3,FALSE())</f>
        <v/>
      </c>
      <c r="E2282" s="2">
        <f>C2282*D2282</f>
        <v/>
      </c>
      <c r="F2282" s="2">
        <f>C2282*INDEX(Products!$D$2:$D$201,MATCH(B2282,Products!$A$2:$A$201,0))</f>
        <v/>
      </c>
      <c r="G2282" s="2">
        <f>E2282-F2282</f>
        <v/>
      </c>
    </row>
    <row r="2283" ht="15" customHeight="1" s="1">
      <c r="A2283" s="2" t="n">
        <v>52281</v>
      </c>
      <c r="B2283" s="2" t="inlineStr">
        <is>
          <t>SKU-0091</t>
        </is>
      </c>
      <c r="C2283" s="2" t="n">
        <v>16</v>
      </c>
      <c r="D2283" s="2">
        <f>VLOOKUP(B2283,Products!$A$2:$D$201,3,FALSE())</f>
        <v/>
      </c>
      <c r="E2283" s="2">
        <f>C2283*D2283</f>
        <v/>
      </c>
      <c r="F2283" s="2">
        <f>C2283*INDEX(Products!$D$2:$D$201,MATCH(B2283,Products!$A$2:$A$201,0))</f>
        <v/>
      </c>
      <c r="G2283" s="2">
        <f>E2283-F2283</f>
        <v/>
      </c>
    </row>
    <row r="2284" ht="15" customHeight="1" s="1">
      <c r="A2284" s="2" t="n">
        <v>52282</v>
      </c>
      <c r="B2284" s="2" t="inlineStr">
        <is>
          <t>SKU-0169</t>
        </is>
      </c>
      <c r="C2284" s="2" t="n">
        <v>9</v>
      </c>
      <c r="D2284" s="2">
        <f>VLOOKUP(B2284,Products!$A$2:$D$201,3,FALSE())</f>
        <v/>
      </c>
      <c r="E2284" s="2">
        <f>C2284*D2284</f>
        <v/>
      </c>
      <c r="F2284" s="2">
        <f>C2284*INDEX(Products!$D$2:$D$201,MATCH(B2284,Products!$A$2:$A$201,0))</f>
        <v/>
      </c>
      <c r="G2284" s="2">
        <f>E2284-F2284</f>
        <v/>
      </c>
    </row>
    <row r="2285" ht="15" customHeight="1" s="1">
      <c r="A2285" s="2" t="n">
        <v>52283</v>
      </c>
      <c r="B2285" s="2" t="inlineStr">
        <is>
          <t>SKU-0196</t>
        </is>
      </c>
      <c r="C2285" s="2" t="n">
        <v>8</v>
      </c>
      <c r="D2285" s="2">
        <f>VLOOKUP(B2285,Products!$A$2:$D$201,3,FALSE())</f>
        <v/>
      </c>
      <c r="E2285" s="2">
        <f>C2285*D2285</f>
        <v/>
      </c>
      <c r="F2285" s="2">
        <f>C2285*INDEX(Products!$D$2:$D$201,MATCH(B2285,Products!$A$2:$A$201,0))</f>
        <v/>
      </c>
      <c r="G2285" s="2">
        <f>E2285-F2285</f>
        <v/>
      </c>
    </row>
    <row r="2286" ht="15" customHeight="1" s="1">
      <c r="A2286" s="2" t="n">
        <v>52284</v>
      </c>
      <c r="B2286" s="2" t="inlineStr">
        <is>
          <t>SKU-0175</t>
        </is>
      </c>
      <c r="C2286" s="2" t="n">
        <v>1</v>
      </c>
      <c r="D2286" s="2">
        <f>VLOOKUP(B2286,Products!$A$2:$D$201,3,FALSE())</f>
        <v/>
      </c>
      <c r="E2286" s="2">
        <f>C2286*D2286</f>
        <v/>
      </c>
      <c r="F2286" s="2">
        <f>C2286*INDEX(Products!$D$2:$D$201,MATCH(B2286,Products!$A$2:$A$201,0))</f>
        <v/>
      </c>
      <c r="G2286" s="2">
        <f>E2286-F2286</f>
        <v/>
      </c>
    </row>
    <row r="2287" ht="15" customHeight="1" s="1">
      <c r="A2287" s="2" t="n">
        <v>52285</v>
      </c>
      <c r="B2287" s="2" t="inlineStr">
        <is>
          <t>SKU-0064</t>
        </is>
      </c>
      <c r="C2287" s="2" t="n">
        <v>20</v>
      </c>
      <c r="D2287" s="2">
        <f>VLOOKUP(B2287,Products!$A$2:$D$201,3,FALSE())</f>
        <v/>
      </c>
      <c r="E2287" s="2">
        <f>C2287*D2287</f>
        <v/>
      </c>
      <c r="F2287" s="2">
        <f>C2287*INDEX(Products!$D$2:$D$201,MATCH(B2287,Products!$A$2:$A$201,0))</f>
        <v/>
      </c>
      <c r="G2287" s="2">
        <f>E2287-F2287</f>
        <v/>
      </c>
    </row>
    <row r="2288" ht="15" customHeight="1" s="1">
      <c r="A2288" s="2" t="n">
        <v>52286</v>
      </c>
      <c r="B2288" s="2" t="inlineStr">
        <is>
          <t>SKU-0001</t>
        </is>
      </c>
      <c r="C2288" s="2" t="n">
        <v>17</v>
      </c>
      <c r="D2288" s="2">
        <f>VLOOKUP(B2288,Products!$A$2:$D$201,3,FALSE())</f>
        <v/>
      </c>
      <c r="E2288" s="2">
        <f>C2288*D2288</f>
        <v/>
      </c>
      <c r="F2288" s="2">
        <f>C2288*INDEX(Products!$D$2:$D$201,MATCH(B2288,Products!$A$2:$A$201,0))</f>
        <v/>
      </c>
      <c r="G2288" s="2">
        <f>E2288-F2288</f>
        <v/>
      </c>
    </row>
    <row r="2289" ht="15" customHeight="1" s="1">
      <c r="A2289" s="2" t="n">
        <v>52287</v>
      </c>
      <c r="B2289" s="2" t="inlineStr">
        <is>
          <t>SKU-0078</t>
        </is>
      </c>
      <c r="C2289" s="2" t="n">
        <v>14</v>
      </c>
      <c r="D2289" s="2">
        <f>VLOOKUP(B2289,Products!$A$2:$D$201,3,FALSE())</f>
        <v/>
      </c>
      <c r="E2289" s="2">
        <f>C2289*D2289</f>
        <v/>
      </c>
      <c r="F2289" s="2">
        <f>C2289*INDEX(Products!$D$2:$D$201,MATCH(B2289,Products!$A$2:$A$201,0))</f>
        <v/>
      </c>
      <c r="G2289" s="2">
        <f>E2289-F2289</f>
        <v/>
      </c>
    </row>
    <row r="2290" ht="15" customHeight="1" s="1">
      <c r="A2290" s="2" t="n">
        <v>52288</v>
      </c>
      <c r="B2290" s="2" t="inlineStr">
        <is>
          <t>SKU-0088</t>
        </is>
      </c>
      <c r="C2290" s="2" t="n">
        <v>6</v>
      </c>
      <c r="D2290" s="2">
        <f>VLOOKUP(B2290,Products!$A$2:$D$201,3,FALSE())</f>
        <v/>
      </c>
      <c r="E2290" s="2">
        <f>C2290*D2290</f>
        <v/>
      </c>
      <c r="F2290" s="2">
        <f>C2290*INDEX(Products!$D$2:$D$201,MATCH(B2290,Products!$A$2:$A$201,0))</f>
        <v/>
      </c>
      <c r="G2290" s="2">
        <f>E2290-F2290</f>
        <v/>
      </c>
    </row>
    <row r="2291" ht="15" customHeight="1" s="1">
      <c r="A2291" s="2" t="n">
        <v>52289</v>
      </c>
      <c r="B2291" s="2" t="inlineStr">
        <is>
          <t>SKU-0061</t>
        </is>
      </c>
      <c r="C2291" s="2" t="n">
        <v>12</v>
      </c>
      <c r="D2291" s="2">
        <f>VLOOKUP(B2291,Products!$A$2:$D$201,3,FALSE())</f>
        <v/>
      </c>
      <c r="E2291" s="2">
        <f>C2291*D2291</f>
        <v/>
      </c>
      <c r="F2291" s="2">
        <f>C2291*INDEX(Products!$D$2:$D$201,MATCH(B2291,Products!$A$2:$A$201,0))</f>
        <v/>
      </c>
      <c r="G2291" s="2">
        <f>E2291-F2291</f>
        <v/>
      </c>
    </row>
    <row r="2292" ht="15" customHeight="1" s="1">
      <c r="A2292" s="2" t="n">
        <v>52290</v>
      </c>
      <c r="B2292" s="2" t="inlineStr">
        <is>
          <t>SKU-0054</t>
        </is>
      </c>
      <c r="C2292" s="2" t="n">
        <v>19</v>
      </c>
      <c r="D2292" s="2">
        <f>VLOOKUP(B2292,Products!$A$2:$D$201,3,FALSE())</f>
        <v/>
      </c>
      <c r="E2292" s="2">
        <f>C2292*D2292</f>
        <v/>
      </c>
      <c r="F2292" s="2">
        <f>C2292*INDEX(Products!$D$2:$D$201,MATCH(B2292,Products!$A$2:$A$201,0))</f>
        <v/>
      </c>
      <c r="G2292" s="2">
        <f>E2292-F2292</f>
        <v/>
      </c>
    </row>
    <row r="2293" ht="15" customHeight="1" s="1">
      <c r="A2293" s="2" t="n">
        <v>52291</v>
      </c>
      <c r="B2293" s="2" t="inlineStr">
        <is>
          <t>SKU-0091</t>
        </is>
      </c>
      <c r="C2293" s="2" t="n">
        <v>13</v>
      </c>
      <c r="D2293" s="2">
        <f>VLOOKUP(B2293,Products!$A$2:$D$201,3,FALSE())</f>
        <v/>
      </c>
      <c r="E2293" s="2">
        <f>C2293*D2293</f>
        <v/>
      </c>
      <c r="F2293" s="2">
        <f>C2293*INDEX(Products!$D$2:$D$201,MATCH(B2293,Products!$A$2:$A$201,0))</f>
        <v/>
      </c>
      <c r="G2293" s="2">
        <f>E2293-F2293</f>
        <v/>
      </c>
    </row>
    <row r="2294" ht="15" customHeight="1" s="1">
      <c r="A2294" s="2" t="n">
        <v>52292</v>
      </c>
      <c r="B2294" s="2" t="inlineStr">
        <is>
          <t>SKU-0151</t>
        </is>
      </c>
      <c r="C2294" s="2" t="n">
        <v>9</v>
      </c>
      <c r="D2294" s="2">
        <f>VLOOKUP(B2294,Products!$A$2:$D$201,3,FALSE())</f>
        <v/>
      </c>
      <c r="E2294" s="2">
        <f>C2294*D2294</f>
        <v/>
      </c>
      <c r="F2294" s="2">
        <f>C2294*INDEX(Products!$D$2:$D$201,MATCH(B2294,Products!$A$2:$A$201,0))</f>
        <v/>
      </c>
      <c r="G2294" s="2">
        <f>E2294-F2294</f>
        <v/>
      </c>
    </row>
    <row r="2295" ht="15" customHeight="1" s="1">
      <c r="A2295" s="2" t="n">
        <v>52293</v>
      </c>
      <c r="B2295" s="2" t="inlineStr">
        <is>
          <t>SKU-0127</t>
        </is>
      </c>
      <c r="C2295" s="2" t="n">
        <v>3</v>
      </c>
      <c r="D2295" s="2">
        <f>VLOOKUP(B2295,Products!$A$2:$D$201,3,FALSE())</f>
        <v/>
      </c>
      <c r="E2295" s="2">
        <f>C2295*D2295</f>
        <v/>
      </c>
      <c r="F2295" s="2">
        <f>C2295*INDEX(Products!$D$2:$D$201,MATCH(B2295,Products!$A$2:$A$201,0))</f>
        <v/>
      </c>
      <c r="G2295" s="2">
        <f>E2295-F2295</f>
        <v/>
      </c>
    </row>
    <row r="2296" ht="15" customHeight="1" s="1">
      <c r="A2296" s="2" t="n">
        <v>52294</v>
      </c>
      <c r="B2296" s="2" t="inlineStr">
        <is>
          <t>SKU-0023</t>
        </is>
      </c>
      <c r="C2296" s="2" t="n">
        <v>9</v>
      </c>
      <c r="D2296" s="2">
        <f>VLOOKUP(B2296,Products!$A$2:$D$201,3,FALSE())</f>
        <v/>
      </c>
      <c r="E2296" s="2">
        <f>C2296*D2296</f>
        <v/>
      </c>
      <c r="F2296" s="2">
        <f>C2296*INDEX(Products!$D$2:$D$201,MATCH(B2296,Products!$A$2:$A$201,0))</f>
        <v/>
      </c>
      <c r="G2296" s="2">
        <f>E2296-F2296</f>
        <v/>
      </c>
    </row>
    <row r="2297" ht="15" customHeight="1" s="1">
      <c r="A2297" s="2" t="n">
        <v>52295</v>
      </c>
      <c r="B2297" s="2" t="inlineStr">
        <is>
          <t>SKU-0160</t>
        </is>
      </c>
      <c r="C2297" s="2" t="n">
        <v>5</v>
      </c>
      <c r="D2297" s="2">
        <f>VLOOKUP(B2297,Products!$A$2:$D$201,3,FALSE())</f>
        <v/>
      </c>
      <c r="E2297" s="2">
        <f>C2297*D2297</f>
        <v/>
      </c>
      <c r="F2297" s="2">
        <f>C2297*INDEX(Products!$D$2:$D$201,MATCH(B2297,Products!$A$2:$A$201,0))</f>
        <v/>
      </c>
      <c r="G2297" s="2">
        <f>E2297-F2297</f>
        <v/>
      </c>
    </row>
    <row r="2298" ht="15" customHeight="1" s="1">
      <c r="A2298" s="2" t="n">
        <v>52296</v>
      </c>
      <c r="B2298" s="2" t="inlineStr">
        <is>
          <t>SKU-0026</t>
        </is>
      </c>
      <c r="C2298" s="2" t="n">
        <v>16</v>
      </c>
      <c r="D2298" s="2">
        <f>VLOOKUP(B2298,Products!$A$2:$D$201,3,FALSE())</f>
        <v/>
      </c>
      <c r="E2298" s="2">
        <f>C2298*D2298</f>
        <v/>
      </c>
      <c r="F2298" s="2">
        <f>C2298*INDEX(Products!$D$2:$D$201,MATCH(B2298,Products!$A$2:$A$201,0))</f>
        <v/>
      </c>
      <c r="G2298" s="2">
        <f>E2298-F2298</f>
        <v/>
      </c>
    </row>
    <row r="2299" ht="15" customHeight="1" s="1">
      <c r="A2299" s="2" t="n">
        <v>52297</v>
      </c>
      <c r="B2299" s="2" t="inlineStr">
        <is>
          <t>SKU-0197</t>
        </is>
      </c>
      <c r="C2299" s="2" t="n">
        <v>4</v>
      </c>
      <c r="D2299" s="2">
        <f>VLOOKUP(B2299,Products!$A$2:$D$201,3,FALSE())</f>
        <v/>
      </c>
      <c r="E2299" s="2">
        <f>C2299*D2299</f>
        <v/>
      </c>
      <c r="F2299" s="2">
        <f>C2299*INDEX(Products!$D$2:$D$201,MATCH(B2299,Products!$A$2:$A$201,0))</f>
        <v/>
      </c>
      <c r="G2299" s="2">
        <f>E2299-F2299</f>
        <v/>
      </c>
    </row>
    <row r="2300" ht="15" customHeight="1" s="1">
      <c r="A2300" s="2" t="n">
        <v>52298</v>
      </c>
      <c r="B2300" s="2" t="inlineStr">
        <is>
          <t>SKU-0020</t>
        </is>
      </c>
      <c r="C2300" s="2" t="n">
        <v>3</v>
      </c>
      <c r="D2300" s="2">
        <f>VLOOKUP(B2300,Products!$A$2:$D$201,3,FALSE())</f>
        <v/>
      </c>
      <c r="E2300" s="2">
        <f>C2300*D2300</f>
        <v/>
      </c>
      <c r="F2300" s="2">
        <f>C2300*INDEX(Products!$D$2:$D$201,MATCH(B2300,Products!$A$2:$A$201,0))</f>
        <v/>
      </c>
      <c r="G2300" s="2">
        <f>E2300-F2300</f>
        <v/>
      </c>
    </row>
    <row r="2301" ht="15" customHeight="1" s="1">
      <c r="A2301" s="2" t="n">
        <v>52299</v>
      </c>
      <c r="B2301" s="2" t="inlineStr">
        <is>
          <t>SKU-0132</t>
        </is>
      </c>
      <c r="C2301" s="2" t="n">
        <v>7</v>
      </c>
      <c r="D2301" s="2">
        <f>VLOOKUP(B2301,Products!$A$2:$D$201,3,FALSE())</f>
        <v/>
      </c>
      <c r="E2301" s="2">
        <f>C2301*D2301</f>
        <v/>
      </c>
      <c r="F2301" s="2">
        <f>C2301*INDEX(Products!$D$2:$D$201,MATCH(B2301,Products!$A$2:$A$201,0))</f>
        <v/>
      </c>
      <c r="G2301" s="2">
        <f>E2301-F2301</f>
        <v/>
      </c>
    </row>
    <row r="2302" ht="15" customHeight="1" s="1">
      <c r="A2302" s="2" t="n">
        <v>52300</v>
      </c>
      <c r="B2302" s="2" t="inlineStr">
        <is>
          <t>SKU-0112</t>
        </is>
      </c>
      <c r="C2302" s="2" t="n">
        <v>15</v>
      </c>
      <c r="D2302" s="2">
        <f>VLOOKUP(B2302,Products!$A$2:$D$201,3,FALSE())</f>
        <v/>
      </c>
      <c r="E2302" s="2">
        <f>C2302*D2302</f>
        <v/>
      </c>
      <c r="F2302" s="2">
        <f>C2302*INDEX(Products!$D$2:$D$201,MATCH(B2302,Products!$A$2:$A$201,0))</f>
        <v/>
      </c>
      <c r="G2302" s="2">
        <f>E2302-F2302</f>
        <v/>
      </c>
    </row>
    <row r="2303" ht="15" customHeight="1" s="1">
      <c r="A2303" s="2" t="n">
        <v>52301</v>
      </c>
      <c r="B2303" s="2" t="inlineStr">
        <is>
          <t>SKU-0060</t>
        </is>
      </c>
      <c r="C2303" s="2" t="n">
        <v>3</v>
      </c>
      <c r="D2303" s="2">
        <f>VLOOKUP(B2303,Products!$A$2:$D$201,3,FALSE())</f>
        <v/>
      </c>
      <c r="E2303" s="2">
        <f>C2303*D2303</f>
        <v/>
      </c>
      <c r="F2303" s="2">
        <f>C2303*INDEX(Products!$D$2:$D$201,MATCH(B2303,Products!$A$2:$A$201,0))</f>
        <v/>
      </c>
      <c r="G2303" s="2">
        <f>E2303-F2303</f>
        <v/>
      </c>
    </row>
    <row r="2304" ht="15" customHeight="1" s="1">
      <c r="A2304" s="2" t="n">
        <v>52302</v>
      </c>
      <c r="B2304" s="2" t="inlineStr">
        <is>
          <t>SKU-0033</t>
        </is>
      </c>
      <c r="C2304" s="2" t="n">
        <v>6</v>
      </c>
      <c r="D2304" s="2">
        <f>VLOOKUP(B2304,Products!$A$2:$D$201,3,FALSE())</f>
        <v/>
      </c>
      <c r="E2304" s="2">
        <f>C2304*D2304</f>
        <v/>
      </c>
      <c r="F2304" s="2">
        <f>C2304*INDEX(Products!$D$2:$D$201,MATCH(B2304,Products!$A$2:$A$201,0))</f>
        <v/>
      </c>
      <c r="G2304" s="2">
        <f>E2304-F2304</f>
        <v/>
      </c>
    </row>
    <row r="2305" ht="15" customHeight="1" s="1">
      <c r="A2305" s="2" t="n">
        <v>52303</v>
      </c>
      <c r="B2305" s="2" t="inlineStr">
        <is>
          <t>SKU-0080</t>
        </is>
      </c>
      <c r="C2305" s="2" t="n">
        <v>17</v>
      </c>
      <c r="D2305" s="2">
        <f>VLOOKUP(B2305,Products!$A$2:$D$201,3,FALSE())</f>
        <v/>
      </c>
      <c r="E2305" s="2">
        <f>C2305*D2305</f>
        <v/>
      </c>
      <c r="F2305" s="2">
        <f>C2305*INDEX(Products!$D$2:$D$201,MATCH(B2305,Products!$A$2:$A$201,0))</f>
        <v/>
      </c>
      <c r="G2305" s="2">
        <f>E2305-F2305</f>
        <v/>
      </c>
    </row>
    <row r="2306" ht="15" customHeight="1" s="1">
      <c r="A2306" s="2" t="n">
        <v>52304</v>
      </c>
      <c r="B2306" s="2" t="inlineStr">
        <is>
          <t>SKU-0041</t>
        </is>
      </c>
      <c r="C2306" s="2" t="n">
        <v>11</v>
      </c>
      <c r="D2306" s="2">
        <f>VLOOKUP(B2306,Products!$A$2:$D$201,3,FALSE())</f>
        <v/>
      </c>
      <c r="E2306" s="2">
        <f>C2306*D2306</f>
        <v/>
      </c>
      <c r="F2306" s="2">
        <f>C2306*INDEX(Products!$D$2:$D$201,MATCH(B2306,Products!$A$2:$A$201,0))</f>
        <v/>
      </c>
      <c r="G2306" s="2">
        <f>E2306-F2306</f>
        <v/>
      </c>
    </row>
    <row r="2307" ht="15" customHeight="1" s="1">
      <c r="A2307" s="2" t="n">
        <v>52305</v>
      </c>
      <c r="B2307" s="2" t="inlineStr">
        <is>
          <t>SKU-0102</t>
        </is>
      </c>
      <c r="C2307" s="2" t="n">
        <v>17</v>
      </c>
      <c r="D2307" s="2">
        <f>VLOOKUP(B2307,Products!$A$2:$D$201,3,FALSE())</f>
        <v/>
      </c>
      <c r="E2307" s="2">
        <f>C2307*D2307</f>
        <v/>
      </c>
      <c r="F2307" s="2">
        <f>C2307*INDEX(Products!$D$2:$D$201,MATCH(B2307,Products!$A$2:$A$201,0))</f>
        <v/>
      </c>
      <c r="G2307" s="2">
        <f>E2307-F2307</f>
        <v/>
      </c>
    </row>
    <row r="2308" ht="15" customHeight="1" s="1">
      <c r="A2308" s="2" t="n">
        <v>52306</v>
      </c>
      <c r="B2308" s="2" t="inlineStr">
        <is>
          <t>SKU-0178</t>
        </is>
      </c>
      <c r="C2308" s="2" t="n">
        <v>8</v>
      </c>
      <c r="D2308" s="2">
        <f>VLOOKUP(B2308,Products!$A$2:$D$201,3,FALSE())</f>
        <v/>
      </c>
      <c r="E2308" s="2">
        <f>C2308*D2308</f>
        <v/>
      </c>
      <c r="F2308" s="2">
        <f>C2308*INDEX(Products!$D$2:$D$201,MATCH(B2308,Products!$A$2:$A$201,0))</f>
        <v/>
      </c>
      <c r="G2308" s="2">
        <f>E2308-F2308</f>
        <v/>
      </c>
    </row>
    <row r="2309" ht="15" customHeight="1" s="1">
      <c r="A2309" s="2" t="n">
        <v>52307</v>
      </c>
      <c r="B2309" s="2" t="inlineStr">
        <is>
          <t>SKU-0076</t>
        </is>
      </c>
      <c r="C2309" s="2" t="n">
        <v>18</v>
      </c>
      <c r="D2309" s="2">
        <f>VLOOKUP(B2309,Products!$A$2:$D$201,3,FALSE())</f>
        <v/>
      </c>
      <c r="E2309" s="2">
        <f>C2309*D2309</f>
        <v/>
      </c>
      <c r="F2309" s="2">
        <f>C2309*INDEX(Products!$D$2:$D$201,MATCH(B2309,Products!$A$2:$A$201,0))</f>
        <v/>
      </c>
      <c r="G2309" s="2">
        <f>E2309-F2309</f>
        <v/>
      </c>
    </row>
    <row r="2310" ht="15" customHeight="1" s="1">
      <c r="A2310" s="2" t="n">
        <v>52308</v>
      </c>
      <c r="B2310" s="2" t="inlineStr">
        <is>
          <t>SKU-0035</t>
        </is>
      </c>
      <c r="C2310" s="2" t="n">
        <v>11</v>
      </c>
      <c r="D2310" s="2">
        <f>VLOOKUP(B2310,Products!$A$2:$D$201,3,FALSE())</f>
        <v/>
      </c>
      <c r="E2310" s="2">
        <f>C2310*D2310</f>
        <v/>
      </c>
      <c r="F2310" s="2">
        <f>C2310*INDEX(Products!$D$2:$D$201,MATCH(B2310,Products!$A$2:$A$201,0))</f>
        <v/>
      </c>
      <c r="G2310" s="2">
        <f>E2310-F2310</f>
        <v/>
      </c>
    </row>
    <row r="2311" ht="15" customHeight="1" s="1">
      <c r="A2311" s="2" t="n">
        <v>52309</v>
      </c>
      <c r="B2311" s="2" t="inlineStr">
        <is>
          <t>SKU-0078</t>
        </is>
      </c>
      <c r="C2311" s="2" t="n">
        <v>15</v>
      </c>
      <c r="D2311" s="2">
        <f>VLOOKUP(B2311,Products!$A$2:$D$201,3,FALSE())</f>
        <v/>
      </c>
      <c r="E2311" s="2">
        <f>C2311*D2311</f>
        <v/>
      </c>
      <c r="F2311" s="2">
        <f>C2311*INDEX(Products!$D$2:$D$201,MATCH(B2311,Products!$A$2:$A$201,0))</f>
        <v/>
      </c>
      <c r="G2311" s="2">
        <f>E2311-F2311</f>
        <v/>
      </c>
    </row>
    <row r="2312" ht="15" customHeight="1" s="1">
      <c r="A2312" s="2" t="n">
        <v>52310</v>
      </c>
      <c r="B2312" s="2" t="inlineStr">
        <is>
          <t>SKU-0049</t>
        </is>
      </c>
      <c r="C2312" s="2" t="n">
        <v>6</v>
      </c>
      <c r="D2312" s="2">
        <f>VLOOKUP(B2312,Products!$A$2:$D$201,3,FALSE())</f>
        <v/>
      </c>
      <c r="E2312" s="2">
        <f>C2312*D2312</f>
        <v/>
      </c>
      <c r="F2312" s="2">
        <f>C2312*INDEX(Products!$D$2:$D$201,MATCH(B2312,Products!$A$2:$A$201,0))</f>
        <v/>
      </c>
      <c r="G2312" s="2">
        <f>E2312-F2312</f>
        <v/>
      </c>
    </row>
    <row r="2313" ht="15" customHeight="1" s="1">
      <c r="A2313" s="2" t="n">
        <v>52311</v>
      </c>
      <c r="B2313" s="2" t="inlineStr">
        <is>
          <t>SKU-0189</t>
        </is>
      </c>
      <c r="C2313" s="2" t="n">
        <v>16</v>
      </c>
      <c r="D2313" s="2">
        <f>VLOOKUP(B2313,Products!$A$2:$D$201,3,FALSE())</f>
        <v/>
      </c>
      <c r="E2313" s="2">
        <f>C2313*D2313</f>
        <v/>
      </c>
      <c r="F2313" s="2">
        <f>C2313*INDEX(Products!$D$2:$D$201,MATCH(B2313,Products!$A$2:$A$201,0))</f>
        <v/>
      </c>
      <c r="G2313" s="2">
        <f>E2313-F2313</f>
        <v/>
      </c>
    </row>
    <row r="2314" ht="15" customHeight="1" s="1">
      <c r="A2314" s="2" t="n">
        <v>52312</v>
      </c>
      <c r="B2314" s="2" t="inlineStr">
        <is>
          <t>SKU-0112</t>
        </is>
      </c>
      <c r="C2314" s="2" t="n">
        <v>15</v>
      </c>
      <c r="D2314" s="2">
        <f>VLOOKUP(B2314,Products!$A$2:$D$201,3,FALSE())</f>
        <v/>
      </c>
      <c r="E2314" s="2">
        <f>C2314*D2314</f>
        <v/>
      </c>
      <c r="F2314" s="2">
        <f>C2314*INDEX(Products!$D$2:$D$201,MATCH(B2314,Products!$A$2:$A$201,0))</f>
        <v/>
      </c>
      <c r="G2314" s="2">
        <f>E2314-F2314</f>
        <v/>
      </c>
    </row>
    <row r="2315" ht="15" customHeight="1" s="1">
      <c r="A2315" s="2" t="n">
        <v>52313</v>
      </c>
      <c r="B2315" s="2" t="inlineStr">
        <is>
          <t>SKU-0084</t>
        </is>
      </c>
      <c r="C2315" s="2" t="n">
        <v>18</v>
      </c>
      <c r="D2315" s="2">
        <f>VLOOKUP(B2315,Products!$A$2:$D$201,3,FALSE())</f>
        <v/>
      </c>
      <c r="E2315" s="2">
        <f>C2315*D2315</f>
        <v/>
      </c>
      <c r="F2315" s="2">
        <f>C2315*INDEX(Products!$D$2:$D$201,MATCH(B2315,Products!$A$2:$A$201,0))</f>
        <v/>
      </c>
      <c r="G2315" s="2">
        <f>E2315-F2315</f>
        <v/>
      </c>
    </row>
    <row r="2316" ht="15" customHeight="1" s="1">
      <c r="A2316" s="2" t="n">
        <v>52314</v>
      </c>
      <c r="B2316" s="2" t="inlineStr">
        <is>
          <t>SKU-0025</t>
        </is>
      </c>
      <c r="C2316" s="2" t="n">
        <v>5</v>
      </c>
      <c r="D2316" s="2">
        <f>VLOOKUP(B2316,Products!$A$2:$D$201,3,FALSE())</f>
        <v/>
      </c>
      <c r="E2316" s="2">
        <f>C2316*D2316</f>
        <v/>
      </c>
      <c r="F2316" s="2">
        <f>C2316*INDEX(Products!$D$2:$D$201,MATCH(B2316,Products!$A$2:$A$201,0))</f>
        <v/>
      </c>
      <c r="G2316" s="2">
        <f>E2316-F2316</f>
        <v/>
      </c>
    </row>
    <row r="2317" ht="15" customHeight="1" s="1">
      <c r="A2317" s="2" t="n">
        <v>52315</v>
      </c>
      <c r="B2317" s="2" t="inlineStr">
        <is>
          <t>SKU-0195</t>
        </is>
      </c>
      <c r="C2317" s="2" t="n">
        <v>11</v>
      </c>
      <c r="D2317" s="2">
        <f>VLOOKUP(B2317,Products!$A$2:$D$201,3,FALSE())</f>
        <v/>
      </c>
      <c r="E2317" s="2">
        <f>C2317*D2317</f>
        <v/>
      </c>
      <c r="F2317" s="2">
        <f>C2317*INDEX(Products!$D$2:$D$201,MATCH(B2317,Products!$A$2:$A$201,0))</f>
        <v/>
      </c>
      <c r="G2317" s="2">
        <f>E2317-F2317</f>
        <v/>
      </c>
    </row>
    <row r="2318" ht="15" customHeight="1" s="1">
      <c r="A2318" s="2" t="n">
        <v>52316</v>
      </c>
      <c r="B2318" s="2" t="inlineStr">
        <is>
          <t>SKU-0081</t>
        </is>
      </c>
      <c r="C2318" s="2" t="n">
        <v>20</v>
      </c>
      <c r="D2318" s="2">
        <f>VLOOKUP(B2318,Products!$A$2:$D$201,3,FALSE())</f>
        <v/>
      </c>
      <c r="E2318" s="2">
        <f>C2318*D2318</f>
        <v/>
      </c>
      <c r="F2318" s="2">
        <f>C2318*INDEX(Products!$D$2:$D$201,MATCH(B2318,Products!$A$2:$A$201,0))</f>
        <v/>
      </c>
      <c r="G2318" s="2">
        <f>E2318-F2318</f>
        <v/>
      </c>
    </row>
    <row r="2319" ht="15" customHeight="1" s="1">
      <c r="A2319" s="2" t="n">
        <v>52317</v>
      </c>
      <c r="B2319" s="2" t="inlineStr">
        <is>
          <t>SKU-0065</t>
        </is>
      </c>
      <c r="C2319" s="2" t="n">
        <v>11</v>
      </c>
      <c r="D2319" s="2">
        <f>VLOOKUP(B2319,Products!$A$2:$D$201,3,FALSE())</f>
        <v/>
      </c>
      <c r="E2319" s="2">
        <f>C2319*D2319</f>
        <v/>
      </c>
      <c r="F2319" s="2">
        <f>C2319*INDEX(Products!$D$2:$D$201,MATCH(B2319,Products!$A$2:$A$201,0))</f>
        <v/>
      </c>
      <c r="G2319" s="2">
        <f>E2319-F2319</f>
        <v/>
      </c>
    </row>
    <row r="2320" ht="15" customHeight="1" s="1">
      <c r="A2320" s="2" t="n">
        <v>52318</v>
      </c>
      <c r="B2320" s="2" t="inlineStr">
        <is>
          <t>SKU-0080</t>
        </is>
      </c>
      <c r="C2320" s="2" t="n">
        <v>18</v>
      </c>
      <c r="D2320" s="2">
        <f>VLOOKUP(B2320,Products!$A$2:$D$201,3,FALSE())</f>
        <v/>
      </c>
      <c r="E2320" s="2">
        <f>C2320*D2320</f>
        <v/>
      </c>
      <c r="F2320" s="2">
        <f>C2320*INDEX(Products!$D$2:$D$201,MATCH(B2320,Products!$A$2:$A$201,0))</f>
        <v/>
      </c>
      <c r="G2320" s="2">
        <f>E2320-F2320</f>
        <v/>
      </c>
    </row>
    <row r="2321" ht="15" customHeight="1" s="1">
      <c r="A2321" s="2" t="n">
        <v>52319</v>
      </c>
      <c r="B2321" s="2" t="inlineStr">
        <is>
          <t>SKU-0052</t>
        </is>
      </c>
      <c r="C2321" s="2" t="n">
        <v>3</v>
      </c>
      <c r="D2321" s="2">
        <f>VLOOKUP(B2321,Products!$A$2:$D$201,3,FALSE())</f>
        <v/>
      </c>
      <c r="E2321" s="2">
        <f>C2321*D2321</f>
        <v/>
      </c>
      <c r="F2321" s="2">
        <f>C2321*INDEX(Products!$D$2:$D$201,MATCH(B2321,Products!$A$2:$A$201,0))</f>
        <v/>
      </c>
      <c r="G2321" s="2">
        <f>E2321-F2321</f>
        <v/>
      </c>
    </row>
    <row r="2322" ht="15" customHeight="1" s="1">
      <c r="A2322" s="2" t="n">
        <v>52320</v>
      </c>
      <c r="B2322" s="2" t="inlineStr">
        <is>
          <t>SKU-0171</t>
        </is>
      </c>
      <c r="C2322" s="2" t="n">
        <v>19</v>
      </c>
      <c r="D2322" s="2">
        <f>VLOOKUP(B2322,Products!$A$2:$D$201,3,FALSE())</f>
        <v/>
      </c>
      <c r="E2322" s="2">
        <f>C2322*D2322</f>
        <v/>
      </c>
      <c r="F2322" s="2">
        <f>C2322*INDEX(Products!$D$2:$D$201,MATCH(B2322,Products!$A$2:$A$201,0))</f>
        <v/>
      </c>
      <c r="G2322" s="2">
        <f>E2322-F2322</f>
        <v/>
      </c>
    </row>
    <row r="2323" ht="15" customHeight="1" s="1">
      <c r="A2323" s="2" t="n">
        <v>52321</v>
      </c>
      <c r="B2323" s="2" t="inlineStr">
        <is>
          <t>SKU-0161</t>
        </is>
      </c>
      <c r="C2323" s="2" t="n">
        <v>10</v>
      </c>
      <c r="D2323" s="2">
        <f>VLOOKUP(B2323,Products!$A$2:$D$201,3,FALSE())</f>
        <v/>
      </c>
      <c r="E2323" s="2">
        <f>C2323*D2323</f>
        <v/>
      </c>
      <c r="F2323" s="2">
        <f>C2323*INDEX(Products!$D$2:$D$201,MATCH(B2323,Products!$A$2:$A$201,0))</f>
        <v/>
      </c>
      <c r="G2323" s="2">
        <f>E2323-F2323</f>
        <v/>
      </c>
    </row>
    <row r="2324" ht="15" customHeight="1" s="1">
      <c r="A2324" s="2" t="n">
        <v>52322</v>
      </c>
      <c r="B2324" s="2" t="inlineStr">
        <is>
          <t>SKU-0122</t>
        </is>
      </c>
      <c r="C2324" s="2" t="n">
        <v>15</v>
      </c>
      <c r="D2324" s="2">
        <f>VLOOKUP(B2324,Products!$A$2:$D$201,3,FALSE())</f>
        <v/>
      </c>
      <c r="E2324" s="2">
        <f>C2324*D2324</f>
        <v/>
      </c>
      <c r="F2324" s="2">
        <f>C2324*INDEX(Products!$D$2:$D$201,MATCH(B2324,Products!$A$2:$A$201,0))</f>
        <v/>
      </c>
      <c r="G2324" s="2">
        <f>E2324-F2324</f>
        <v/>
      </c>
    </row>
    <row r="2325" ht="15" customHeight="1" s="1">
      <c r="A2325" s="2" t="n">
        <v>52323</v>
      </c>
      <c r="B2325" s="2" t="inlineStr">
        <is>
          <t>SKU-0026</t>
        </is>
      </c>
      <c r="C2325" s="2" t="n">
        <v>14</v>
      </c>
      <c r="D2325" s="2">
        <f>VLOOKUP(B2325,Products!$A$2:$D$201,3,FALSE())</f>
        <v/>
      </c>
      <c r="E2325" s="2">
        <f>C2325*D2325</f>
        <v/>
      </c>
      <c r="F2325" s="2">
        <f>C2325*INDEX(Products!$D$2:$D$201,MATCH(B2325,Products!$A$2:$A$201,0))</f>
        <v/>
      </c>
      <c r="G2325" s="2">
        <f>E2325-F2325</f>
        <v/>
      </c>
    </row>
    <row r="2326" ht="15" customHeight="1" s="1">
      <c r="A2326" s="2" t="n">
        <v>52324</v>
      </c>
      <c r="B2326" s="2" t="inlineStr">
        <is>
          <t>SKU-0176</t>
        </is>
      </c>
      <c r="C2326" s="2" t="n">
        <v>9</v>
      </c>
      <c r="D2326" s="2">
        <f>VLOOKUP(B2326,Products!$A$2:$D$201,3,FALSE())</f>
        <v/>
      </c>
      <c r="E2326" s="2">
        <f>C2326*D2326</f>
        <v/>
      </c>
      <c r="F2326" s="2">
        <f>C2326*INDEX(Products!$D$2:$D$201,MATCH(B2326,Products!$A$2:$A$201,0))</f>
        <v/>
      </c>
      <c r="G2326" s="2">
        <f>E2326-F2326</f>
        <v/>
      </c>
    </row>
    <row r="2327" ht="15" customHeight="1" s="1">
      <c r="A2327" s="2" t="n">
        <v>52325</v>
      </c>
      <c r="B2327" s="2" t="inlineStr">
        <is>
          <t>SKU-0180</t>
        </is>
      </c>
      <c r="C2327" s="2" t="n">
        <v>19</v>
      </c>
      <c r="D2327" s="2">
        <f>VLOOKUP(B2327,Products!$A$2:$D$201,3,FALSE())</f>
        <v/>
      </c>
      <c r="E2327" s="2">
        <f>C2327*D2327</f>
        <v/>
      </c>
      <c r="F2327" s="2">
        <f>C2327*INDEX(Products!$D$2:$D$201,MATCH(B2327,Products!$A$2:$A$201,0))</f>
        <v/>
      </c>
      <c r="G2327" s="2">
        <f>E2327-F2327</f>
        <v/>
      </c>
    </row>
    <row r="2328" ht="15" customHeight="1" s="1">
      <c r="A2328" s="2" t="n">
        <v>52326</v>
      </c>
      <c r="B2328" s="2" t="inlineStr">
        <is>
          <t>SKU-0083</t>
        </is>
      </c>
      <c r="C2328" s="2" t="n">
        <v>3</v>
      </c>
      <c r="D2328" s="2">
        <f>VLOOKUP(B2328,Products!$A$2:$D$201,3,FALSE())</f>
        <v/>
      </c>
      <c r="E2328" s="2">
        <f>C2328*D2328</f>
        <v/>
      </c>
      <c r="F2328" s="2">
        <f>C2328*INDEX(Products!$D$2:$D$201,MATCH(B2328,Products!$A$2:$A$201,0))</f>
        <v/>
      </c>
      <c r="G2328" s="2">
        <f>E2328-F2328</f>
        <v/>
      </c>
    </row>
    <row r="2329" ht="15" customHeight="1" s="1">
      <c r="A2329" s="2" t="n">
        <v>52327</v>
      </c>
      <c r="B2329" s="2" t="inlineStr">
        <is>
          <t>SKU-0042</t>
        </is>
      </c>
      <c r="C2329" s="2" t="n">
        <v>11</v>
      </c>
      <c r="D2329" s="2">
        <f>VLOOKUP(B2329,Products!$A$2:$D$201,3,FALSE())</f>
        <v/>
      </c>
      <c r="E2329" s="2">
        <f>C2329*D2329</f>
        <v/>
      </c>
      <c r="F2329" s="2">
        <f>C2329*INDEX(Products!$D$2:$D$201,MATCH(B2329,Products!$A$2:$A$201,0))</f>
        <v/>
      </c>
      <c r="G2329" s="2">
        <f>E2329-F2329</f>
        <v/>
      </c>
    </row>
    <row r="2330" ht="15" customHeight="1" s="1">
      <c r="A2330" s="2" t="n">
        <v>52328</v>
      </c>
      <c r="B2330" s="2" t="inlineStr">
        <is>
          <t>SKU-0081</t>
        </is>
      </c>
      <c r="C2330" s="2" t="n">
        <v>5</v>
      </c>
      <c r="D2330" s="2">
        <f>VLOOKUP(B2330,Products!$A$2:$D$201,3,FALSE())</f>
        <v/>
      </c>
      <c r="E2330" s="2">
        <f>C2330*D2330</f>
        <v/>
      </c>
      <c r="F2330" s="2">
        <f>C2330*INDEX(Products!$D$2:$D$201,MATCH(B2330,Products!$A$2:$A$201,0))</f>
        <v/>
      </c>
      <c r="G2330" s="2">
        <f>E2330-F2330</f>
        <v/>
      </c>
    </row>
    <row r="2331" ht="15" customHeight="1" s="1">
      <c r="A2331" s="2" t="n">
        <v>52329</v>
      </c>
      <c r="B2331" s="2" t="inlineStr">
        <is>
          <t>SKU-0176</t>
        </is>
      </c>
      <c r="C2331" s="2" t="n">
        <v>2</v>
      </c>
      <c r="D2331" s="2">
        <f>VLOOKUP(B2331,Products!$A$2:$D$201,3,FALSE())</f>
        <v/>
      </c>
      <c r="E2331" s="2">
        <f>C2331*D2331</f>
        <v/>
      </c>
      <c r="F2331" s="2">
        <f>C2331*INDEX(Products!$D$2:$D$201,MATCH(B2331,Products!$A$2:$A$201,0))</f>
        <v/>
      </c>
      <c r="G2331" s="2">
        <f>E2331-F2331</f>
        <v/>
      </c>
    </row>
    <row r="2332" ht="15" customHeight="1" s="1">
      <c r="A2332" s="2" t="n">
        <v>52330</v>
      </c>
      <c r="B2332" s="2" t="inlineStr">
        <is>
          <t>SKU-0133</t>
        </is>
      </c>
      <c r="C2332" s="2" t="n">
        <v>1</v>
      </c>
      <c r="D2332" s="2">
        <f>VLOOKUP(B2332,Products!$A$2:$D$201,3,FALSE())</f>
        <v/>
      </c>
      <c r="E2332" s="2">
        <f>C2332*D2332</f>
        <v/>
      </c>
      <c r="F2332" s="2">
        <f>C2332*INDEX(Products!$D$2:$D$201,MATCH(B2332,Products!$A$2:$A$201,0))</f>
        <v/>
      </c>
      <c r="G2332" s="2">
        <f>E2332-F2332</f>
        <v/>
      </c>
    </row>
    <row r="2333" ht="15" customHeight="1" s="1">
      <c r="A2333" s="2" t="n">
        <v>52331</v>
      </c>
      <c r="B2333" s="2" t="inlineStr">
        <is>
          <t>SKU-0043</t>
        </is>
      </c>
      <c r="C2333" s="2" t="n">
        <v>13</v>
      </c>
      <c r="D2333" s="2">
        <f>VLOOKUP(B2333,Products!$A$2:$D$201,3,FALSE())</f>
        <v/>
      </c>
      <c r="E2333" s="2">
        <f>C2333*D2333</f>
        <v/>
      </c>
      <c r="F2333" s="2">
        <f>C2333*INDEX(Products!$D$2:$D$201,MATCH(B2333,Products!$A$2:$A$201,0))</f>
        <v/>
      </c>
      <c r="G2333" s="2">
        <f>E2333-F2333</f>
        <v/>
      </c>
    </row>
    <row r="2334" ht="15" customHeight="1" s="1">
      <c r="A2334" s="2" t="n">
        <v>52332</v>
      </c>
      <c r="B2334" s="2" t="inlineStr">
        <is>
          <t>SKU-0089</t>
        </is>
      </c>
      <c r="C2334" s="2" t="n">
        <v>14</v>
      </c>
      <c r="D2334" s="2">
        <f>VLOOKUP(B2334,Products!$A$2:$D$201,3,FALSE())</f>
        <v/>
      </c>
      <c r="E2334" s="2">
        <f>C2334*D2334</f>
        <v/>
      </c>
      <c r="F2334" s="2">
        <f>C2334*INDEX(Products!$D$2:$D$201,MATCH(B2334,Products!$A$2:$A$201,0))</f>
        <v/>
      </c>
      <c r="G2334" s="2">
        <f>E2334-F2334</f>
        <v/>
      </c>
    </row>
    <row r="2335" ht="15" customHeight="1" s="1">
      <c r="A2335" s="2" t="n">
        <v>52333</v>
      </c>
      <c r="B2335" s="2" t="inlineStr">
        <is>
          <t>SKU-0127</t>
        </is>
      </c>
      <c r="C2335" s="2" t="n">
        <v>11</v>
      </c>
      <c r="D2335" s="2">
        <f>VLOOKUP(B2335,Products!$A$2:$D$201,3,FALSE())</f>
        <v/>
      </c>
      <c r="E2335" s="2">
        <f>C2335*D2335</f>
        <v/>
      </c>
      <c r="F2335" s="2">
        <f>C2335*INDEX(Products!$D$2:$D$201,MATCH(B2335,Products!$A$2:$A$201,0))</f>
        <v/>
      </c>
      <c r="G2335" s="2">
        <f>E2335-F2335</f>
        <v/>
      </c>
    </row>
    <row r="2336" ht="15" customHeight="1" s="1">
      <c r="A2336" s="2" t="n">
        <v>52334</v>
      </c>
      <c r="B2336" s="2" t="inlineStr">
        <is>
          <t>SKU-0109</t>
        </is>
      </c>
      <c r="C2336" s="2" t="n">
        <v>6</v>
      </c>
      <c r="D2336" s="2">
        <f>VLOOKUP(B2336,Products!$A$2:$D$201,3,FALSE())</f>
        <v/>
      </c>
      <c r="E2336" s="2">
        <f>C2336*D2336</f>
        <v/>
      </c>
      <c r="F2336" s="2">
        <f>C2336*INDEX(Products!$D$2:$D$201,MATCH(B2336,Products!$A$2:$A$201,0))</f>
        <v/>
      </c>
      <c r="G2336" s="2">
        <f>E2336-F2336</f>
        <v/>
      </c>
    </row>
    <row r="2337" ht="15" customHeight="1" s="1">
      <c r="A2337" s="2" t="n">
        <v>52335</v>
      </c>
      <c r="B2337" s="2" t="inlineStr">
        <is>
          <t>SKU-0018</t>
        </is>
      </c>
      <c r="C2337" s="2" t="n">
        <v>15</v>
      </c>
      <c r="D2337" s="2">
        <f>VLOOKUP(B2337,Products!$A$2:$D$201,3,FALSE())</f>
        <v/>
      </c>
      <c r="E2337" s="2">
        <f>C2337*D2337</f>
        <v/>
      </c>
      <c r="F2337" s="2">
        <f>C2337*INDEX(Products!$D$2:$D$201,MATCH(B2337,Products!$A$2:$A$201,0))</f>
        <v/>
      </c>
      <c r="G2337" s="2">
        <f>E2337-F2337</f>
        <v/>
      </c>
    </row>
    <row r="2338" ht="15" customHeight="1" s="1">
      <c r="A2338" s="2" t="n">
        <v>52336</v>
      </c>
      <c r="B2338" s="2" t="inlineStr">
        <is>
          <t>SKU-0086</t>
        </is>
      </c>
      <c r="C2338" s="2" t="n">
        <v>2</v>
      </c>
      <c r="D2338" s="2">
        <f>VLOOKUP(B2338,Products!$A$2:$D$201,3,FALSE())</f>
        <v/>
      </c>
      <c r="E2338" s="2">
        <f>C2338*D2338</f>
        <v/>
      </c>
      <c r="F2338" s="2">
        <f>C2338*INDEX(Products!$D$2:$D$201,MATCH(B2338,Products!$A$2:$A$201,0))</f>
        <v/>
      </c>
      <c r="G2338" s="2">
        <f>E2338-F2338</f>
        <v/>
      </c>
    </row>
    <row r="2339" ht="15" customHeight="1" s="1">
      <c r="A2339" s="2" t="n">
        <v>52337</v>
      </c>
      <c r="B2339" s="2" t="inlineStr">
        <is>
          <t>SKU-0005</t>
        </is>
      </c>
      <c r="C2339" s="2" t="n">
        <v>1</v>
      </c>
      <c r="D2339" s="2">
        <f>VLOOKUP(B2339,Products!$A$2:$D$201,3,FALSE())</f>
        <v/>
      </c>
      <c r="E2339" s="2">
        <f>C2339*D2339</f>
        <v/>
      </c>
      <c r="F2339" s="2">
        <f>C2339*INDEX(Products!$D$2:$D$201,MATCH(B2339,Products!$A$2:$A$201,0))</f>
        <v/>
      </c>
      <c r="G2339" s="2">
        <f>E2339-F2339</f>
        <v/>
      </c>
    </row>
    <row r="2340" ht="15" customHeight="1" s="1">
      <c r="A2340" s="2" t="n">
        <v>52338</v>
      </c>
      <c r="B2340" s="2" t="inlineStr">
        <is>
          <t>SKU-0022</t>
        </is>
      </c>
      <c r="C2340" s="2" t="n">
        <v>14</v>
      </c>
      <c r="D2340" s="2">
        <f>VLOOKUP(B2340,Products!$A$2:$D$201,3,FALSE())</f>
        <v/>
      </c>
      <c r="E2340" s="2">
        <f>C2340*D2340</f>
        <v/>
      </c>
      <c r="F2340" s="2">
        <f>C2340*INDEX(Products!$D$2:$D$201,MATCH(B2340,Products!$A$2:$A$201,0))</f>
        <v/>
      </c>
      <c r="G2340" s="2">
        <f>E2340-F2340</f>
        <v/>
      </c>
    </row>
    <row r="2341" ht="15" customHeight="1" s="1">
      <c r="A2341" s="2" t="n">
        <v>52339</v>
      </c>
      <c r="B2341" s="2" t="inlineStr">
        <is>
          <t>SKU-0039</t>
        </is>
      </c>
      <c r="C2341" s="2" t="n">
        <v>15</v>
      </c>
      <c r="D2341" s="2">
        <f>VLOOKUP(B2341,Products!$A$2:$D$201,3,FALSE())</f>
        <v/>
      </c>
      <c r="E2341" s="2">
        <f>C2341*D2341</f>
        <v/>
      </c>
      <c r="F2341" s="2">
        <f>C2341*INDEX(Products!$D$2:$D$201,MATCH(B2341,Products!$A$2:$A$201,0))</f>
        <v/>
      </c>
      <c r="G2341" s="2">
        <f>E2341-F2341</f>
        <v/>
      </c>
    </row>
    <row r="2342" ht="15" customHeight="1" s="1">
      <c r="A2342" s="2" t="n">
        <v>52340</v>
      </c>
      <c r="B2342" s="2" t="inlineStr">
        <is>
          <t>SKU-0068</t>
        </is>
      </c>
      <c r="C2342" s="2" t="n">
        <v>6</v>
      </c>
      <c r="D2342" s="2">
        <f>VLOOKUP(B2342,Products!$A$2:$D$201,3,FALSE())</f>
        <v/>
      </c>
      <c r="E2342" s="2">
        <f>C2342*D2342</f>
        <v/>
      </c>
      <c r="F2342" s="2">
        <f>C2342*INDEX(Products!$D$2:$D$201,MATCH(B2342,Products!$A$2:$A$201,0))</f>
        <v/>
      </c>
      <c r="G2342" s="2">
        <f>E2342-F2342</f>
        <v/>
      </c>
    </row>
    <row r="2343" ht="15" customHeight="1" s="1">
      <c r="A2343" s="2" t="n">
        <v>52341</v>
      </c>
      <c r="B2343" s="2" t="inlineStr">
        <is>
          <t>SKU-0061</t>
        </is>
      </c>
      <c r="C2343" s="2" t="n">
        <v>12</v>
      </c>
      <c r="D2343" s="2">
        <f>VLOOKUP(B2343,Products!$A$2:$D$201,3,FALSE())</f>
        <v/>
      </c>
      <c r="E2343" s="2">
        <f>C2343*D2343</f>
        <v/>
      </c>
      <c r="F2343" s="2">
        <f>C2343*INDEX(Products!$D$2:$D$201,MATCH(B2343,Products!$A$2:$A$201,0))</f>
        <v/>
      </c>
      <c r="G2343" s="2">
        <f>E2343-F2343</f>
        <v/>
      </c>
    </row>
    <row r="2344" ht="15" customHeight="1" s="1">
      <c r="A2344" s="2" t="n">
        <v>52342</v>
      </c>
      <c r="B2344" s="2" t="inlineStr">
        <is>
          <t>SKU-0086</t>
        </is>
      </c>
      <c r="C2344" s="2" t="n">
        <v>7</v>
      </c>
      <c r="D2344" s="2">
        <f>VLOOKUP(B2344,Products!$A$2:$D$201,3,FALSE())</f>
        <v/>
      </c>
      <c r="E2344" s="2">
        <f>C2344*D2344</f>
        <v/>
      </c>
      <c r="F2344" s="2">
        <f>C2344*INDEX(Products!$D$2:$D$201,MATCH(B2344,Products!$A$2:$A$201,0))</f>
        <v/>
      </c>
      <c r="G2344" s="2">
        <f>E2344-F2344</f>
        <v/>
      </c>
    </row>
    <row r="2345" ht="15" customHeight="1" s="1">
      <c r="A2345" s="2" t="n">
        <v>52343</v>
      </c>
      <c r="B2345" s="2" t="inlineStr">
        <is>
          <t>SKU-0039</t>
        </is>
      </c>
      <c r="C2345" s="2" t="n">
        <v>18</v>
      </c>
      <c r="D2345" s="2">
        <f>VLOOKUP(B2345,Products!$A$2:$D$201,3,FALSE())</f>
        <v/>
      </c>
      <c r="E2345" s="2">
        <f>C2345*D2345</f>
        <v/>
      </c>
      <c r="F2345" s="2">
        <f>C2345*INDEX(Products!$D$2:$D$201,MATCH(B2345,Products!$A$2:$A$201,0))</f>
        <v/>
      </c>
      <c r="G2345" s="2">
        <f>E2345-F2345</f>
        <v/>
      </c>
    </row>
    <row r="2346" ht="15" customHeight="1" s="1">
      <c r="A2346" s="2" t="n">
        <v>52344</v>
      </c>
      <c r="B2346" s="2" t="inlineStr">
        <is>
          <t>SKU-0058</t>
        </is>
      </c>
      <c r="C2346" s="2" t="n">
        <v>9</v>
      </c>
      <c r="D2346" s="2">
        <f>VLOOKUP(B2346,Products!$A$2:$D$201,3,FALSE())</f>
        <v/>
      </c>
      <c r="E2346" s="2">
        <f>C2346*D2346</f>
        <v/>
      </c>
      <c r="F2346" s="2">
        <f>C2346*INDEX(Products!$D$2:$D$201,MATCH(B2346,Products!$A$2:$A$201,0))</f>
        <v/>
      </c>
      <c r="G2346" s="2">
        <f>E2346-F2346</f>
        <v/>
      </c>
    </row>
    <row r="2347" ht="15" customHeight="1" s="1">
      <c r="A2347" s="2" t="n">
        <v>52345</v>
      </c>
      <c r="B2347" s="2" t="inlineStr">
        <is>
          <t>SKU-0197</t>
        </is>
      </c>
      <c r="C2347" s="2" t="n">
        <v>11</v>
      </c>
      <c r="D2347" s="2">
        <f>VLOOKUP(B2347,Products!$A$2:$D$201,3,FALSE())</f>
        <v/>
      </c>
      <c r="E2347" s="2">
        <f>C2347*D2347</f>
        <v/>
      </c>
      <c r="F2347" s="2">
        <f>C2347*INDEX(Products!$D$2:$D$201,MATCH(B2347,Products!$A$2:$A$201,0))</f>
        <v/>
      </c>
      <c r="G2347" s="2">
        <f>E2347-F2347</f>
        <v/>
      </c>
    </row>
    <row r="2348" ht="15" customHeight="1" s="1">
      <c r="A2348" s="2" t="n">
        <v>52346</v>
      </c>
      <c r="B2348" s="2" t="inlineStr">
        <is>
          <t>SKU-0152</t>
        </is>
      </c>
      <c r="C2348" s="2" t="n">
        <v>17</v>
      </c>
      <c r="D2348" s="2">
        <f>VLOOKUP(B2348,Products!$A$2:$D$201,3,FALSE())</f>
        <v/>
      </c>
      <c r="E2348" s="2">
        <f>C2348*D2348</f>
        <v/>
      </c>
      <c r="F2348" s="2">
        <f>C2348*INDEX(Products!$D$2:$D$201,MATCH(B2348,Products!$A$2:$A$201,0))</f>
        <v/>
      </c>
      <c r="G2348" s="2">
        <f>E2348-F2348</f>
        <v/>
      </c>
    </row>
    <row r="2349" ht="15" customHeight="1" s="1">
      <c r="A2349" s="2" t="n">
        <v>52347</v>
      </c>
      <c r="B2349" s="2" t="inlineStr">
        <is>
          <t>SKU-0109</t>
        </is>
      </c>
      <c r="C2349" s="2" t="n">
        <v>17</v>
      </c>
      <c r="D2349" s="2">
        <f>VLOOKUP(B2349,Products!$A$2:$D$201,3,FALSE())</f>
        <v/>
      </c>
      <c r="E2349" s="2">
        <f>C2349*D2349</f>
        <v/>
      </c>
      <c r="F2349" s="2">
        <f>C2349*INDEX(Products!$D$2:$D$201,MATCH(B2349,Products!$A$2:$A$201,0))</f>
        <v/>
      </c>
      <c r="G2349" s="2">
        <f>E2349-F2349</f>
        <v/>
      </c>
    </row>
    <row r="2350" ht="15" customHeight="1" s="1">
      <c r="A2350" s="2" t="n">
        <v>52348</v>
      </c>
      <c r="B2350" s="2" t="inlineStr">
        <is>
          <t>SKU-0183</t>
        </is>
      </c>
      <c r="C2350" s="2" t="n">
        <v>10</v>
      </c>
      <c r="D2350" s="2">
        <f>VLOOKUP(B2350,Products!$A$2:$D$201,3,FALSE())</f>
        <v/>
      </c>
      <c r="E2350" s="2">
        <f>C2350*D2350</f>
        <v/>
      </c>
      <c r="F2350" s="2">
        <f>C2350*INDEX(Products!$D$2:$D$201,MATCH(B2350,Products!$A$2:$A$201,0))</f>
        <v/>
      </c>
      <c r="G2350" s="2">
        <f>E2350-F2350</f>
        <v/>
      </c>
    </row>
    <row r="2351" ht="15" customHeight="1" s="1">
      <c r="A2351" s="2" t="n">
        <v>52349</v>
      </c>
      <c r="B2351" s="2" t="inlineStr">
        <is>
          <t>SKU-0001</t>
        </is>
      </c>
      <c r="C2351" s="2" t="n">
        <v>18</v>
      </c>
      <c r="D2351" s="2">
        <f>VLOOKUP(B2351,Products!$A$2:$D$201,3,FALSE())</f>
        <v/>
      </c>
      <c r="E2351" s="2">
        <f>C2351*D2351</f>
        <v/>
      </c>
      <c r="F2351" s="2">
        <f>C2351*INDEX(Products!$D$2:$D$201,MATCH(B2351,Products!$A$2:$A$201,0))</f>
        <v/>
      </c>
      <c r="G2351" s="2">
        <f>E2351-F2351</f>
        <v/>
      </c>
    </row>
    <row r="2352" ht="15" customHeight="1" s="1">
      <c r="A2352" s="2" t="n">
        <v>52350</v>
      </c>
      <c r="B2352" s="2" t="inlineStr">
        <is>
          <t>SKU-0082</t>
        </is>
      </c>
      <c r="C2352" s="2" t="n">
        <v>16</v>
      </c>
      <c r="D2352" s="2">
        <f>VLOOKUP(B2352,Products!$A$2:$D$201,3,FALSE())</f>
        <v/>
      </c>
      <c r="E2352" s="2">
        <f>C2352*D2352</f>
        <v/>
      </c>
      <c r="F2352" s="2">
        <f>C2352*INDEX(Products!$D$2:$D$201,MATCH(B2352,Products!$A$2:$A$201,0))</f>
        <v/>
      </c>
      <c r="G2352" s="2">
        <f>E2352-F2352</f>
        <v/>
      </c>
    </row>
    <row r="2353" ht="15" customHeight="1" s="1">
      <c r="A2353" s="2" t="n">
        <v>52351</v>
      </c>
      <c r="B2353" s="2" t="inlineStr">
        <is>
          <t>SKU-0090</t>
        </is>
      </c>
      <c r="C2353" s="2" t="n">
        <v>17</v>
      </c>
      <c r="D2353" s="2">
        <f>VLOOKUP(B2353,Products!$A$2:$D$201,3,FALSE())</f>
        <v/>
      </c>
      <c r="E2353" s="2">
        <f>C2353*D2353</f>
        <v/>
      </c>
      <c r="F2353" s="2">
        <f>C2353*INDEX(Products!$D$2:$D$201,MATCH(B2353,Products!$A$2:$A$201,0))</f>
        <v/>
      </c>
      <c r="G2353" s="2">
        <f>E2353-F2353</f>
        <v/>
      </c>
    </row>
    <row r="2354" ht="15" customHeight="1" s="1">
      <c r="A2354" s="2" t="n">
        <v>52352</v>
      </c>
      <c r="B2354" s="2" t="inlineStr">
        <is>
          <t>SKU-0177</t>
        </is>
      </c>
      <c r="C2354" s="2" t="n">
        <v>3</v>
      </c>
      <c r="D2354" s="2">
        <f>VLOOKUP(B2354,Products!$A$2:$D$201,3,FALSE())</f>
        <v/>
      </c>
      <c r="E2354" s="2">
        <f>C2354*D2354</f>
        <v/>
      </c>
      <c r="F2354" s="2">
        <f>C2354*INDEX(Products!$D$2:$D$201,MATCH(B2354,Products!$A$2:$A$201,0))</f>
        <v/>
      </c>
      <c r="G2354" s="2">
        <f>E2354-F2354</f>
        <v/>
      </c>
    </row>
    <row r="2355" ht="15" customHeight="1" s="1">
      <c r="A2355" s="2" t="n">
        <v>52353</v>
      </c>
      <c r="B2355" s="2" t="inlineStr">
        <is>
          <t>SKU-0054</t>
        </is>
      </c>
      <c r="C2355" s="2" t="n">
        <v>15</v>
      </c>
      <c r="D2355" s="2">
        <f>VLOOKUP(B2355,Products!$A$2:$D$201,3,FALSE())</f>
        <v/>
      </c>
      <c r="E2355" s="2">
        <f>C2355*D2355</f>
        <v/>
      </c>
      <c r="F2355" s="2">
        <f>C2355*INDEX(Products!$D$2:$D$201,MATCH(B2355,Products!$A$2:$A$201,0))</f>
        <v/>
      </c>
      <c r="G2355" s="2">
        <f>E2355-F2355</f>
        <v/>
      </c>
    </row>
    <row r="2356" ht="15" customHeight="1" s="1">
      <c r="A2356" s="2" t="n">
        <v>52354</v>
      </c>
      <c r="B2356" s="2" t="inlineStr">
        <is>
          <t>SKU-0197</t>
        </is>
      </c>
      <c r="C2356" s="2" t="n">
        <v>17</v>
      </c>
      <c r="D2356" s="2">
        <f>VLOOKUP(B2356,Products!$A$2:$D$201,3,FALSE())</f>
        <v/>
      </c>
      <c r="E2356" s="2">
        <f>C2356*D2356</f>
        <v/>
      </c>
      <c r="F2356" s="2">
        <f>C2356*INDEX(Products!$D$2:$D$201,MATCH(B2356,Products!$A$2:$A$201,0))</f>
        <v/>
      </c>
      <c r="G2356" s="2">
        <f>E2356-F2356</f>
        <v/>
      </c>
    </row>
    <row r="2357" ht="15" customHeight="1" s="1">
      <c r="A2357" s="2" t="n">
        <v>52355</v>
      </c>
      <c r="B2357" s="2" t="inlineStr">
        <is>
          <t>SKU-0151</t>
        </is>
      </c>
      <c r="C2357" s="2" t="n">
        <v>6</v>
      </c>
      <c r="D2357" s="2">
        <f>VLOOKUP(B2357,Products!$A$2:$D$201,3,FALSE())</f>
        <v/>
      </c>
      <c r="E2357" s="2">
        <f>C2357*D2357</f>
        <v/>
      </c>
      <c r="F2357" s="2">
        <f>C2357*INDEX(Products!$D$2:$D$201,MATCH(B2357,Products!$A$2:$A$201,0))</f>
        <v/>
      </c>
      <c r="G2357" s="2">
        <f>E2357-F2357</f>
        <v/>
      </c>
    </row>
    <row r="2358" ht="15" customHeight="1" s="1">
      <c r="A2358" s="2" t="n">
        <v>52356</v>
      </c>
      <c r="B2358" s="2" t="inlineStr">
        <is>
          <t>SKU-0192</t>
        </is>
      </c>
      <c r="C2358" s="2" t="n">
        <v>1</v>
      </c>
      <c r="D2358" s="2">
        <f>VLOOKUP(B2358,Products!$A$2:$D$201,3,FALSE())</f>
        <v/>
      </c>
      <c r="E2358" s="2">
        <f>C2358*D2358</f>
        <v/>
      </c>
      <c r="F2358" s="2">
        <f>C2358*INDEX(Products!$D$2:$D$201,MATCH(B2358,Products!$A$2:$A$201,0))</f>
        <v/>
      </c>
      <c r="G2358" s="2">
        <f>E2358-F2358</f>
        <v/>
      </c>
    </row>
    <row r="2359" ht="15" customHeight="1" s="1">
      <c r="A2359" s="2" t="n">
        <v>52357</v>
      </c>
      <c r="B2359" s="2" t="inlineStr">
        <is>
          <t>SKU-0177</t>
        </is>
      </c>
      <c r="C2359" s="2" t="n">
        <v>12</v>
      </c>
      <c r="D2359" s="2">
        <f>VLOOKUP(B2359,Products!$A$2:$D$201,3,FALSE())</f>
        <v/>
      </c>
      <c r="E2359" s="2">
        <f>C2359*D2359</f>
        <v/>
      </c>
      <c r="F2359" s="2">
        <f>C2359*INDEX(Products!$D$2:$D$201,MATCH(B2359,Products!$A$2:$A$201,0))</f>
        <v/>
      </c>
      <c r="G2359" s="2">
        <f>E2359-F2359</f>
        <v/>
      </c>
    </row>
    <row r="2360" ht="15" customHeight="1" s="1">
      <c r="A2360" s="2" t="n">
        <v>52358</v>
      </c>
      <c r="B2360" s="2" t="inlineStr">
        <is>
          <t>SKU-0196</t>
        </is>
      </c>
      <c r="C2360" s="2" t="n">
        <v>7</v>
      </c>
      <c r="D2360" s="2">
        <f>VLOOKUP(B2360,Products!$A$2:$D$201,3,FALSE())</f>
        <v/>
      </c>
      <c r="E2360" s="2">
        <f>C2360*D2360</f>
        <v/>
      </c>
      <c r="F2360" s="2">
        <f>C2360*INDEX(Products!$D$2:$D$201,MATCH(B2360,Products!$A$2:$A$201,0))</f>
        <v/>
      </c>
      <c r="G2360" s="2">
        <f>E2360-F2360</f>
        <v/>
      </c>
    </row>
    <row r="2361" ht="15" customHeight="1" s="1">
      <c r="A2361" s="2" t="n">
        <v>52359</v>
      </c>
      <c r="B2361" s="2" t="inlineStr">
        <is>
          <t>SKU-0112</t>
        </is>
      </c>
      <c r="C2361" s="2" t="n">
        <v>17</v>
      </c>
      <c r="D2361" s="2">
        <f>VLOOKUP(B2361,Products!$A$2:$D$201,3,FALSE())</f>
        <v/>
      </c>
      <c r="E2361" s="2">
        <f>C2361*D2361</f>
        <v/>
      </c>
      <c r="F2361" s="2">
        <f>C2361*INDEX(Products!$D$2:$D$201,MATCH(B2361,Products!$A$2:$A$201,0))</f>
        <v/>
      </c>
      <c r="G2361" s="2">
        <f>E2361-F2361</f>
        <v/>
      </c>
    </row>
    <row r="2362" ht="15" customHeight="1" s="1">
      <c r="A2362" s="2" t="n">
        <v>52360</v>
      </c>
      <c r="B2362" s="2" t="inlineStr">
        <is>
          <t>SKU-0028</t>
        </is>
      </c>
      <c r="C2362" s="2" t="n">
        <v>20</v>
      </c>
      <c r="D2362" s="2">
        <f>VLOOKUP(B2362,Products!$A$2:$D$201,3,FALSE())</f>
        <v/>
      </c>
      <c r="E2362" s="2">
        <f>C2362*D2362</f>
        <v/>
      </c>
      <c r="F2362" s="2">
        <f>C2362*INDEX(Products!$D$2:$D$201,MATCH(B2362,Products!$A$2:$A$201,0))</f>
        <v/>
      </c>
      <c r="G2362" s="2">
        <f>E2362-F2362</f>
        <v/>
      </c>
    </row>
    <row r="2363" ht="15" customHeight="1" s="1">
      <c r="A2363" s="2" t="n">
        <v>52361</v>
      </c>
      <c r="B2363" s="2" t="inlineStr">
        <is>
          <t>SKU-0021</t>
        </is>
      </c>
      <c r="C2363" s="2" t="n">
        <v>7</v>
      </c>
      <c r="D2363" s="2">
        <f>VLOOKUP(B2363,Products!$A$2:$D$201,3,FALSE())</f>
        <v/>
      </c>
      <c r="E2363" s="2">
        <f>C2363*D2363</f>
        <v/>
      </c>
      <c r="F2363" s="2">
        <f>C2363*INDEX(Products!$D$2:$D$201,MATCH(B2363,Products!$A$2:$A$201,0))</f>
        <v/>
      </c>
      <c r="G2363" s="2">
        <f>E2363-F2363</f>
        <v/>
      </c>
    </row>
    <row r="2364" ht="15" customHeight="1" s="1">
      <c r="A2364" s="2" t="n">
        <v>52362</v>
      </c>
      <c r="B2364" s="2" t="inlineStr">
        <is>
          <t>SKU-0138</t>
        </is>
      </c>
      <c r="C2364" s="2" t="n">
        <v>3</v>
      </c>
      <c r="D2364" s="2">
        <f>VLOOKUP(B2364,Products!$A$2:$D$201,3,FALSE())</f>
        <v/>
      </c>
      <c r="E2364" s="2">
        <f>C2364*D2364</f>
        <v/>
      </c>
      <c r="F2364" s="2">
        <f>C2364*INDEX(Products!$D$2:$D$201,MATCH(B2364,Products!$A$2:$A$201,0))</f>
        <v/>
      </c>
      <c r="G2364" s="2">
        <f>E2364-F2364</f>
        <v/>
      </c>
    </row>
    <row r="2365" ht="15" customHeight="1" s="1">
      <c r="A2365" s="2" t="n">
        <v>52363</v>
      </c>
      <c r="B2365" s="2" t="inlineStr">
        <is>
          <t>SKU-0022</t>
        </is>
      </c>
      <c r="C2365" s="2" t="n">
        <v>17</v>
      </c>
      <c r="D2365" s="2">
        <f>VLOOKUP(B2365,Products!$A$2:$D$201,3,FALSE())</f>
        <v/>
      </c>
      <c r="E2365" s="2">
        <f>C2365*D2365</f>
        <v/>
      </c>
      <c r="F2365" s="2">
        <f>C2365*INDEX(Products!$D$2:$D$201,MATCH(B2365,Products!$A$2:$A$201,0))</f>
        <v/>
      </c>
      <c r="G2365" s="2">
        <f>E2365-F2365</f>
        <v/>
      </c>
    </row>
    <row r="2366" ht="15" customHeight="1" s="1">
      <c r="A2366" s="2" t="n">
        <v>52364</v>
      </c>
      <c r="B2366" s="2" t="inlineStr">
        <is>
          <t>SKU-0183</t>
        </is>
      </c>
      <c r="C2366" s="2" t="n">
        <v>15</v>
      </c>
      <c r="D2366" s="2">
        <f>VLOOKUP(B2366,Products!$A$2:$D$201,3,FALSE())</f>
        <v/>
      </c>
      <c r="E2366" s="2">
        <f>C2366*D2366</f>
        <v/>
      </c>
      <c r="F2366" s="2">
        <f>C2366*INDEX(Products!$D$2:$D$201,MATCH(B2366,Products!$A$2:$A$201,0))</f>
        <v/>
      </c>
      <c r="G2366" s="2">
        <f>E2366-F2366</f>
        <v/>
      </c>
    </row>
    <row r="2367" ht="15" customHeight="1" s="1">
      <c r="A2367" s="2" t="n">
        <v>52365</v>
      </c>
      <c r="B2367" s="2" t="inlineStr">
        <is>
          <t>SKU-0035</t>
        </is>
      </c>
      <c r="C2367" s="2" t="n">
        <v>19</v>
      </c>
      <c r="D2367" s="2">
        <f>VLOOKUP(B2367,Products!$A$2:$D$201,3,FALSE())</f>
        <v/>
      </c>
      <c r="E2367" s="2">
        <f>C2367*D2367</f>
        <v/>
      </c>
      <c r="F2367" s="2">
        <f>C2367*INDEX(Products!$D$2:$D$201,MATCH(B2367,Products!$A$2:$A$201,0))</f>
        <v/>
      </c>
      <c r="G2367" s="2">
        <f>E2367-F2367</f>
        <v/>
      </c>
    </row>
    <row r="2368" ht="15" customHeight="1" s="1">
      <c r="A2368" s="2" t="n">
        <v>52366</v>
      </c>
      <c r="B2368" s="2" t="inlineStr">
        <is>
          <t>SKU-0102</t>
        </is>
      </c>
      <c r="C2368" s="2" t="n">
        <v>11</v>
      </c>
      <c r="D2368" s="2">
        <f>VLOOKUP(B2368,Products!$A$2:$D$201,3,FALSE())</f>
        <v/>
      </c>
      <c r="E2368" s="2">
        <f>C2368*D2368</f>
        <v/>
      </c>
      <c r="F2368" s="2">
        <f>C2368*INDEX(Products!$D$2:$D$201,MATCH(B2368,Products!$A$2:$A$201,0))</f>
        <v/>
      </c>
      <c r="G2368" s="2">
        <f>E2368-F2368</f>
        <v/>
      </c>
    </row>
    <row r="2369" ht="15" customHeight="1" s="1">
      <c r="A2369" s="2" t="n">
        <v>52367</v>
      </c>
      <c r="B2369" s="2" t="inlineStr">
        <is>
          <t>SKU-0055</t>
        </is>
      </c>
      <c r="C2369" s="2" t="n">
        <v>14</v>
      </c>
      <c r="D2369" s="2">
        <f>VLOOKUP(B2369,Products!$A$2:$D$201,3,FALSE())</f>
        <v/>
      </c>
      <c r="E2369" s="2">
        <f>C2369*D2369</f>
        <v/>
      </c>
      <c r="F2369" s="2">
        <f>C2369*INDEX(Products!$D$2:$D$201,MATCH(B2369,Products!$A$2:$A$201,0))</f>
        <v/>
      </c>
      <c r="G2369" s="2">
        <f>E2369-F2369</f>
        <v/>
      </c>
    </row>
    <row r="2370" ht="15" customHeight="1" s="1">
      <c r="A2370" s="2" t="n">
        <v>52368</v>
      </c>
      <c r="B2370" s="2" t="inlineStr">
        <is>
          <t>SKU-0087</t>
        </is>
      </c>
      <c r="C2370" s="2" t="n">
        <v>5</v>
      </c>
      <c r="D2370" s="2">
        <f>VLOOKUP(B2370,Products!$A$2:$D$201,3,FALSE())</f>
        <v/>
      </c>
      <c r="E2370" s="2">
        <f>C2370*D2370</f>
        <v/>
      </c>
      <c r="F2370" s="2">
        <f>C2370*INDEX(Products!$D$2:$D$201,MATCH(B2370,Products!$A$2:$A$201,0))</f>
        <v/>
      </c>
      <c r="G2370" s="2">
        <f>E2370-F2370</f>
        <v/>
      </c>
    </row>
    <row r="2371" ht="15" customHeight="1" s="1">
      <c r="A2371" s="2" t="n">
        <v>52369</v>
      </c>
      <c r="B2371" s="2" t="inlineStr">
        <is>
          <t>SKU-0174</t>
        </is>
      </c>
      <c r="C2371" s="2" t="n">
        <v>6</v>
      </c>
      <c r="D2371" s="2">
        <f>VLOOKUP(B2371,Products!$A$2:$D$201,3,FALSE())</f>
        <v/>
      </c>
      <c r="E2371" s="2">
        <f>C2371*D2371</f>
        <v/>
      </c>
      <c r="F2371" s="2">
        <f>C2371*INDEX(Products!$D$2:$D$201,MATCH(B2371,Products!$A$2:$A$201,0))</f>
        <v/>
      </c>
      <c r="G2371" s="2">
        <f>E2371-F2371</f>
        <v/>
      </c>
    </row>
    <row r="2372" ht="15" customHeight="1" s="1">
      <c r="A2372" s="2" t="n">
        <v>52370</v>
      </c>
      <c r="B2372" s="2" t="inlineStr">
        <is>
          <t>SKU-0159</t>
        </is>
      </c>
      <c r="C2372" s="2" t="n">
        <v>18</v>
      </c>
      <c r="D2372" s="2">
        <f>VLOOKUP(B2372,Products!$A$2:$D$201,3,FALSE())</f>
        <v/>
      </c>
      <c r="E2372" s="2">
        <f>C2372*D2372</f>
        <v/>
      </c>
      <c r="F2372" s="2">
        <f>C2372*INDEX(Products!$D$2:$D$201,MATCH(B2372,Products!$A$2:$A$201,0))</f>
        <v/>
      </c>
      <c r="G2372" s="2">
        <f>E2372-F2372</f>
        <v/>
      </c>
    </row>
    <row r="2373" ht="15" customHeight="1" s="1">
      <c r="A2373" s="2" t="n">
        <v>52371</v>
      </c>
      <c r="B2373" s="2" t="inlineStr">
        <is>
          <t>SKU-0149</t>
        </is>
      </c>
      <c r="C2373" s="2" t="n">
        <v>3</v>
      </c>
      <c r="D2373" s="2">
        <f>VLOOKUP(B2373,Products!$A$2:$D$201,3,FALSE())</f>
        <v/>
      </c>
      <c r="E2373" s="2">
        <f>C2373*D2373</f>
        <v/>
      </c>
      <c r="F2373" s="2">
        <f>C2373*INDEX(Products!$D$2:$D$201,MATCH(B2373,Products!$A$2:$A$201,0))</f>
        <v/>
      </c>
      <c r="G2373" s="2">
        <f>E2373-F2373</f>
        <v/>
      </c>
    </row>
    <row r="2374" ht="15" customHeight="1" s="1">
      <c r="A2374" s="2" t="n">
        <v>52372</v>
      </c>
      <c r="B2374" s="2" t="inlineStr">
        <is>
          <t>SKU-0081</t>
        </is>
      </c>
      <c r="C2374" s="2" t="n">
        <v>8</v>
      </c>
      <c r="D2374" s="2">
        <f>VLOOKUP(B2374,Products!$A$2:$D$201,3,FALSE())</f>
        <v/>
      </c>
      <c r="E2374" s="2">
        <f>C2374*D2374</f>
        <v/>
      </c>
      <c r="F2374" s="2">
        <f>C2374*INDEX(Products!$D$2:$D$201,MATCH(B2374,Products!$A$2:$A$201,0))</f>
        <v/>
      </c>
      <c r="G2374" s="2">
        <f>E2374-F2374</f>
        <v/>
      </c>
    </row>
    <row r="2375" ht="15" customHeight="1" s="1">
      <c r="A2375" s="2" t="n">
        <v>52373</v>
      </c>
      <c r="B2375" s="2" t="inlineStr">
        <is>
          <t>SKU-0049</t>
        </is>
      </c>
      <c r="C2375" s="2" t="n">
        <v>18</v>
      </c>
      <c r="D2375" s="2">
        <f>VLOOKUP(B2375,Products!$A$2:$D$201,3,FALSE())</f>
        <v/>
      </c>
      <c r="E2375" s="2">
        <f>C2375*D2375</f>
        <v/>
      </c>
      <c r="F2375" s="2">
        <f>C2375*INDEX(Products!$D$2:$D$201,MATCH(B2375,Products!$A$2:$A$201,0))</f>
        <v/>
      </c>
      <c r="G2375" s="2">
        <f>E2375-F2375</f>
        <v/>
      </c>
    </row>
    <row r="2376" ht="15" customHeight="1" s="1">
      <c r="A2376" s="2" t="n">
        <v>52374</v>
      </c>
      <c r="B2376" s="2" t="inlineStr">
        <is>
          <t>SKU-0161</t>
        </is>
      </c>
      <c r="C2376" s="2" t="n">
        <v>14</v>
      </c>
      <c r="D2376" s="2">
        <f>VLOOKUP(B2376,Products!$A$2:$D$201,3,FALSE())</f>
        <v/>
      </c>
      <c r="E2376" s="2">
        <f>C2376*D2376</f>
        <v/>
      </c>
      <c r="F2376" s="2">
        <f>C2376*INDEX(Products!$D$2:$D$201,MATCH(B2376,Products!$A$2:$A$201,0))</f>
        <v/>
      </c>
      <c r="G2376" s="2">
        <f>E2376-F2376</f>
        <v/>
      </c>
    </row>
    <row r="2377" ht="15" customHeight="1" s="1">
      <c r="A2377" s="2" t="n">
        <v>52375</v>
      </c>
      <c r="B2377" s="2" t="inlineStr">
        <is>
          <t>SKU-0062</t>
        </is>
      </c>
      <c r="C2377" s="2" t="n">
        <v>20</v>
      </c>
      <c r="D2377" s="2">
        <f>VLOOKUP(B2377,Products!$A$2:$D$201,3,FALSE())</f>
        <v/>
      </c>
      <c r="E2377" s="2">
        <f>C2377*D2377</f>
        <v/>
      </c>
      <c r="F2377" s="2">
        <f>C2377*INDEX(Products!$D$2:$D$201,MATCH(B2377,Products!$A$2:$A$201,0))</f>
        <v/>
      </c>
      <c r="G2377" s="2">
        <f>E2377-F2377</f>
        <v/>
      </c>
    </row>
    <row r="2378" ht="15" customHeight="1" s="1">
      <c r="A2378" s="2" t="n">
        <v>52376</v>
      </c>
      <c r="B2378" s="2" t="inlineStr">
        <is>
          <t>SKU-0128</t>
        </is>
      </c>
      <c r="C2378" s="2" t="n">
        <v>13</v>
      </c>
      <c r="D2378" s="2">
        <f>VLOOKUP(B2378,Products!$A$2:$D$201,3,FALSE())</f>
        <v/>
      </c>
      <c r="E2378" s="2">
        <f>C2378*D2378</f>
        <v/>
      </c>
      <c r="F2378" s="2">
        <f>C2378*INDEX(Products!$D$2:$D$201,MATCH(B2378,Products!$A$2:$A$201,0))</f>
        <v/>
      </c>
      <c r="G2378" s="2">
        <f>E2378-F2378</f>
        <v/>
      </c>
    </row>
    <row r="2379" ht="15" customHeight="1" s="1">
      <c r="A2379" s="2" t="n">
        <v>52377</v>
      </c>
      <c r="B2379" s="2" t="inlineStr">
        <is>
          <t>SKU-0181</t>
        </is>
      </c>
      <c r="C2379" s="2" t="n">
        <v>3</v>
      </c>
      <c r="D2379" s="2">
        <f>VLOOKUP(B2379,Products!$A$2:$D$201,3,FALSE())</f>
        <v/>
      </c>
      <c r="E2379" s="2">
        <f>C2379*D2379</f>
        <v/>
      </c>
      <c r="F2379" s="2">
        <f>C2379*INDEX(Products!$D$2:$D$201,MATCH(B2379,Products!$A$2:$A$201,0))</f>
        <v/>
      </c>
      <c r="G2379" s="2">
        <f>E2379-F2379</f>
        <v/>
      </c>
    </row>
    <row r="2380" ht="15" customHeight="1" s="1">
      <c r="A2380" s="2" t="n">
        <v>52378</v>
      </c>
      <c r="B2380" s="2" t="inlineStr">
        <is>
          <t>SKU-0180</t>
        </is>
      </c>
      <c r="C2380" s="2" t="n">
        <v>10</v>
      </c>
      <c r="D2380" s="2">
        <f>VLOOKUP(B2380,Products!$A$2:$D$201,3,FALSE())</f>
        <v/>
      </c>
      <c r="E2380" s="2">
        <f>C2380*D2380</f>
        <v/>
      </c>
      <c r="F2380" s="2">
        <f>C2380*INDEX(Products!$D$2:$D$201,MATCH(B2380,Products!$A$2:$A$201,0))</f>
        <v/>
      </c>
      <c r="G2380" s="2">
        <f>E2380-F2380</f>
        <v/>
      </c>
    </row>
    <row r="2381" ht="15" customHeight="1" s="1">
      <c r="A2381" s="2" t="n">
        <v>52379</v>
      </c>
      <c r="B2381" s="2" t="inlineStr">
        <is>
          <t>SKU-0133</t>
        </is>
      </c>
      <c r="C2381" s="2" t="n">
        <v>3</v>
      </c>
      <c r="D2381" s="2">
        <f>VLOOKUP(B2381,Products!$A$2:$D$201,3,FALSE())</f>
        <v/>
      </c>
      <c r="E2381" s="2">
        <f>C2381*D2381</f>
        <v/>
      </c>
      <c r="F2381" s="2">
        <f>C2381*INDEX(Products!$D$2:$D$201,MATCH(B2381,Products!$A$2:$A$201,0))</f>
        <v/>
      </c>
      <c r="G2381" s="2">
        <f>E2381-F2381</f>
        <v/>
      </c>
    </row>
    <row r="2382" ht="15" customHeight="1" s="1">
      <c r="A2382" s="2" t="n">
        <v>52380</v>
      </c>
      <c r="B2382" s="2" t="inlineStr">
        <is>
          <t>SKU-0003</t>
        </is>
      </c>
      <c r="C2382" s="2" t="n">
        <v>4</v>
      </c>
      <c r="D2382" s="2">
        <f>VLOOKUP(B2382,Products!$A$2:$D$201,3,FALSE())</f>
        <v/>
      </c>
      <c r="E2382" s="2">
        <f>C2382*D2382</f>
        <v/>
      </c>
      <c r="F2382" s="2">
        <f>C2382*INDEX(Products!$D$2:$D$201,MATCH(B2382,Products!$A$2:$A$201,0))</f>
        <v/>
      </c>
      <c r="G2382" s="2">
        <f>E2382-F2382</f>
        <v/>
      </c>
    </row>
    <row r="2383" ht="15" customHeight="1" s="1">
      <c r="A2383" s="2" t="n">
        <v>52381</v>
      </c>
      <c r="B2383" s="2" t="inlineStr">
        <is>
          <t>SKU-0113</t>
        </is>
      </c>
      <c r="C2383" s="2" t="n">
        <v>10</v>
      </c>
      <c r="D2383" s="2">
        <f>VLOOKUP(B2383,Products!$A$2:$D$201,3,FALSE())</f>
        <v/>
      </c>
      <c r="E2383" s="2">
        <f>C2383*D2383</f>
        <v/>
      </c>
      <c r="F2383" s="2">
        <f>C2383*INDEX(Products!$D$2:$D$201,MATCH(B2383,Products!$A$2:$A$201,0))</f>
        <v/>
      </c>
      <c r="G2383" s="2">
        <f>E2383-F2383</f>
        <v/>
      </c>
    </row>
    <row r="2384" ht="15" customHeight="1" s="1">
      <c r="A2384" s="2" t="n">
        <v>52382</v>
      </c>
      <c r="B2384" s="2" t="inlineStr">
        <is>
          <t>SKU-0057</t>
        </is>
      </c>
      <c r="C2384" s="2" t="n">
        <v>18</v>
      </c>
      <c r="D2384" s="2">
        <f>VLOOKUP(B2384,Products!$A$2:$D$201,3,FALSE())</f>
        <v/>
      </c>
      <c r="E2384" s="2">
        <f>C2384*D2384</f>
        <v/>
      </c>
      <c r="F2384" s="2">
        <f>C2384*INDEX(Products!$D$2:$D$201,MATCH(B2384,Products!$A$2:$A$201,0))</f>
        <v/>
      </c>
      <c r="G2384" s="2">
        <f>E2384-F2384</f>
        <v/>
      </c>
    </row>
    <row r="2385" ht="15" customHeight="1" s="1">
      <c r="A2385" s="2" t="n">
        <v>52383</v>
      </c>
      <c r="B2385" s="2" t="inlineStr">
        <is>
          <t>SKU-0113</t>
        </is>
      </c>
      <c r="C2385" s="2" t="n">
        <v>12</v>
      </c>
      <c r="D2385" s="2">
        <f>VLOOKUP(B2385,Products!$A$2:$D$201,3,FALSE())</f>
        <v/>
      </c>
      <c r="E2385" s="2">
        <f>C2385*D2385</f>
        <v/>
      </c>
      <c r="F2385" s="2">
        <f>C2385*INDEX(Products!$D$2:$D$201,MATCH(B2385,Products!$A$2:$A$201,0))</f>
        <v/>
      </c>
      <c r="G2385" s="2">
        <f>E2385-F2385</f>
        <v/>
      </c>
    </row>
    <row r="2386" ht="15" customHeight="1" s="1">
      <c r="A2386" s="2" t="n">
        <v>52384</v>
      </c>
      <c r="B2386" s="2" t="inlineStr">
        <is>
          <t>SKU-0148</t>
        </is>
      </c>
      <c r="C2386" s="2" t="n">
        <v>16</v>
      </c>
      <c r="D2386" s="2">
        <f>VLOOKUP(B2386,Products!$A$2:$D$201,3,FALSE())</f>
        <v/>
      </c>
      <c r="E2386" s="2">
        <f>C2386*D2386</f>
        <v/>
      </c>
      <c r="F2386" s="2">
        <f>C2386*INDEX(Products!$D$2:$D$201,MATCH(B2386,Products!$A$2:$A$201,0))</f>
        <v/>
      </c>
      <c r="G2386" s="2">
        <f>E2386-F2386</f>
        <v/>
      </c>
    </row>
    <row r="2387" ht="15" customHeight="1" s="1">
      <c r="A2387" s="2" t="n">
        <v>52385</v>
      </c>
      <c r="B2387" s="2" t="inlineStr">
        <is>
          <t>SKU-0056</t>
        </is>
      </c>
      <c r="C2387" s="2" t="n">
        <v>11</v>
      </c>
      <c r="D2387" s="2">
        <f>VLOOKUP(B2387,Products!$A$2:$D$201,3,FALSE())</f>
        <v/>
      </c>
      <c r="E2387" s="2">
        <f>C2387*D2387</f>
        <v/>
      </c>
      <c r="F2387" s="2">
        <f>C2387*INDEX(Products!$D$2:$D$201,MATCH(B2387,Products!$A$2:$A$201,0))</f>
        <v/>
      </c>
      <c r="G2387" s="2">
        <f>E2387-F2387</f>
        <v/>
      </c>
    </row>
    <row r="2388" ht="15" customHeight="1" s="1">
      <c r="A2388" s="2" t="n">
        <v>52386</v>
      </c>
      <c r="B2388" s="2" t="inlineStr">
        <is>
          <t>SKU-0084</t>
        </is>
      </c>
      <c r="C2388" s="2" t="n">
        <v>11</v>
      </c>
      <c r="D2388" s="2">
        <f>VLOOKUP(B2388,Products!$A$2:$D$201,3,FALSE())</f>
        <v/>
      </c>
      <c r="E2388" s="2">
        <f>C2388*D2388</f>
        <v/>
      </c>
      <c r="F2388" s="2">
        <f>C2388*INDEX(Products!$D$2:$D$201,MATCH(B2388,Products!$A$2:$A$201,0))</f>
        <v/>
      </c>
      <c r="G2388" s="2">
        <f>E2388-F2388</f>
        <v/>
      </c>
    </row>
    <row r="2389" ht="15" customHeight="1" s="1">
      <c r="A2389" s="2" t="n">
        <v>52387</v>
      </c>
      <c r="B2389" s="2" t="inlineStr">
        <is>
          <t>SKU-0014</t>
        </is>
      </c>
      <c r="C2389" s="2" t="n">
        <v>6</v>
      </c>
      <c r="D2389" s="2">
        <f>VLOOKUP(B2389,Products!$A$2:$D$201,3,FALSE())</f>
        <v/>
      </c>
      <c r="E2389" s="2">
        <f>C2389*D2389</f>
        <v/>
      </c>
      <c r="F2389" s="2">
        <f>C2389*INDEX(Products!$D$2:$D$201,MATCH(B2389,Products!$A$2:$A$201,0))</f>
        <v/>
      </c>
      <c r="G2389" s="2">
        <f>E2389-F2389</f>
        <v/>
      </c>
    </row>
    <row r="2390" ht="15" customHeight="1" s="1">
      <c r="A2390" s="2" t="n">
        <v>52388</v>
      </c>
      <c r="B2390" s="2" t="inlineStr">
        <is>
          <t>SKU-0182</t>
        </is>
      </c>
      <c r="C2390" s="2" t="n">
        <v>19</v>
      </c>
      <c r="D2390" s="2">
        <f>VLOOKUP(B2390,Products!$A$2:$D$201,3,FALSE())</f>
        <v/>
      </c>
      <c r="E2390" s="2">
        <f>C2390*D2390</f>
        <v/>
      </c>
      <c r="F2390" s="2">
        <f>C2390*INDEX(Products!$D$2:$D$201,MATCH(B2390,Products!$A$2:$A$201,0))</f>
        <v/>
      </c>
      <c r="G2390" s="2">
        <f>E2390-F2390</f>
        <v/>
      </c>
    </row>
    <row r="2391" ht="15" customHeight="1" s="1">
      <c r="A2391" s="2" t="n">
        <v>52389</v>
      </c>
      <c r="B2391" s="2" t="inlineStr">
        <is>
          <t>SKU-0139</t>
        </is>
      </c>
      <c r="C2391" s="2" t="n">
        <v>16</v>
      </c>
      <c r="D2391" s="2">
        <f>VLOOKUP(B2391,Products!$A$2:$D$201,3,FALSE())</f>
        <v/>
      </c>
      <c r="E2391" s="2">
        <f>C2391*D2391</f>
        <v/>
      </c>
      <c r="F2391" s="2">
        <f>C2391*INDEX(Products!$D$2:$D$201,MATCH(B2391,Products!$A$2:$A$201,0))</f>
        <v/>
      </c>
      <c r="G2391" s="2">
        <f>E2391-F2391</f>
        <v/>
      </c>
    </row>
    <row r="2392" ht="15" customHeight="1" s="1">
      <c r="A2392" s="2" t="n">
        <v>52390</v>
      </c>
      <c r="B2392" s="2" t="inlineStr">
        <is>
          <t>SKU-0195</t>
        </is>
      </c>
      <c r="C2392" s="2" t="n">
        <v>13</v>
      </c>
      <c r="D2392" s="2">
        <f>VLOOKUP(B2392,Products!$A$2:$D$201,3,FALSE())</f>
        <v/>
      </c>
      <c r="E2392" s="2">
        <f>C2392*D2392</f>
        <v/>
      </c>
      <c r="F2392" s="2">
        <f>C2392*INDEX(Products!$D$2:$D$201,MATCH(B2392,Products!$A$2:$A$201,0))</f>
        <v/>
      </c>
      <c r="G2392" s="2">
        <f>E2392-F2392</f>
        <v/>
      </c>
    </row>
    <row r="2393" ht="15" customHeight="1" s="1">
      <c r="A2393" s="2" t="n">
        <v>52391</v>
      </c>
      <c r="B2393" s="2" t="inlineStr">
        <is>
          <t>SKU-0042</t>
        </is>
      </c>
      <c r="C2393" s="2" t="n">
        <v>14</v>
      </c>
      <c r="D2393" s="2">
        <f>VLOOKUP(B2393,Products!$A$2:$D$201,3,FALSE())</f>
        <v/>
      </c>
      <c r="E2393" s="2">
        <f>C2393*D2393</f>
        <v/>
      </c>
      <c r="F2393" s="2">
        <f>C2393*INDEX(Products!$D$2:$D$201,MATCH(B2393,Products!$A$2:$A$201,0))</f>
        <v/>
      </c>
      <c r="G2393" s="2">
        <f>E2393-F2393</f>
        <v/>
      </c>
    </row>
    <row r="2394" ht="15" customHeight="1" s="1">
      <c r="A2394" s="2" t="n">
        <v>52392</v>
      </c>
      <c r="B2394" s="2" t="inlineStr">
        <is>
          <t>SKU-0018</t>
        </is>
      </c>
      <c r="C2394" s="2" t="n">
        <v>7</v>
      </c>
      <c r="D2394" s="2">
        <f>VLOOKUP(B2394,Products!$A$2:$D$201,3,FALSE())</f>
        <v/>
      </c>
      <c r="E2394" s="2">
        <f>C2394*D2394</f>
        <v/>
      </c>
      <c r="F2394" s="2">
        <f>C2394*INDEX(Products!$D$2:$D$201,MATCH(B2394,Products!$A$2:$A$201,0))</f>
        <v/>
      </c>
      <c r="G2394" s="2">
        <f>E2394-F2394</f>
        <v/>
      </c>
    </row>
    <row r="2395" ht="15" customHeight="1" s="1">
      <c r="A2395" s="2" t="n">
        <v>52393</v>
      </c>
      <c r="B2395" s="2" t="inlineStr">
        <is>
          <t>SKU-0108</t>
        </is>
      </c>
      <c r="C2395" s="2" t="n">
        <v>4</v>
      </c>
      <c r="D2395" s="2">
        <f>VLOOKUP(B2395,Products!$A$2:$D$201,3,FALSE())</f>
        <v/>
      </c>
      <c r="E2395" s="2">
        <f>C2395*D2395</f>
        <v/>
      </c>
      <c r="F2395" s="2">
        <f>C2395*INDEX(Products!$D$2:$D$201,MATCH(B2395,Products!$A$2:$A$201,0))</f>
        <v/>
      </c>
      <c r="G2395" s="2">
        <f>E2395-F2395</f>
        <v/>
      </c>
    </row>
    <row r="2396" ht="15" customHeight="1" s="1">
      <c r="A2396" s="2" t="n">
        <v>52394</v>
      </c>
      <c r="B2396" s="2" t="inlineStr">
        <is>
          <t>SKU-0018</t>
        </is>
      </c>
      <c r="C2396" s="2" t="n">
        <v>9</v>
      </c>
      <c r="D2396" s="2">
        <f>VLOOKUP(B2396,Products!$A$2:$D$201,3,FALSE())</f>
        <v/>
      </c>
      <c r="E2396" s="2">
        <f>C2396*D2396</f>
        <v/>
      </c>
      <c r="F2396" s="2">
        <f>C2396*INDEX(Products!$D$2:$D$201,MATCH(B2396,Products!$A$2:$A$201,0))</f>
        <v/>
      </c>
      <c r="G2396" s="2">
        <f>E2396-F2396</f>
        <v/>
      </c>
    </row>
    <row r="2397" ht="15" customHeight="1" s="1">
      <c r="A2397" s="2" t="n">
        <v>52395</v>
      </c>
      <c r="B2397" s="2" t="inlineStr">
        <is>
          <t>SKU-0054</t>
        </is>
      </c>
      <c r="C2397" s="2" t="n">
        <v>3</v>
      </c>
      <c r="D2397" s="2">
        <f>VLOOKUP(B2397,Products!$A$2:$D$201,3,FALSE())</f>
        <v/>
      </c>
      <c r="E2397" s="2">
        <f>C2397*D2397</f>
        <v/>
      </c>
      <c r="F2397" s="2">
        <f>C2397*INDEX(Products!$D$2:$D$201,MATCH(B2397,Products!$A$2:$A$201,0))</f>
        <v/>
      </c>
      <c r="G2397" s="2">
        <f>E2397-F2397</f>
        <v/>
      </c>
    </row>
    <row r="2398" ht="15" customHeight="1" s="1">
      <c r="A2398" s="2" t="n">
        <v>52396</v>
      </c>
      <c r="B2398" s="2" t="inlineStr">
        <is>
          <t>SKU-0107</t>
        </is>
      </c>
      <c r="C2398" s="2" t="n">
        <v>20</v>
      </c>
      <c r="D2398" s="2">
        <f>VLOOKUP(B2398,Products!$A$2:$D$201,3,FALSE())</f>
        <v/>
      </c>
      <c r="E2398" s="2">
        <f>C2398*D2398</f>
        <v/>
      </c>
      <c r="F2398" s="2">
        <f>C2398*INDEX(Products!$D$2:$D$201,MATCH(B2398,Products!$A$2:$A$201,0))</f>
        <v/>
      </c>
      <c r="G2398" s="2">
        <f>E2398-F2398</f>
        <v/>
      </c>
    </row>
    <row r="2399" ht="15" customHeight="1" s="1">
      <c r="A2399" s="2" t="n">
        <v>52397</v>
      </c>
      <c r="B2399" s="2" t="inlineStr">
        <is>
          <t>SKU-0126</t>
        </is>
      </c>
      <c r="C2399" s="2" t="n">
        <v>18</v>
      </c>
      <c r="D2399" s="2">
        <f>VLOOKUP(B2399,Products!$A$2:$D$201,3,FALSE())</f>
        <v/>
      </c>
      <c r="E2399" s="2">
        <f>C2399*D2399</f>
        <v/>
      </c>
      <c r="F2399" s="2">
        <f>C2399*INDEX(Products!$D$2:$D$201,MATCH(B2399,Products!$A$2:$A$201,0))</f>
        <v/>
      </c>
      <c r="G2399" s="2">
        <f>E2399-F2399</f>
        <v/>
      </c>
    </row>
    <row r="2400" ht="15" customHeight="1" s="1">
      <c r="A2400" s="2" t="n">
        <v>52398</v>
      </c>
      <c r="B2400" s="2" t="inlineStr">
        <is>
          <t>SKU-0099</t>
        </is>
      </c>
      <c r="C2400" s="2" t="n">
        <v>14</v>
      </c>
      <c r="D2400" s="2">
        <f>VLOOKUP(B2400,Products!$A$2:$D$201,3,FALSE())</f>
        <v/>
      </c>
      <c r="E2400" s="2">
        <f>C2400*D2400</f>
        <v/>
      </c>
      <c r="F2400" s="2">
        <f>C2400*INDEX(Products!$D$2:$D$201,MATCH(B2400,Products!$A$2:$A$201,0))</f>
        <v/>
      </c>
      <c r="G2400" s="2">
        <f>E2400-F2400</f>
        <v/>
      </c>
    </row>
    <row r="2401" ht="15" customHeight="1" s="1">
      <c r="A2401" s="2" t="n">
        <v>52399</v>
      </c>
      <c r="B2401" s="2" t="inlineStr">
        <is>
          <t>SKU-0125</t>
        </is>
      </c>
      <c r="C2401" s="2" t="n">
        <v>7</v>
      </c>
      <c r="D2401" s="2">
        <f>VLOOKUP(B2401,Products!$A$2:$D$201,3,FALSE())</f>
        <v/>
      </c>
      <c r="E2401" s="2">
        <f>C2401*D2401</f>
        <v/>
      </c>
      <c r="F2401" s="2">
        <f>C2401*INDEX(Products!$D$2:$D$201,MATCH(B2401,Products!$A$2:$A$201,0))</f>
        <v/>
      </c>
      <c r="G2401" s="2">
        <f>E2401-F2401</f>
        <v/>
      </c>
    </row>
    <row r="2402" ht="15" customHeight="1" s="1">
      <c r="A2402" s="2" t="n">
        <v>52400</v>
      </c>
      <c r="B2402" s="2" t="inlineStr">
        <is>
          <t>SKU-0017</t>
        </is>
      </c>
      <c r="C2402" s="2" t="n">
        <v>19</v>
      </c>
      <c r="D2402" s="2">
        <f>VLOOKUP(B2402,Products!$A$2:$D$201,3,FALSE())</f>
        <v/>
      </c>
      <c r="E2402" s="2">
        <f>C2402*D2402</f>
        <v/>
      </c>
      <c r="F2402" s="2">
        <f>C2402*INDEX(Products!$D$2:$D$201,MATCH(B2402,Products!$A$2:$A$201,0))</f>
        <v/>
      </c>
      <c r="G2402" s="2">
        <f>E2402-F2402</f>
        <v/>
      </c>
    </row>
    <row r="2403" ht="15" customHeight="1" s="1">
      <c r="A2403" s="2" t="n">
        <v>52401</v>
      </c>
      <c r="B2403" s="2" t="inlineStr">
        <is>
          <t>SKU-0167</t>
        </is>
      </c>
      <c r="C2403" s="2" t="n">
        <v>7</v>
      </c>
      <c r="D2403" s="2">
        <f>VLOOKUP(B2403,Products!$A$2:$D$201,3,FALSE())</f>
        <v/>
      </c>
      <c r="E2403" s="2">
        <f>C2403*D2403</f>
        <v/>
      </c>
      <c r="F2403" s="2">
        <f>C2403*INDEX(Products!$D$2:$D$201,MATCH(B2403,Products!$A$2:$A$201,0))</f>
        <v/>
      </c>
      <c r="G2403" s="2">
        <f>E2403-F2403</f>
        <v/>
      </c>
    </row>
    <row r="2404" ht="15" customHeight="1" s="1">
      <c r="A2404" s="2" t="n">
        <v>52402</v>
      </c>
      <c r="B2404" s="2" t="inlineStr">
        <is>
          <t>SKU-0053</t>
        </is>
      </c>
      <c r="C2404" s="2" t="n">
        <v>18</v>
      </c>
      <c r="D2404" s="2">
        <f>VLOOKUP(B2404,Products!$A$2:$D$201,3,FALSE())</f>
        <v/>
      </c>
      <c r="E2404" s="2">
        <f>C2404*D2404</f>
        <v/>
      </c>
      <c r="F2404" s="2">
        <f>C2404*INDEX(Products!$D$2:$D$201,MATCH(B2404,Products!$A$2:$A$201,0))</f>
        <v/>
      </c>
      <c r="G2404" s="2">
        <f>E2404-F2404</f>
        <v/>
      </c>
    </row>
    <row r="2405" ht="15" customHeight="1" s="1">
      <c r="A2405" s="2" t="n">
        <v>52403</v>
      </c>
      <c r="B2405" s="2" t="inlineStr">
        <is>
          <t>SKU-0184</t>
        </is>
      </c>
      <c r="C2405" s="2" t="n">
        <v>18</v>
      </c>
      <c r="D2405" s="2">
        <f>VLOOKUP(B2405,Products!$A$2:$D$201,3,FALSE())</f>
        <v/>
      </c>
      <c r="E2405" s="2">
        <f>C2405*D2405</f>
        <v/>
      </c>
      <c r="F2405" s="2">
        <f>C2405*INDEX(Products!$D$2:$D$201,MATCH(B2405,Products!$A$2:$A$201,0))</f>
        <v/>
      </c>
      <c r="G2405" s="2">
        <f>E2405-F2405</f>
        <v/>
      </c>
    </row>
    <row r="2406" ht="15" customHeight="1" s="1">
      <c r="A2406" s="2" t="n">
        <v>52404</v>
      </c>
      <c r="B2406" s="2" t="inlineStr">
        <is>
          <t>SKU-0072</t>
        </is>
      </c>
      <c r="C2406" s="2" t="n">
        <v>11</v>
      </c>
      <c r="D2406" s="2">
        <f>VLOOKUP(B2406,Products!$A$2:$D$201,3,FALSE())</f>
        <v/>
      </c>
      <c r="E2406" s="2">
        <f>C2406*D2406</f>
        <v/>
      </c>
      <c r="F2406" s="2">
        <f>C2406*INDEX(Products!$D$2:$D$201,MATCH(B2406,Products!$A$2:$A$201,0))</f>
        <v/>
      </c>
      <c r="G2406" s="2">
        <f>E2406-F2406</f>
        <v/>
      </c>
    </row>
    <row r="2407" ht="15" customHeight="1" s="1">
      <c r="A2407" s="2" t="n">
        <v>52405</v>
      </c>
      <c r="B2407" s="2" t="inlineStr">
        <is>
          <t>SKU-0007</t>
        </is>
      </c>
      <c r="C2407" s="2" t="n">
        <v>15</v>
      </c>
      <c r="D2407" s="2">
        <f>VLOOKUP(B2407,Products!$A$2:$D$201,3,FALSE())</f>
        <v/>
      </c>
      <c r="E2407" s="2">
        <f>C2407*D2407</f>
        <v/>
      </c>
      <c r="F2407" s="2">
        <f>C2407*INDEX(Products!$D$2:$D$201,MATCH(B2407,Products!$A$2:$A$201,0))</f>
        <v/>
      </c>
      <c r="G2407" s="2">
        <f>E2407-F2407</f>
        <v/>
      </c>
    </row>
    <row r="2408" ht="15" customHeight="1" s="1">
      <c r="A2408" s="2" t="n">
        <v>52406</v>
      </c>
      <c r="B2408" s="2" t="inlineStr">
        <is>
          <t>SKU-0067</t>
        </is>
      </c>
      <c r="C2408" s="2" t="n">
        <v>8</v>
      </c>
      <c r="D2408" s="2">
        <f>VLOOKUP(B2408,Products!$A$2:$D$201,3,FALSE())</f>
        <v/>
      </c>
      <c r="E2408" s="2">
        <f>C2408*D2408</f>
        <v/>
      </c>
      <c r="F2408" s="2">
        <f>C2408*INDEX(Products!$D$2:$D$201,MATCH(B2408,Products!$A$2:$A$201,0))</f>
        <v/>
      </c>
      <c r="G2408" s="2">
        <f>E2408-F2408</f>
        <v/>
      </c>
    </row>
    <row r="2409" ht="15" customHeight="1" s="1">
      <c r="A2409" s="2" t="n">
        <v>52407</v>
      </c>
      <c r="B2409" s="2" t="inlineStr">
        <is>
          <t>SKU-0189</t>
        </is>
      </c>
      <c r="C2409" s="2" t="n">
        <v>17</v>
      </c>
      <c r="D2409" s="2">
        <f>VLOOKUP(B2409,Products!$A$2:$D$201,3,FALSE())</f>
        <v/>
      </c>
      <c r="E2409" s="2">
        <f>C2409*D2409</f>
        <v/>
      </c>
      <c r="F2409" s="2">
        <f>C2409*INDEX(Products!$D$2:$D$201,MATCH(B2409,Products!$A$2:$A$201,0))</f>
        <v/>
      </c>
      <c r="G2409" s="2">
        <f>E2409-F2409</f>
        <v/>
      </c>
    </row>
    <row r="2410" ht="15" customHeight="1" s="1">
      <c r="A2410" s="2" t="n">
        <v>52408</v>
      </c>
      <c r="B2410" s="2" t="inlineStr">
        <is>
          <t>SKU-0001</t>
        </is>
      </c>
      <c r="C2410" s="2" t="n">
        <v>14</v>
      </c>
      <c r="D2410" s="2">
        <f>VLOOKUP(B2410,Products!$A$2:$D$201,3,FALSE())</f>
        <v/>
      </c>
      <c r="E2410" s="2">
        <f>C2410*D2410</f>
        <v/>
      </c>
      <c r="F2410" s="2">
        <f>C2410*INDEX(Products!$D$2:$D$201,MATCH(B2410,Products!$A$2:$A$201,0))</f>
        <v/>
      </c>
      <c r="G2410" s="2">
        <f>E2410-F2410</f>
        <v/>
      </c>
    </row>
    <row r="2411" ht="15" customHeight="1" s="1">
      <c r="A2411" s="2" t="n">
        <v>52409</v>
      </c>
      <c r="B2411" s="2" t="inlineStr">
        <is>
          <t>SKU-0110</t>
        </is>
      </c>
      <c r="C2411" s="2" t="n">
        <v>20</v>
      </c>
      <c r="D2411" s="2">
        <f>VLOOKUP(B2411,Products!$A$2:$D$201,3,FALSE())</f>
        <v/>
      </c>
      <c r="E2411" s="2">
        <f>C2411*D2411</f>
        <v/>
      </c>
      <c r="F2411" s="2">
        <f>C2411*INDEX(Products!$D$2:$D$201,MATCH(B2411,Products!$A$2:$A$201,0))</f>
        <v/>
      </c>
      <c r="G2411" s="2">
        <f>E2411-F2411</f>
        <v/>
      </c>
    </row>
    <row r="2412" ht="15" customHeight="1" s="1">
      <c r="A2412" s="2" t="n">
        <v>52410</v>
      </c>
      <c r="B2412" s="2" t="inlineStr">
        <is>
          <t>SKU-0056</t>
        </is>
      </c>
      <c r="C2412" s="2" t="n">
        <v>1</v>
      </c>
      <c r="D2412" s="2">
        <f>VLOOKUP(B2412,Products!$A$2:$D$201,3,FALSE())</f>
        <v/>
      </c>
      <c r="E2412" s="2">
        <f>C2412*D2412</f>
        <v/>
      </c>
      <c r="F2412" s="2">
        <f>C2412*INDEX(Products!$D$2:$D$201,MATCH(B2412,Products!$A$2:$A$201,0))</f>
        <v/>
      </c>
      <c r="G2412" s="2">
        <f>E2412-F2412</f>
        <v/>
      </c>
    </row>
    <row r="2413" ht="15" customHeight="1" s="1">
      <c r="A2413" s="2" t="n">
        <v>52411</v>
      </c>
      <c r="B2413" s="2" t="inlineStr">
        <is>
          <t>SKU-0092</t>
        </is>
      </c>
      <c r="C2413" s="2" t="n">
        <v>6</v>
      </c>
      <c r="D2413" s="2">
        <f>VLOOKUP(B2413,Products!$A$2:$D$201,3,FALSE())</f>
        <v/>
      </c>
      <c r="E2413" s="2">
        <f>C2413*D2413</f>
        <v/>
      </c>
      <c r="F2413" s="2">
        <f>C2413*INDEX(Products!$D$2:$D$201,MATCH(B2413,Products!$A$2:$A$201,0))</f>
        <v/>
      </c>
      <c r="G2413" s="2">
        <f>E2413-F2413</f>
        <v/>
      </c>
    </row>
    <row r="2414" ht="15" customHeight="1" s="1">
      <c r="A2414" s="2" t="n">
        <v>52412</v>
      </c>
      <c r="B2414" s="2" t="inlineStr">
        <is>
          <t>SKU-0156</t>
        </is>
      </c>
      <c r="C2414" s="2" t="n">
        <v>3</v>
      </c>
      <c r="D2414" s="2">
        <f>VLOOKUP(B2414,Products!$A$2:$D$201,3,FALSE())</f>
        <v/>
      </c>
      <c r="E2414" s="2">
        <f>C2414*D2414</f>
        <v/>
      </c>
      <c r="F2414" s="2">
        <f>C2414*INDEX(Products!$D$2:$D$201,MATCH(B2414,Products!$A$2:$A$201,0))</f>
        <v/>
      </c>
      <c r="G2414" s="2">
        <f>E2414-F2414</f>
        <v/>
      </c>
    </row>
    <row r="2415" ht="15" customHeight="1" s="1">
      <c r="A2415" s="2" t="n">
        <v>52413</v>
      </c>
      <c r="B2415" s="2" t="inlineStr">
        <is>
          <t>SKU-0123</t>
        </is>
      </c>
      <c r="C2415" s="2" t="n">
        <v>14</v>
      </c>
      <c r="D2415" s="2">
        <f>VLOOKUP(B2415,Products!$A$2:$D$201,3,FALSE())</f>
        <v/>
      </c>
      <c r="E2415" s="2">
        <f>C2415*D2415</f>
        <v/>
      </c>
      <c r="F2415" s="2">
        <f>C2415*INDEX(Products!$D$2:$D$201,MATCH(B2415,Products!$A$2:$A$201,0))</f>
        <v/>
      </c>
      <c r="G2415" s="2">
        <f>E2415-F2415</f>
        <v/>
      </c>
    </row>
    <row r="2416" ht="15" customHeight="1" s="1">
      <c r="A2416" s="2" t="n">
        <v>52414</v>
      </c>
      <c r="B2416" s="2" t="inlineStr">
        <is>
          <t>SKU-0151</t>
        </is>
      </c>
      <c r="C2416" s="2" t="n">
        <v>10</v>
      </c>
      <c r="D2416" s="2">
        <f>VLOOKUP(B2416,Products!$A$2:$D$201,3,FALSE())</f>
        <v/>
      </c>
      <c r="E2416" s="2">
        <f>C2416*D2416</f>
        <v/>
      </c>
      <c r="F2416" s="2">
        <f>C2416*INDEX(Products!$D$2:$D$201,MATCH(B2416,Products!$A$2:$A$201,0))</f>
        <v/>
      </c>
      <c r="G2416" s="2">
        <f>E2416-F2416</f>
        <v/>
      </c>
    </row>
    <row r="2417" ht="15" customHeight="1" s="1">
      <c r="A2417" s="2" t="n">
        <v>52415</v>
      </c>
      <c r="B2417" s="2" t="inlineStr">
        <is>
          <t>SKU-0003</t>
        </is>
      </c>
      <c r="C2417" s="2" t="n">
        <v>20</v>
      </c>
      <c r="D2417" s="2">
        <f>VLOOKUP(B2417,Products!$A$2:$D$201,3,FALSE())</f>
        <v/>
      </c>
      <c r="E2417" s="2">
        <f>C2417*D2417</f>
        <v/>
      </c>
      <c r="F2417" s="2">
        <f>C2417*INDEX(Products!$D$2:$D$201,MATCH(B2417,Products!$A$2:$A$201,0))</f>
        <v/>
      </c>
      <c r="G2417" s="2">
        <f>E2417-F2417</f>
        <v/>
      </c>
    </row>
    <row r="2418" ht="15" customHeight="1" s="1">
      <c r="A2418" s="2" t="n">
        <v>52416</v>
      </c>
      <c r="B2418" s="2" t="inlineStr">
        <is>
          <t>SKU-0141</t>
        </is>
      </c>
      <c r="C2418" s="2" t="n">
        <v>8</v>
      </c>
      <c r="D2418" s="2">
        <f>VLOOKUP(B2418,Products!$A$2:$D$201,3,FALSE())</f>
        <v/>
      </c>
      <c r="E2418" s="2">
        <f>C2418*D2418</f>
        <v/>
      </c>
      <c r="F2418" s="2">
        <f>C2418*INDEX(Products!$D$2:$D$201,MATCH(B2418,Products!$A$2:$A$201,0))</f>
        <v/>
      </c>
      <c r="G2418" s="2">
        <f>E2418-F2418</f>
        <v/>
      </c>
    </row>
    <row r="2419" ht="15" customHeight="1" s="1">
      <c r="A2419" s="2" t="n">
        <v>52417</v>
      </c>
      <c r="B2419" s="2" t="inlineStr">
        <is>
          <t>SKU-0034</t>
        </is>
      </c>
      <c r="C2419" s="2" t="n">
        <v>5</v>
      </c>
      <c r="D2419" s="2">
        <f>VLOOKUP(B2419,Products!$A$2:$D$201,3,FALSE())</f>
        <v/>
      </c>
      <c r="E2419" s="2">
        <f>C2419*D2419</f>
        <v/>
      </c>
      <c r="F2419" s="2">
        <f>C2419*INDEX(Products!$D$2:$D$201,MATCH(B2419,Products!$A$2:$A$201,0))</f>
        <v/>
      </c>
      <c r="G2419" s="2">
        <f>E2419-F2419</f>
        <v/>
      </c>
    </row>
    <row r="2420" ht="15" customHeight="1" s="1">
      <c r="A2420" s="2" t="n">
        <v>52418</v>
      </c>
      <c r="B2420" s="2" t="inlineStr">
        <is>
          <t>SKU-0046</t>
        </is>
      </c>
      <c r="C2420" s="2" t="n">
        <v>11</v>
      </c>
      <c r="D2420" s="2">
        <f>VLOOKUP(B2420,Products!$A$2:$D$201,3,FALSE())</f>
        <v/>
      </c>
      <c r="E2420" s="2">
        <f>C2420*D2420</f>
        <v/>
      </c>
      <c r="F2420" s="2">
        <f>C2420*INDEX(Products!$D$2:$D$201,MATCH(B2420,Products!$A$2:$A$201,0))</f>
        <v/>
      </c>
      <c r="G2420" s="2">
        <f>E2420-F2420</f>
        <v/>
      </c>
    </row>
    <row r="2421" ht="15" customHeight="1" s="1">
      <c r="A2421" s="2" t="n">
        <v>52419</v>
      </c>
      <c r="B2421" s="2" t="inlineStr">
        <is>
          <t>SKU-0068</t>
        </is>
      </c>
      <c r="C2421" s="2" t="n">
        <v>5</v>
      </c>
      <c r="D2421" s="2">
        <f>VLOOKUP(B2421,Products!$A$2:$D$201,3,FALSE())</f>
        <v/>
      </c>
      <c r="E2421" s="2">
        <f>C2421*D2421</f>
        <v/>
      </c>
      <c r="F2421" s="2">
        <f>C2421*INDEX(Products!$D$2:$D$201,MATCH(B2421,Products!$A$2:$A$201,0))</f>
        <v/>
      </c>
      <c r="G2421" s="2">
        <f>E2421-F2421</f>
        <v/>
      </c>
    </row>
    <row r="2422" ht="15" customHeight="1" s="1">
      <c r="A2422" s="2" t="n">
        <v>52420</v>
      </c>
      <c r="B2422" s="2" t="inlineStr">
        <is>
          <t>SKU-0193</t>
        </is>
      </c>
      <c r="C2422" s="2" t="n">
        <v>16</v>
      </c>
      <c r="D2422" s="2">
        <f>VLOOKUP(B2422,Products!$A$2:$D$201,3,FALSE())</f>
        <v/>
      </c>
      <c r="E2422" s="2">
        <f>C2422*D2422</f>
        <v/>
      </c>
      <c r="F2422" s="2">
        <f>C2422*INDEX(Products!$D$2:$D$201,MATCH(B2422,Products!$A$2:$A$201,0))</f>
        <v/>
      </c>
      <c r="G2422" s="2">
        <f>E2422-F2422</f>
        <v/>
      </c>
    </row>
    <row r="2423" ht="15" customHeight="1" s="1">
      <c r="A2423" s="2" t="n">
        <v>52421</v>
      </c>
      <c r="B2423" s="2" t="inlineStr">
        <is>
          <t>SKU-0142</t>
        </is>
      </c>
      <c r="C2423" s="2" t="n">
        <v>4</v>
      </c>
      <c r="D2423" s="2">
        <f>VLOOKUP(B2423,Products!$A$2:$D$201,3,FALSE())</f>
        <v/>
      </c>
      <c r="E2423" s="2">
        <f>C2423*D2423</f>
        <v/>
      </c>
      <c r="F2423" s="2">
        <f>C2423*INDEX(Products!$D$2:$D$201,MATCH(B2423,Products!$A$2:$A$201,0))</f>
        <v/>
      </c>
      <c r="G2423" s="2">
        <f>E2423-F2423</f>
        <v/>
      </c>
    </row>
    <row r="2424" ht="15" customHeight="1" s="1">
      <c r="A2424" s="2" t="n">
        <v>52422</v>
      </c>
      <c r="B2424" s="2" t="inlineStr">
        <is>
          <t>SKU-0023</t>
        </is>
      </c>
      <c r="C2424" s="2" t="n">
        <v>11</v>
      </c>
      <c r="D2424" s="2">
        <f>VLOOKUP(B2424,Products!$A$2:$D$201,3,FALSE())</f>
        <v/>
      </c>
      <c r="E2424" s="2">
        <f>C2424*D2424</f>
        <v/>
      </c>
      <c r="F2424" s="2">
        <f>C2424*INDEX(Products!$D$2:$D$201,MATCH(B2424,Products!$A$2:$A$201,0))</f>
        <v/>
      </c>
      <c r="G2424" s="2">
        <f>E2424-F2424</f>
        <v/>
      </c>
    </row>
    <row r="2425" ht="15" customHeight="1" s="1">
      <c r="A2425" s="2" t="n">
        <v>52423</v>
      </c>
      <c r="B2425" s="2" t="inlineStr">
        <is>
          <t>SKU-0177</t>
        </is>
      </c>
      <c r="C2425" s="2" t="n">
        <v>11</v>
      </c>
      <c r="D2425" s="2">
        <f>VLOOKUP(B2425,Products!$A$2:$D$201,3,FALSE())</f>
        <v/>
      </c>
      <c r="E2425" s="2">
        <f>C2425*D2425</f>
        <v/>
      </c>
      <c r="F2425" s="2">
        <f>C2425*INDEX(Products!$D$2:$D$201,MATCH(B2425,Products!$A$2:$A$201,0))</f>
        <v/>
      </c>
      <c r="G2425" s="2">
        <f>E2425-F2425</f>
        <v/>
      </c>
    </row>
    <row r="2426" ht="15" customHeight="1" s="1">
      <c r="A2426" s="2" t="n">
        <v>52424</v>
      </c>
      <c r="B2426" s="2" t="inlineStr">
        <is>
          <t>SKU-0145</t>
        </is>
      </c>
      <c r="C2426" s="2" t="n">
        <v>8</v>
      </c>
      <c r="D2426" s="2">
        <f>VLOOKUP(B2426,Products!$A$2:$D$201,3,FALSE())</f>
        <v/>
      </c>
      <c r="E2426" s="2">
        <f>C2426*D2426</f>
        <v/>
      </c>
      <c r="F2426" s="2">
        <f>C2426*INDEX(Products!$D$2:$D$201,MATCH(B2426,Products!$A$2:$A$201,0))</f>
        <v/>
      </c>
      <c r="G2426" s="2">
        <f>E2426-F2426</f>
        <v/>
      </c>
    </row>
    <row r="2427" ht="15" customHeight="1" s="1">
      <c r="A2427" s="2" t="n">
        <v>52425</v>
      </c>
      <c r="B2427" s="2" t="inlineStr">
        <is>
          <t>SKU-0182</t>
        </is>
      </c>
      <c r="C2427" s="2" t="n">
        <v>16</v>
      </c>
      <c r="D2427" s="2">
        <f>VLOOKUP(B2427,Products!$A$2:$D$201,3,FALSE())</f>
        <v/>
      </c>
      <c r="E2427" s="2">
        <f>C2427*D2427</f>
        <v/>
      </c>
      <c r="F2427" s="2">
        <f>C2427*INDEX(Products!$D$2:$D$201,MATCH(B2427,Products!$A$2:$A$201,0))</f>
        <v/>
      </c>
      <c r="G2427" s="2">
        <f>E2427-F2427</f>
        <v/>
      </c>
    </row>
    <row r="2428" ht="15" customHeight="1" s="1">
      <c r="A2428" s="2" t="n">
        <v>52426</v>
      </c>
      <c r="B2428" s="2" t="inlineStr">
        <is>
          <t>SKU-0136</t>
        </is>
      </c>
      <c r="C2428" s="2" t="n">
        <v>19</v>
      </c>
      <c r="D2428" s="2">
        <f>VLOOKUP(B2428,Products!$A$2:$D$201,3,FALSE())</f>
        <v/>
      </c>
      <c r="E2428" s="2">
        <f>C2428*D2428</f>
        <v/>
      </c>
      <c r="F2428" s="2">
        <f>C2428*INDEX(Products!$D$2:$D$201,MATCH(B2428,Products!$A$2:$A$201,0))</f>
        <v/>
      </c>
      <c r="G2428" s="2">
        <f>E2428-F2428</f>
        <v/>
      </c>
    </row>
    <row r="2429" ht="15" customHeight="1" s="1">
      <c r="A2429" s="2" t="n">
        <v>52427</v>
      </c>
      <c r="B2429" s="2" t="inlineStr">
        <is>
          <t>SKU-0073</t>
        </is>
      </c>
      <c r="C2429" s="2" t="n">
        <v>15</v>
      </c>
      <c r="D2429" s="2">
        <f>VLOOKUP(B2429,Products!$A$2:$D$201,3,FALSE())</f>
        <v/>
      </c>
      <c r="E2429" s="2">
        <f>C2429*D2429</f>
        <v/>
      </c>
      <c r="F2429" s="2">
        <f>C2429*INDEX(Products!$D$2:$D$201,MATCH(B2429,Products!$A$2:$A$201,0))</f>
        <v/>
      </c>
      <c r="G2429" s="2">
        <f>E2429-F2429</f>
        <v/>
      </c>
    </row>
    <row r="2430" ht="15" customHeight="1" s="1">
      <c r="A2430" s="2" t="n">
        <v>52428</v>
      </c>
      <c r="B2430" s="2" t="inlineStr">
        <is>
          <t>SKU-0118</t>
        </is>
      </c>
      <c r="C2430" s="2" t="n">
        <v>1</v>
      </c>
      <c r="D2430" s="2">
        <f>VLOOKUP(B2430,Products!$A$2:$D$201,3,FALSE())</f>
        <v/>
      </c>
      <c r="E2430" s="2">
        <f>C2430*D2430</f>
        <v/>
      </c>
      <c r="F2430" s="2">
        <f>C2430*INDEX(Products!$D$2:$D$201,MATCH(B2430,Products!$A$2:$A$201,0))</f>
        <v/>
      </c>
      <c r="G2430" s="2">
        <f>E2430-F2430</f>
        <v/>
      </c>
    </row>
    <row r="2431" ht="15" customHeight="1" s="1">
      <c r="A2431" s="2" t="n">
        <v>52429</v>
      </c>
      <c r="B2431" s="2" t="inlineStr">
        <is>
          <t>SKU-0177</t>
        </is>
      </c>
      <c r="C2431" s="2" t="n">
        <v>7</v>
      </c>
      <c r="D2431" s="2">
        <f>VLOOKUP(B2431,Products!$A$2:$D$201,3,FALSE())</f>
        <v/>
      </c>
      <c r="E2431" s="2">
        <f>C2431*D2431</f>
        <v/>
      </c>
      <c r="F2431" s="2">
        <f>C2431*INDEX(Products!$D$2:$D$201,MATCH(B2431,Products!$A$2:$A$201,0))</f>
        <v/>
      </c>
      <c r="G2431" s="2">
        <f>E2431-F2431</f>
        <v/>
      </c>
    </row>
    <row r="2432" ht="15" customHeight="1" s="1">
      <c r="A2432" s="2" t="n">
        <v>52430</v>
      </c>
      <c r="B2432" s="2" t="inlineStr">
        <is>
          <t>SKU-0174</t>
        </is>
      </c>
      <c r="C2432" s="2" t="n">
        <v>4</v>
      </c>
      <c r="D2432" s="2">
        <f>VLOOKUP(B2432,Products!$A$2:$D$201,3,FALSE())</f>
        <v/>
      </c>
      <c r="E2432" s="2">
        <f>C2432*D2432</f>
        <v/>
      </c>
      <c r="F2432" s="2">
        <f>C2432*INDEX(Products!$D$2:$D$201,MATCH(B2432,Products!$A$2:$A$201,0))</f>
        <v/>
      </c>
      <c r="G2432" s="2">
        <f>E2432-F2432</f>
        <v/>
      </c>
    </row>
    <row r="2433" ht="15" customHeight="1" s="1">
      <c r="A2433" s="2" t="n">
        <v>52431</v>
      </c>
      <c r="B2433" s="2" t="inlineStr">
        <is>
          <t>SKU-0078</t>
        </is>
      </c>
      <c r="C2433" s="2" t="n">
        <v>10</v>
      </c>
      <c r="D2433" s="2">
        <f>VLOOKUP(B2433,Products!$A$2:$D$201,3,FALSE())</f>
        <v/>
      </c>
      <c r="E2433" s="2">
        <f>C2433*D2433</f>
        <v/>
      </c>
      <c r="F2433" s="2">
        <f>C2433*INDEX(Products!$D$2:$D$201,MATCH(B2433,Products!$A$2:$A$201,0))</f>
        <v/>
      </c>
      <c r="G2433" s="2">
        <f>E2433-F2433</f>
        <v/>
      </c>
    </row>
    <row r="2434" ht="15" customHeight="1" s="1">
      <c r="A2434" s="2" t="n">
        <v>52432</v>
      </c>
      <c r="B2434" s="2" t="inlineStr">
        <is>
          <t>SKU-0022</t>
        </is>
      </c>
      <c r="C2434" s="2" t="n">
        <v>12</v>
      </c>
      <c r="D2434" s="2">
        <f>VLOOKUP(B2434,Products!$A$2:$D$201,3,FALSE())</f>
        <v/>
      </c>
      <c r="E2434" s="2">
        <f>C2434*D2434</f>
        <v/>
      </c>
      <c r="F2434" s="2">
        <f>C2434*INDEX(Products!$D$2:$D$201,MATCH(B2434,Products!$A$2:$A$201,0))</f>
        <v/>
      </c>
      <c r="G2434" s="2">
        <f>E2434-F2434</f>
        <v/>
      </c>
    </row>
    <row r="2435" ht="15" customHeight="1" s="1">
      <c r="A2435" s="2" t="n">
        <v>52433</v>
      </c>
      <c r="B2435" s="2" t="inlineStr">
        <is>
          <t>SKU-0016</t>
        </is>
      </c>
      <c r="C2435" s="2" t="n">
        <v>2</v>
      </c>
      <c r="D2435" s="2">
        <f>VLOOKUP(B2435,Products!$A$2:$D$201,3,FALSE())</f>
        <v/>
      </c>
      <c r="E2435" s="2">
        <f>C2435*D2435</f>
        <v/>
      </c>
      <c r="F2435" s="2">
        <f>C2435*INDEX(Products!$D$2:$D$201,MATCH(B2435,Products!$A$2:$A$201,0))</f>
        <v/>
      </c>
      <c r="G2435" s="2">
        <f>E2435-F2435</f>
        <v/>
      </c>
    </row>
    <row r="2436" ht="15" customHeight="1" s="1">
      <c r="A2436" s="2" t="n">
        <v>52434</v>
      </c>
      <c r="B2436" s="2" t="inlineStr">
        <is>
          <t>SKU-0041</t>
        </is>
      </c>
      <c r="C2436" s="2" t="n">
        <v>9</v>
      </c>
      <c r="D2436" s="2">
        <f>VLOOKUP(B2436,Products!$A$2:$D$201,3,FALSE())</f>
        <v/>
      </c>
      <c r="E2436" s="2">
        <f>C2436*D2436</f>
        <v/>
      </c>
      <c r="F2436" s="2">
        <f>C2436*INDEX(Products!$D$2:$D$201,MATCH(B2436,Products!$A$2:$A$201,0))</f>
        <v/>
      </c>
      <c r="G2436" s="2">
        <f>E2436-F2436</f>
        <v/>
      </c>
    </row>
    <row r="2437" ht="15" customHeight="1" s="1">
      <c r="A2437" s="2" t="n">
        <v>52435</v>
      </c>
      <c r="B2437" s="2" t="inlineStr">
        <is>
          <t>SKU-0082</t>
        </is>
      </c>
      <c r="C2437" s="2" t="n">
        <v>20</v>
      </c>
      <c r="D2437" s="2">
        <f>VLOOKUP(B2437,Products!$A$2:$D$201,3,FALSE())</f>
        <v/>
      </c>
      <c r="E2437" s="2">
        <f>C2437*D2437</f>
        <v/>
      </c>
      <c r="F2437" s="2">
        <f>C2437*INDEX(Products!$D$2:$D$201,MATCH(B2437,Products!$A$2:$A$201,0))</f>
        <v/>
      </c>
      <c r="G2437" s="2">
        <f>E2437-F2437</f>
        <v/>
      </c>
    </row>
    <row r="2438" ht="15" customHeight="1" s="1">
      <c r="A2438" s="2" t="n">
        <v>52436</v>
      </c>
      <c r="B2438" s="2" t="inlineStr">
        <is>
          <t>SKU-0127</t>
        </is>
      </c>
      <c r="C2438" s="2" t="n">
        <v>16</v>
      </c>
      <c r="D2438" s="2">
        <f>VLOOKUP(B2438,Products!$A$2:$D$201,3,FALSE())</f>
        <v/>
      </c>
      <c r="E2438" s="2">
        <f>C2438*D2438</f>
        <v/>
      </c>
      <c r="F2438" s="2">
        <f>C2438*INDEX(Products!$D$2:$D$201,MATCH(B2438,Products!$A$2:$A$201,0))</f>
        <v/>
      </c>
      <c r="G2438" s="2">
        <f>E2438-F2438</f>
        <v/>
      </c>
    </row>
    <row r="2439" ht="15" customHeight="1" s="1">
      <c r="A2439" s="2" t="n">
        <v>52437</v>
      </c>
      <c r="B2439" s="2" t="inlineStr">
        <is>
          <t>SKU-0194</t>
        </is>
      </c>
      <c r="C2439" s="2" t="n">
        <v>20</v>
      </c>
      <c r="D2439" s="2">
        <f>VLOOKUP(B2439,Products!$A$2:$D$201,3,FALSE())</f>
        <v/>
      </c>
      <c r="E2439" s="2">
        <f>C2439*D2439</f>
        <v/>
      </c>
      <c r="F2439" s="2">
        <f>C2439*INDEX(Products!$D$2:$D$201,MATCH(B2439,Products!$A$2:$A$201,0))</f>
        <v/>
      </c>
      <c r="G2439" s="2">
        <f>E2439-F2439</f>
        <v/>
      </c>
    </row>
    <row r="2440" ht="15" customHeight="1" s="1">
      <c r="A2440" s="2" t="n">
        <v>52438</v>
      </c>
      <c r="B2440" s="2" t="inlineStr">
        <is>
          <t>SKU-0104</t>
        </is>
      </c>
      <c r="C2440" s="2" t="n">
        <v>10</v>
      </c>
      <c r="D2440" s="2">
        <f>VLOOKUP(B2440,Products!$A$2:$D$201,3,FALSE())</f>
        <v/>
      </c>
      <c r="E2440" s="2">
        <f>C2440*D2440</f>
        <v/>
      </c>
      <c r="F2440" s="2">
        <f>C2440*INDEX(Products!$D$2:$D$201,MATCH(B2440,Products!$A$2:$A$201,0))</f>
        <v/>
      </c>
      <c r="G2440" s="2">
        <f>E2440-F2440</f>
        <v/>
      </c>
    </row>
    <row r="2441" ht="15" customHeight="1" s="1">
      <c r="A2441" s="2" t="n">
        <v>52439</v>
      </c>
      <c r="B2441" s="2" t="inlineStr">
        <is>
          <t>SKU-0183</t>
        </is>
      </c>
      <c r="C2441" s="2" t="n">
        <v>15</v>
      </c>
      <c r="D2441" s="2">
        <f>VLOOKUP(B2441,Products!$A$2:$D$201,3,FALSE())</f>
        <v/>
      </c>
      <c r="E2441" s="2">
        <f>C2441*D2441</f>
        <v/>
      </c>
      <c r="F2441" s="2">
        <f>C2441*INDEX(Products!$D$2:$D$201,MATCH(B2441,Products!$A$2:$A$201,0))</f>
        <v/>
      </c>
      <c r="G2441" s="2">
        <f>E2441-F2441</f>
        <v/>
      </c>
    </row>
    <row r="2442" ht="15" customHeight="1" s="1">
      <c r="A2442" s="2" t="n">
        <v>52440</v>
      </c>
      <c r="B2442" s="2" t="inlineStr">
        <is>
          <t>SKU-0199</t>
        </is>
      </c>
      <c r="C2442" s="2" t="n">
        <v>14</v>
      </c>
      <c r="D2442" s="2">
        <f>VLOOKUP(B2442,Products!$A$2:$D$201,3,FALSE())</f>
        <v/>
      </c>
      <c r="E2442" s="2">
        <f>C2442*D2442</f>
        <v/>
      </c>
      <c r="F2442" s="2">
        <f>C2442*INDEX(Products!$D$2:$D$201,MATCH(B2442,Products!$A$2:$A$201,0))</f>
        <v/>
      </c>
      <c r="G2442" s="2">
        <f>E2442-F2442</f>
        <v/>
      </c>
    </row>
    <row r="2443" ht="15" customHeight="1" s="1">
      <c r="A2443" s="2" t="n">
        <v>52441</v>
      </c>
      <c r="B2443" s="2" t="inlineStr">
        <is>
          <t>SKU-0094</t>
        </is>
      </c>
      <c r="C2443" s="2" t="n">
        <v>1</v>
      </c>
      <c r="D2443" s="2">
        <f>VLOOKUP(B2443,Products!$A$2:$D$201,3,FALSE())</f>
        <v/>
      </c>
      <c r="E2443" s="2">
        <f>C2443*D2443</f>
        <v/>
      </c>
      <c r="F2443" s="2">
        <f>C2443*INDEX(Products!$D$2:$D$201,MATCH(B2443,Products!$A$2:$A$201,0))</f>
        <v/>
      </c>
      <c r="G2443" s="2">
        <f>E2443-F2443</f>
        <v/>
      </c>
    </row>
    <row r="2444" ht="15" customHeight="1" s="1">
      <c r="A2444" s="2" t="n">
        <v>52442</v>
      </c>
      <c r="B2444" s="2" t="inlineStr">
        <is>
          <t>SKU-0170</t>
        </is>
      </c>
      <c r="C2444" s="2" t="n">
        <v>19</v>
      </c>
      <c r="D2444" s="2">
        <f>VLOOKUP(B2444,Products!$A$2:$D$201,3,FALSE())</f>
        <v/>
      </c>
      <c r="E2444" s="2">
        <f>C2444*D2444</f>
        <v/>
      </c>
      <c r="F2444" s="2">
        <f>C2444*INDEX(Products!$D$2:$D$201,MATCH(B2444,Products!$A$2:$A$201,0))</f>
        <v/>
      </c>
      <c r="G2444" s="2">
        <f>E2444-F2444</f>
        <v/>
      </c>
    </row>
    <row r="2445" ht="15" customHeight="1" s="1">
      <c r="A2445" s="2" t="n">
        <v>52443</v>
      </c>
      <c r="B2445" s="2" t="inlineStr">
        <is>
          <t>SKU-0027</t>
        </is>
      </c>
      <c r="C2445" s="2" t="n">
        <v>12</v>
      </c>
      <c r="D2445" s="2">
        <f>VLOOKUP(B2445,Products!$A$2:$D$201,3,FALSE())</f>
        <v/>
      </c>
      <c r="E2445" s="2">
        <f>C2445*D2445</f>
        <v/>
      </c>
      <c r="F2445" s="2">
        <f>C2445*INDEX(Products!$D$2:$D$201,MATCH(B2445,Products!$A$2:$A$201,0))</f>
        <v/>
      </c>
      <c r="G2445" s="2">
        <f>E2445-F2445</f>
        <v/>
      </c>
    </row>
    <row r="2446" ht="15" customHeight="1" s="1">
      <c r="A2446" s="2" t="n">
        <v>52444</v>
      </c>
      <c r="B2446" s="2" t="inlineStr">
        <is>
          <t>SKU-0069</t>
        </is>
      </c>
      <c r="C2446" s="2" t="n">
        <v>7</v>
      </c>
      <c r="D2446" s="2">
        <f>VLOOKUP(B2446,Products!$A$2:$D$201,3,FALSE())</f>
        <v/>
      </c>
      <c r="E2446" s="2">
        <f>C2446*D2446</f>
        <v/>
      </c>
      <c r="F2446" s="2">
        <f>C2446*INDEX(Products!$D$2:$D$201,MATCH(B2446,Products!$A$2:$A$201,0))</f>
        <v/>
      </c>
      <c r="G2446" s="2">
        <f>E2446-F2446</f>
        <v/>
      </c>
    </row>
    <row r="2447" ht="15" customHeight="1" s="1">
      <c r="A2447" s="2" t="n">
        <v>52445</v>
      </c>
      <c r="B2447" s="2" t="inlineStr">
        <is>
          <t>SKU-0037</t>
        </is>
      </c>
      <c r="C2447" s="2" t="n">
        <v>10</v>
      </c>
      <c r="D2447" s="2">
        <f>VLOOKUP(B2447,Products!$A$2:$D$201,3,FALSE())</f>
        <v/>
      </c>
      <c r="E2447" s="2">
        <f>C2447*D2447</f>
        <v/>
      </c>
      <c r="F2447" s="2">
        <f>C2447*INDEX(Products!$D$2:$D$201,MATCH(B2447,Products!$A$2:$A$201,0))</f>
        <v/>
      </c>
      <c r="G2447" s="2">
        <f>E2447-F2447</f>
        <v/>
      </c>
    </row>
    <row r="2448" ht="15" customHeight="1" s="1">
      <c r="A2448" s="2" t="n">
        <v>52446</v>
      </c>
      <c r="B2448" s="2" t="inlineStr">
        <is>
          <t>SKU-0131</t>
        </is>
      </c>
      <c r="C2448" s="2" t="n">
        <v>3</v>
      </c>
      <c r="D2448" s="2">
        <f>VLOOKUP(B2448,Products!$A$2:$D$201,3,FALSE())</f>
        <v/>
      </c>
      <c r="E2448" s="2">
        <f>C2448*D2448</f>
        <v/>
      </c>
      <c r="F2448" s="2">
        <f>C2448*INDEX(Products!$D$2:$D$201,MATCH(B2448,Products!$A$2:$A$201,0))</f>
        <v/>
      </c>
      <c r="G2448" s="2">
        <f>E2448-F2448</f>
        <v/>
      </c>
    </row>
    <row r="2449" ht="15" customHeight="1" s="1">
      <c r="A2449" s="2" t="n">
        <v>52447</v>
      </c>
      <c r="B2449" s="2" t="inlineStr">
        <is>
          <t>SKU-0028</t>
        </is>
      </c>
      <c r="C2449" s="2" t="n">
        <v>19</v>
      </c>
      <c r="D2449" s="2">
        <f>VLOOKUP(B2449,Products!$A$2:$D$201,3,FALSE())</f>
        <v/>
      </c>
      <c r="E2449" s="2">
        <f>C2449*D2449</f>
        <v/>
      </c>
      <c r="F2449" s="2">
        <f>C2449*INDEX(Products!$D$2:$D$201,MATCH(B2449,Products!$A$2:$A$201,0))</f>
        <v/>
      </c>
      <c r="G2449" s="2">
        <f>E2449-F2449</f>
        <v/>
      </c>
    </row>
    <row r="2450" ht="15" customHeight="1" s="1">
      <c r="A2450" s="2" t="n">
        <v>52448</v>
      </c>
      <c r="B2450" s="2" t="inlineStr">
        <is>
          <t>SKU-0157</t>
        </is>
      </c>
      <c r="C2450" s="2" t="n">
        <v>5</v>
      </c>
      <c r="D2450" s="2">
        <f>VLOOKUP(B2450,Products!$A$2:$D$201,3,FALSE())</f>
        <v/>
      </c>
      <c r="E2450" s="2">
        <f>C2450*D2450</f>
        <v/>
      </c>
      <c r="F2450" s="2">
        <f>C2450*INDEX(Products!$D$2:$D$201,MATCH(B2450,Products!$A$2:$A$201,0))</f>
        <v/>
      </c>
      <c r="G2450" s="2">
        <f>E2450-F2450</f>
        <v/>
      </c>
    </row>
    <row r="2451" ht="15" customHeight="1" s="1">
      <c r="A2451" s="2" t="n">
        <v>52449</v>
      </c>
      <c r="B2451" s="2" t="inlineStr">
        <is>
          <t>SKU-0128</t>
        </is>
      </c>
      <c r="C2451" s="2" t="n">
        <v>5</v>
      </c>
      <c r="D2451" s="2">
        <f>VLOOKUP(B2451,Products!$A$2:$D$201,3,FALSE())</f>
        <v/>
      </c>
      <c r="E2451" s="2">
        <f>C2451*D2451</f>
        <v/>
      </c>
      <c r="F2451" s="2">
        <f>C2451*INDEX(Products!$D$2:$D$201,MATCH(B2451,Products!$A$2:$A$201,0))</f>
        <v/>
      </c>
      <c r="G2451" s="2">
        <f>E2451-F2451</f>
        <v/>
      </c>
    </row>
    <row r="2452" ht="15" customHeight="1" s="1">
      <c r="A2452" s="2" t="n">
        <v>52450</v>
      </c>
      <c r="B2452" s="2" t="inlineStr">
        <is>
          <t>SKU-0167</t>
        </is>
      </c>
      <c r="C2452" s="2" t="n">
        <v>2</v>
      </c>
      <c r="D2452" s="2">
        <f>VLOOKUP(B2452,Products!$A$2:$D$201,3,FALSE())</f>
        <v/>
      </c>
      <c r="E2452" s="2">
        <f>C2452*D2452</f>
        <v/>
      </c>
      <c r="F2452" s="2">
        <f>C2452*INDEX(Products!$D$2:$D$201,MATCH(B2452,Products!$A$2:$A$201,0))</f>
        <v/>
      </c>
      <c r="G2452" s="2">
        <f>E2452-F2452</f>
        <v/>
      </c>
    </row>
    <row r="2453" ht="15" customHeight="1" s="1">
      <c r="A2453" s="2" t="n">
        <v>52451</v>
      </c>
      <c r="B2453" s="2" t="inlineStr">
        <is>
          <t>SKU-0070</t>
        </is>
      </c>
      <c r="C2453" s="2" t="n">
        <v>8</v>
      </c>
      <c r="D2453" s="2">
        <f>VLOOKUP(B2453,Products!$A$2:$D$201,3,FALSE())</f>
        <v/>
      </c>
      <c r="E2453" s="2">
        <f>C2453*D2453</f>
        <v/>
      </c>
      <c r="F2453" s="2">
        <f>C2453*INDEX(Products!$D$2:$D$201,MATCH(B2453,Products!$A$2:$A$201,0))</f>
        <v/>
      </c>
      <c r="G2453" s="2">
        <f>E2453-F2453</f>
        <v/>
      </c>
    </row>
    <row r="2454" ht="15" customHeight="1" s="1">
      <c r="A2454" s="2" t="n">
        <v>52452</v>
      </c>
      <c r="B2454" s="2" t="inlineStr">
        <is>
          <t>SKU-0121</t>
        </is>
      </c>
      <c r="C2454" s="2" t="n">
        <v>10</v>
      </c>
      <c r="D2454" s="2">
        <f>VLOOKUP(B2454,Products!$A$2:$D$201,3,FALSE())</f>
        <v/>
      </c>
      <c r="E2454" s="2">
        <f>C2454*D2454</f>
        <v/>
      </c>
      <c r="F2454" s="2">
        <f>C2454*INDEX(Products!$D$2:$D$201,MATCH(B2454,Products!$A$2:$A$201,0))</f>
        <v/>
      </c>
      <c r="G2454" s="2">
        <f>E2454-F2454</f>
        <v/>
      </c>
    </row>
    <row r="2455" ht="15" customHeight="1" s="1">
      <c r="A2455" s="2" t="n">
        <v>52453</v>
      </c>
      <c r="B2455" s="2" t="inlineStr">
        <is>
          <t>SKU-0196</t>
        </is>
      </c>
      <c r="C2455" s="2" t="n">
        <v>20</v>
      </c>
      <c r="D2455" s="2">
        <f>VLOOKUP(B2455,Products!$A$2:$D$201,3,FALSE())</f>
        <v/>
      </c>
      <c r="E2455" s="2">
        <f>C2455*D2455</f>
        <v/>
      </c>
      <c r="F2455" s="2">
        <f>C2455*INDEX(Products!$D$2:$D$201,MATCH(B2455,Products!$A$2:$A$201,0))</f>
        <v/>
      </c>
      <c r="G2455" s="2">
        <f>E2455-F2455</f>
        <v/>
      </c>
    </row>
    <row r="2456" ht="15" customHeight="1" s="1">
      <c r="A2456" s="2" t="n">
        <v>52454</v>
      </c>
      <c r="B2456" s="2" t="inlineStr">
        <is>
          <t>SKU-0155</t>
        </is>
      </c>
      <c r="C2456" s="2" t="n">
        <v>6</v>
      </c>
      <c r="D2456" s="2">
        <f>VLOOKUP(B2456,Products!$A$2:$D$201,3,FALSE())</f>
        <v/>
      </c>
      <c r="E2456" s="2">
        <f>C2456*D2456</f>
        <v/>
      </c>
      <c r="F2456" s="2">
        <f>C2456*INDEX(Products!$D$2:$D$201,MATCH(B2456,Products!$A$2:$A$201,0))</f>
        <v/>
      </c>
      <c r="G2456" s="2">
        <f>E2456-F2456</f>
        <v/>
      </c>
    </row>
    <row r="2457" ht="15" customHeight="1" s="1">
      <c r="A2457" s="2" t="n">
        <v>52455</v>
      </c>
      <c r="B2457" s="2" t="inlineStr">
        <is>
          <t>SKU-0049</t>
        </is>
      </c>
      <c r="C2457" s="2" t="n">
        <v>4</v>
      </c>
      <c r="D2457" s="2">
        <f>VLOOKUP(B2457,Products!$A$2:$D$201,3,FALSE())</f>
        <v/>
      </c>
      <c r="E2457" s="2">
        <f>C2457*D2457</f>
        <v/>
      </c>
      <c r="F2457" s="2">
        <f>C2457*INDEX(Products!$D$2:$D$201,MATCH(B2457,Products!$A$2:$A$201,0))</f>
        <v/>
      </c>
      <c r="G2457" s="2">
        <f>E2457-F2457</f>
        <v/>
      </c>
    </row>
    <row r="2458" ht="15" customHeight="1" s="1">
      <c r="A2458" s="2" t="n">
        <v>52456</v>
      </c>
      <c r="B2458" s="2" t="inlineStr">
        <is>
          <t>SKU-0179</t>
        </is>
      </c>
      <c r="C2458" s="2" t="n">
        <v>14</v>
      </c>
      <c r="D2458" s="2">
        <f>VLOOKUP(B2458,Products!$A$2:$D$201,3,FALSE())</f>
        <v/>
      </c>
      <c r="E2458" s="2">
        <f>C2458*D2458</f>
        <v/>
      </c>
      <c r="F2458" s="2">
        <f>C2458*INDEX(Products!$D$2:$D$201,MATCH(B2458,Products!$A$2:$A$201,0))</f>
        <v/>
      </c>
      <c r="G2458" s="2">
        <f>E2458-F2458</f>
        <v/>
      </c>
    </row>
    <row r="2459" ht="15" customHeight="1" s="1">
      <c r="A2459" s="2" t="n">
        <v>52457</v>
      </c>
      <c r="B2459" s="2" t="inlineStr">
        <is>
          <t>SKU-0191</t>
        </is>
      </c>
      <c r="C2459" s="2" t="n">
        <v>15</v>
      </c>
      <c r="D2459" s="2">
        <f>VLOOKUP(B2459,Products!$A$2:$D$201,3,FALSE())</f>
        <v/>
      </c>
      <c r="E2459" s="2">
        <f>C2459*D2459</f>
        <v/>
      </c>
      <c r="F2459" s="2">
        <f>C2459*INDEX(Products!$D$2:$D$201,MATCH(B2459,Products!$A$2:$A$201,0))</f>
        <v/>
      </c>
      <c r="G2459" s="2">
        <f>E2459-F2459</f>
        <v/>
      </c>
    </row>
    <row r="2460" ht="15" customHeight="1" s="1">
      <c r="A2460" s="2" t="n">
        <v>52458</v>
      </c>
      <c r="B2460" s="2" t="inlineStr">
        <is>
          <t>SKU-0115</t>
        </is>
      </c>
      <c r="C2460" s="2" t="n">
        <v>8</v>
      </c>
      <c r="D2460" s="2">
        <f>VLOOKUP(B2460,Products!$A$2:$D$201,3,FALSE())</f>
        <v/>
      </c>
      <c r="E2460" s="2">
        <f>C2460*D2460</f>
        <v/>
      </c>
      <c r="F2460" s="2">
        <f>C2460*INDEX(Products!$D$2:$D$201,MATCH(B2460,Products!$A$2:$A$201,0))</f>
        <v/>
      </c>
      <c r="G2460" s="2">
        <f>E2460-F2460</f>
        <v/>
      </c>
    </row>
    <row r="2461" ht="15" customHeight="1" s="1">
      <c r="A2461" s="2" t="n">
        <v>52459</v>
      </c>
      <c r="B2461" s="2" t="inlineStr">
        <is>
          <t>SKU-0155</t>
        </is>
      </c>
      <c r="C2461" s="2" t="n">
        <v>13</v>
      </c>
      <c r="D2461" s="2">
        <f>VLOOKUP(B2461,Products!$A$2:$D$201,3,FALSE())</f>
        <v/>
      </c>
      <c r="E2461" s="2">
        <f>C2461*D2461</f>
        <v/>
      </c>
      <c r="F2461" s="2">
        <f>C2461*INDEX(Products!$D$2:$D$201,MATCH(B2461,Products!$A$2:$A$201,0))</f>
        <v/>
      </c>
      <c r="G2461" s="2">
        <f>E2461-F2461</f>
        <v/>
      </c>
    </row>
    <row r="2462" ht="15" customHeight="1" s="1">
      <c r="A2462" s="2" t="n">
        <v>52460</v>
      </c>
      <c r="B2462" s="2" t="inlineStr">
        <is>
          <t>SKU-0042</t>
        </is>
      </c>
      <c r="C2462" s="2" t="n">
        <v>19</v>
      </c>
      <c r="D2462" s="2">
        <f>VLOOKUP(B2462,Products!$A$2:$D$201,3,FALSE())</f>
        <v/>
      </c>
      <c r="E2462" s="2">
        <f>C2462*D2462</f>
        <v/>
      </c>
      <c r="F2462" s="2">
        <f>C2462*INDEX(Products!$D$2:$D$201,MATCH(B2462,Products!$A$2:$A$201,0))</f>
        <v/>
      </c>
      <c r="G2462" s="2">
        <f>E2462-F2462</f>
        <v/>
      </c>
    </row>
    <row r="2463" ht="15" customHeight="1" s="1">
      <c r="A2463" s="2" t="n">
        <v>52461</v>
      </c>
      <c r="B2463" s="2" t="inlineStr">
        <is>
          <t>SKU-0169</t>
        </is>
      </c>
      <c r="C2463" s="2" t="n">
        <v>19</v>
      </c>
      <c r="D2463" s="2">
        <f>VLOOKUP(B2463,Products!$A$2:$D$201,3,FALSE())</f>
        <v/>
      </c>
      <c r="E2463" s="2">
        <f>C2463*D2463</f>
        <v/>
      </c>
      <c r="F2463" s="2">
        <f>C2463*INDEX(Products!$D$2:$D$201,MATCH(B2463,Products!$A$2:$A$201,0))</f>
        <v/>
      </c>
      <c r="G2463" s="2">
        <f>E2463-F2463</f>
        <v/>
      </c>
    </row>
    <row r="2464" ht="15" customHeight="1" s="1">
      <c r="A2464" s="2" t="n">
        <v>52462</v>
      </c>
      <c r="B2464" s="2" t="inlineStr">
        <is>
          <t>SKU-0173</t>
        </is>
      </c>
      <c r="C2464" s="2" t="n">
        <v>5</v>
      </c>
      <c r="D2464" s="2">
        <f>VLOOKUP(B2464,Products!$A$2:$D$201,3,FALSE())</f>
        <v/>
      </c>
      <c r="E2464" s="2">
        <f>C2464*D2464</f>
        <v/>
      </c>
      <c r="F2464" s="2">
        <f>C2464*INDEX(Products!$D$2:$D$201,MATCH(B2464,Products!$A$2:$A$201,0))</f>
        <v/>
      </c>
      <c r="G2464" s="2">
        <f>E2464-F2464</f>
        <v/>
      </c>
    </row>
    <row r="2465" ht="15" customHeight="1" s="1">
      <c r="A2465" s="2" t="n">
        <v>52463</v>
      </c>
      <c r="B2465" s="2" t="inlineStr">
        <is>
          <t>SKU-0158</t>
        </is>
      </c>
      <c r="C2465" s="2" t="n">
        <v>10</v>
      </c>
      <c r="D2465" s="2">
        <f>VLOOKUP(B2465,Products!$A$2:$D$201,3,FALSE())</f>
        <v/>
      </c>
      <c r="E2465" s="2">
        <f>C2465*D2465</f>
        <v/>
      </c>
      <c r="F2465" s="2">
        <f>C2465*INDEX(Products!$D$2:$D$201,MATCH(B2465,Products!$A$2:$A$201,0))</f>
        <v/>
      </c>
      <c r="G2465" s="2">
        <f>E2465-F2465</f>
        <v/>
      </c>
    </row>
    <row r="2466" ht="15" customHeight="1" s="1">
      <c r="A2466" s="2" t="n">
        <v>52464</v>
      </c>
      <c r="B2466" s="2" t="inlineStr">
        <is>
          <t>SKU-0094</t>
        </is>
      </c>
      <c r="C2466" s="2" t="n">
        <v>20</v>
      </c>
      <c r="D2466" s="2">
        <f>VLOOKUP(B2466,Products!$A$2:$D$201,3,FALSE())</f>
        <v/>
      </c>
      <c r="E2466" s="2">
        <f>C2466*D2466</f>
        <v/>
      </c>
      <c r="F2466" s="2">
        <f>C2466*INDEX(Products!$D$2:$D$201,MATCH(B2466,Products!$A$2:$A$201,0))</f>
        <v/>
      </c>
      <c r="G2466" s="2">
        <f>E2466-F2466</f>
        <v/>
      </c>
    </row>
    <row r="2467" ht="15" customHeight="1" s="1">
      <c r="A2467" s="2" t="n">
        <v>52465</v>
      </c>
      <c r="B2467" s="2" t="inlineStr">
        <is>
          <t>SKU-0190</t>
        </is>
      </c>
      <c r="C2467" s="2" t="n">
        <v>14</v>
      </c>
      <c r="D2467" s="2">
        <f>VLOOKUP(B2467,Products!$A$2:$D$201,3,FALSE())</f>
        <v/>
      </c>
      <c r="E2467" s="2">
        <f>C2467*D2467</f>
        <v/>
      </c>
      <c r="F2467" s="2">
        <f>C2467*INDEX(Products!$D$2:$D$201,MATCH(B2467,Products!$A$2:$A$201,0))</f>
        <v/>
      </c>
      <c r="G2467" s="2">
        <f>E2467-F2467</f>
        <v/>
      </c>
    </row>
    <row r="2468" ht="15" customHeight="1" s="1">
      <c r="A2468" s="2" t="n">
        <v>52466</v>
      </c>
      <c r="B2468" s="2" t="inlineStr">
        <is>
          <t>SKU-0161</t>
        </is>
      </c>
      <c r="C2468" s="2" t="n">
        <v>6</v>
      </c>
      <c r="D2468" s="2">
        <f>VLOOKUP(B2468,Products!$A$2:$D$201,3,FALSE())</f>
        <v/>
      </c>
      <c r="E2468" s="2">
        <f>C2468*D2468</f>
        <v/>
      </c>
      <c r="F2468" s="2">
        <f>C2468*INDEX(Products!$D$2:$D$201,MATCH(B2468,Products!$A$2:$A$201,0))</f>
        <v/>
      </c>
      <c r="G2468" s="2">
        <f>E2468-F2468</f>
        <v/>
      </c>
    </row>
    <row r="2469" ht="15" customHeight="1" s="1">
      <c r="A2469" s="2" t="n">
        <v>52467</v>
      </c>
      <c r="B2469" s="2" t="inlineStr">
        <is>
          <t>SKU-0116</t>
        </is>
      </c>
      <c r="C2469" s="2" t="n">
        <v>10</v>
      </c>
      <c r="D2469" s="2">
        <f>VLOOKUP(B2469,Products!$A$2:$D$201,3,FALSE())</f>
        <v/>
      </c>
      <c r="E2469" s="2">
        <f>C2469*D2469</f>
        <v/>
      </c>
      <c r="F2469" s="2">
        <f>C2469*INDEX(Products!$D$2:$D$201,MATCH(B2469,Products!$A$2:$A$201,0))</f>
        <v/>
      </c>
      <c r="G2469" s="2">
        <f>E2469-F2469</f>
        <v/>
      </c>
    </row>
    <row r="2470" ht="15" customHeight="1" s="1">
      <c r="A2470" s="2" t="n">
        <v>52468</v>
      </c>
      <c r="B2470" s="2" t="inlineStr">
        <is>
          <t>SKU-0079</t>
        </is>
      </c>
      <c r="C2470" s="2" t="n">
        <v>11</v>
      </c>
      <c r="D2470" s="2">
        <f>VLOOKUP(B2470,Products!$A$2:$D$201,3,FALSE())</f>
        <v/>
      </c>
      <c r="E2470" s="2">
        <f>C2470*D2470</f>
        <v/>
      </c>
      <c r="F2470" s="2">
        <f>C2470*INDEX(Products!$D$2:$D$201,MATCH(B2470,Products!$A$2:$A$201,0))</f>
        <v/>
      </c>
      <c r="G2470" s="2">
        <f>E2470-F2470</f>
        <v/>
      </c>
    </row>
    <row r="2471" ht="15" customHeight="1" s="1">
      <c r="A2471" s="2" t="n">
        <v>52469</v>
      </c>
      <c r="B2471" s="2" t="inlineStr">
        <is>
          <t>SKU-0114</t>
        </is>
      </c>
      <c r="C2471" s="2" t="n">
        <v>16</v>
      </c>
      <c r="D2471" s="2">
        <f>VLOOKUP(B2471,Products!$A$2:$D$201,3,FALSE())</f>
        <v/>
      </c>
      <c r="E2471" s="2">
        <f>C2471*D2471</f>
        <v/>
      </c>
      <c r="F2471" s="2">
        <f>C2471*INDEX(Products!$D$2:$D$201,MATCH(B2471,Products!$A$2:$A$201,0))</f>
        <v/>
      </c>
      <c r="G2471" s="2">
        <f>E2471-F2471</f>
        <v/>
      </c>
    </row>
    <row r="2472" ht="15" customHeight="1" s="1">
      <c r="A2472" s="2" t="n">
        <v>52470</v>
      </c>
      <c r="B2472" s="2" t="inlineStr">
        <is>
          <t>SKU-0096</t>
        </is>
      </c>
      <c r="C2472" s="2" t="n">
        <v>7</v>
      </c>
      <c r="D2472" s="2">
        <f>VLOOKUP(B2472,Products!$A$2:$D$201,3,FALSE())</f>
        <v/>
      </c>
      <c r="E2472" s="2">
        <f>C2472*D2472</f>
        <v/>
      </c>
      <c r="F2472" s="2">
        <f>C2472*INDEX(Products!$D$2:$D$201,MATCH(B2472,Products!$A$2:$A$201,0))</f>
        <v/>
      </c>
      <c r="G2472" s="2">
        <f>E2472-F2472</f>
        <v/>
      </c>
    </row>
    <row r="2473" ht="15" customHeight="1" s="1">
      <c r="A2473" s="2" t="n">
        <v>52471</v>
      </c>
      <c r="B2473" s="2" t="inlineStr">
        <is>
          <t>SKU-0144</t>
        </is>
      </c>
      <c r="C2473" s="2" t="n">
        <v>10</v>
      </c>
      <c r="D2473" s="2">
        <f>VLOOKUP(B2473,Products!$A$2:$D$201,3,FALSE())</f>
        <v/>
      </c>
      <c r="E2473" s="2">
        <f>C2473*D2473</f>
        <v/>
      </c>
      <c r="F2473" s="2">
        <f>C2473*INDEX(Products!$D$2:$D$201,MATCH(B2473,Products!$A$2:$A$201,0))</f>
        <v/>
      </c>
      <c r="G2473" s="2">
        <f>E2473-F2473</f>
        <v/>
      </c>
    </row>
    <row r="2474" ht="15" customHeight="1" s="1">
      <c r="A2474" s="2" t="n">
        <v>52472</v>
      </c>
      <c r="B2474" s="2" t="inlineStr">
        <is>
          <t>SKU-0148</t>
        </is>
      </c>
      <c r="C2474" s="2" t="n">
        <v>18</v>
      </c>
      <c r="D2474" s="2">
        <f>VLOOKUP(B2474,Products!$A$2:$D$201,3,FALSE())</f>
        <v/>
      </c>
      <c r="E2474" s="2">
        <f>C2474*D2474</f>
        <v/>
      </c>
      <c r="F2474" s="2">
        <f>C2474*INDEX(Products!$D$2:$D$201,MATCH(B2474,Products!$A$2:$A$201,0))</f>
        <v/>
      </c>
      <c r="G2474" s="2">
        <f>E2474-F2474</f>
        <v/>
      </c>
    </row>
    <row r="2475" ht="15" customHeight="1" s="1">
      <c r="A2475" s="2" t="n">
        <v>52473</v>
      </c>
      <c r="B2475" s="2" t="inlineStr">
        <is>
          <t>SKU-0110</t>
        </is>
      </c>
      <c r="C2475" s="2" t="n">
        <v>4</v>
      </c>
      <c r="D2475" s="2">
        <f>VLOOKUP(B2475,Products!$A$2:$D$201,3,FALSE())</f>
        <v/>
      </c>
      <c r="E2475" s="2">
        <f>C2475*D2475</f>
        <v/>
      </c>
      <c r="F2475" s="2">
        <f>C2475*INDEX(Products!$D$2:$D$201,MATCH(B2475,Products!$A$2:$A$201,0))</f>
        <v/>
      </c>
      <c r="G2475" s="2">
        <f>E2475-F2475</f>
        <v/>
      </c>
    </row>
    <row r="2476" ht="15" customHeight="1" s="1">
      <c r="A2476" s="2" t="n">
        <v>52474</v>
      </c>
      <c r="B2476" s="2" t="inlineStr">
        <is>
          <t>SKU-0153</t>
        </is>
      </c>
      <c r="C2476" s="2" t="n">
        <v>3</v>
      </c>
      <c r="D2476" s="2">
        <f>VLOOKUP(B2476,Products!$A$2:$D$201,3,FALSE())</f>
        <v/>
      </c>
      <c r="E2476" s="2">
        <f>C2476*D2476</f>
        <v/>
      </c>
      <c r="F2476" s="2">
        <f>C2476*INDEX(Products!$D$2:$D$201,MATCH(B2476,Products!$A$2:$A$201,0))</f>
        <v/>
      </c>
      <c r="G2476" s="2">
        <f>E2476-F2476</f>
        <v/>
      </c>
    </row>
    <row r="2477" ht="15" customHeight="1" s="1">
      <c r="A2477" s="2" t="n">
        <v>52475</v>
      </c>
      <c r="B2477" s="2" t="inlineStr">
        <is>
          <t>SKU-0120</t>
        </is>
      </c>
      <c r="C2477" s="2" t="n">
        <v>1</v>
      </c>
      <c r="D2477" s="2">
        <f>VLOOKUP(B2477,Products!$A$2:$D$201,3,FALSE())</f>
        <v/>
      </c>
      <c r="E2477" s="2">
        <f>C2477*D2477</f>
        <v/>
      </c>
      <c r="F2477" s="2">
        <f>C2477*INDEX(Products!$D$2:$D$201,MATCH(B2477,Products!$A$2:$A$201,0))</f>
        <v/>
      </c>
      <c r="G2477" s="2">
        <f>E2477-F2477</f>
        <v/>
      </c>
    </row>
    <row r="2478" ht="15" customHeight="1" s="1">
      <c r="A2478" s="2" t="n">
        <v>52476</v>
      </c>
      <c r="B2478" s="2" t="inlineStr">
        <is>
          <t>SKU-0006</t>
        </is>
      </c>
      <c r="C2478" s="2" t="n">
        <v>3</v>
      </c>
      <c r="D2478" s="2">
        <f>VLOOKUP(B2478,Products!$A$2:$D$201,3,FALSE())</f>
        <v/>
      </c>
      <c r="E2478" s="2">
        <f>C2478*D2478</f>
        <v/>
      </c>
      <c r="F2478" s="2">
        <f>C2478*INDEX(Products!$D$2:$D$201,MATCH(B2478,Products!$A$2:$A$201,0))</f>
        <v/>
      </c>
      <c r="G2478" s="2">
        <f>E2478-F2478</f>
        <v/>
      </c>
    </row>
    <row r="2479" ht="15" customHeight="1" s="1">
      <c r="A2479" s="2" t="n">
        <v>52477</v>
      </c>
      <c r="B2479" s="2" t="inlineStr">
        <is>
          <t>SKU-0019</t>
        </is>
      </c>
      <c r="C2479" s="2" t="n">
        <v>20</v>
      </c>
      <c r="D2479" s="2">
        <f>VLOOKUP(B2479,Products!$A$2:$D$201,3,FALSE())</f>
        <v/>
      </c>
      <c r="E2479" s="2">
        <f>C2479*D2479</f>
        <v/>
      </c>
      <c r="F2479" s="2">
        <f>C2479*INDEX(Products!$D$2:$D$201,MATCH(B2479,Products!$A$2:$A$201,0))</f>
        <v/>
      </c>
      <c r="G2479" s="2">
        <f>E2479-F2479</f>
        <v/>
      </c>
    </row>
    <row r="2480" ht="15" customHeight="1" s="1">
      <c r="A2480" s="2" t="n">
        <v>52478</v>
      </c>
      <c r="B2480" s="2" t="inlineStr">
        <is>
          <t>SKU-0104</t>
        </is>
      </c>
      <c r="C2480" s="2" t="n">
        <v>2</v>
      </c>
      <c r="D2480" s="2">
        <f>VLOOKUP(B2480,Products!$A$2:$D$201,3,FALSE())</f>
        <v/>
      </c>
      <c r="E2480" s="2">
        <f>C2480*D2480</f>
        <v/>
      </c>
      <c r="F2480" s="2">
        <f>C2480*INDEX(Products!$D$2:$D$201,MATCH(B2480,Products!$A$2:$A$201,0))</f>
        <v/>
      </c>
      <c r="G2480" s="2">
        <f>E2480-F2480</f>
        <v/>
      </c>
    </row>
    <row r="2481" ht="15" customHeight="1" s="1">
      <c r="A2481" s="2" t="n">
        <v>52479</v>
      </c>
      <c r="B2481" s="2" t="inlineStr">
        <is>
          <t>SKU-0153</t>
        </is>
      </c>
      <c r="C2481" s="2" t="n">
        <v>11</v>
      </c>
      <c r="D2481" s="2">
        <f>VLOOKUP(B2481,Products!$A$2:$D$201,3,FALSE())</f>
        <v/>
      </c>
      <c r="E2481" s="2">
        <f>C2481*D2481</f>
        <v/>
      </c>
      <c r="F2481" s="2">
        <f>C2481*INDEX(Products!$D$2:$D$201,MATCH(B2481,Products!$A$2:$A$201,0))</f>
        <v/>
      </c>
      <c r="G2481" s="2">
        <f>E2481-F2481</f>
        <v/>
      </c>
    </row>
    <row r="2482" ht="15" customHeight="1" s="1">
      <c r="A2482" s="2" t="n">
        <v>52480</v>
      </c>
      <c r="B2482" s="2" t="inlineStr">
        <is>
          <t>SKU-0064</t>
        </is>
      </c>
      <c r="C2482" s="2" t="n">
        <v>19</v>
      </c>
      <c r="D2482" s="2">
        <f>VLOOKUP(B2482,Products!$A$2:$D$201,3,FALSE())</f>
        <v/>
      </c>
      <c r="E2482" s="2">
        <f>C2482*D2482</f>
        <v/>
      </c>
      <c r="F2482" s="2">
        <f>C2482*INDEX(Products!$D$2:$D$201,MATCH(B2482,Products!$A$2:$A$201,0))</f>
        <v/>
      </c>
      <c r="G2482" s="2">
        <f>E2482-F2482</f>
        <v/>
      </c>
    </row>
    <row r="2483" ht="15" customHeight="1" s="1">
      <c r="A2483" s="2" t="n">
        <v>52481</v>
      </c>
      <c r="B2483" s="2" t="inlineStr">
        <is>
          <t>SKU-0156</t>
        </is>
      </c>
      <c r="C2483" s="2" t="n">
        <v>6</v>
      </c>
      <c r="D2483" s="2">
        <f>VLOOKUP(B2483,Products!$A$2:$D$201,3,FALSE())</f>
        <v/>
      </c>
      <c r="E2483" s="2">
        <f>C2483*D2483</f>
        <v/>
      </c>
      <c r="F2483" s="2">
        <f>C2483*INDEX(Products!$D$2:$D$201,MATCH(B2483,Products!$A$2:$A$201,0))</f>
        <v/>
      </c>
      <c r="G2483" s="2">
        <f>E2483-F2483</f>
        <v/>
      </c>
    </row>
    <row r="2484" ht="15" customHeight="1" s="1">
      <c r="A2484" s="2" t="n">
        <v>52482</v>
      </c>
      <c r="B2484" s="2" t="inlineStr">
        <is>
          <t>SKU-0041</t>
        </is>
      </c>
      <c r="C2484" s="2" t="n">
        <v>12</v>
      </c>
      <c r="D2484" s="2">
        <f>VLOOKUP(B2484,Products!$A$2:$D$201,3,FALSE())</f>
        <v/>
      </c>
      <c r="E2484" s="2">
        <f>C2484*D2484</f>
        <v/>
      </c>
      <c r="F2484" s="2">
        <f>C2484*INDEX(Products!$D$2:$D$201,MATCH(B2484,Products!$A$2:$A$201,0))</f>
        <v/>
      </c>
      <c r="G2484" s="2">
        <f>E2484-F2484</f>
        <v/>
      </c>
    </row>
    <row r="2485" ht="15" customHeight="1" s="1">
      <c r="A2485" s="2" t="n">
        <v>52483</v>
      </c>
      <c r="B2485" s="2" t="inlineStr">
        <is>
          <t>SKU-0034</t>
        </is>
      </c>
      <c r="C2485" s="2" t="n">
        <v>8</v>
      </c>
      <c r="D2485" s="2">
        <f>VLOOKUP(B2485,Products!$A$2:$D$201,3,FALSE())</f>
        <v/>
      </c>
      <c r="E2485" s="2">
        <f>C2485*D2485</f>
        <v/>
      </c>
      <c r="F2485" s="2">
        <f>C2485*INDEX(Products!$D$2:$D$201,MATCH(B2485,Products!$A$2:$A$201,0))</f>
        <v/>
      </c>
      <c r="G2485" s="2">
        <f>E2485-F2485</f>
        <v/>
      </c>
    </row>
    <row r="2486" ht="15" customHeight="1" s="1">
      <c r="A2486" s="2" t="n">
        <v>52484</v>
      </c>
      <c r="B2486" s="2" t="inlineStr">
        <is>
          <t>SKU-0182</t>
        </is>
      </c>
      <c r="C2486" s="2" t="n">
        <v>17</v>
      </c>
      <c r="D2486" s="2">
        <f>VLOOKUP(B2486,Products!$A$2:$D$201,3,FALSE())</f>
        <v/>
      </c>
      <c r="E2486" s="2">
        <f>C2486*D2486</f>
        <v/>
      </c>
      <c r="F2486" s="2">
        <f>C2486*INDEX(Products!$D$2:$D$201,MATCH(B2486,Products!$A$2:$A$201,0))</f>
        <v/>
      </c>
      <c r="G2486" s="2">
        <f>E2486-F2486</f>
        <v/>
      </c>
    </row>
    <row r="2487" ht="15" customHeight="1" s="1">
      <c r="A2487" s="2" t="n">
        <v>52485</v>
      </c>
      <c r="B2487" s="2" t="inlineStr">
        <is>
          <t>SKU-0107</t>
        </is>
      </c>
      <c r="C2487" s="2" t="n">
        <v>4</v>
      </c>
      <c r="D2487" s="2">
        <f>VLOOKUP(B2487,Products!$A$2:$D$201,3,FALSE())</f>
        <v/>
      </c>
      <c r="E2487" s="2">
        <f>C2487*D2487</f>
        <v/>
      </c>
      <c r="F2487" s="2">
        <f>C2487*INDEX(Products!$D$2:$D$201,MATCH(B2487,Products!$A$2:$A$201,0))</f>
        <v/>
      </c>
      <c r="G2487" s="2">
        <f>E2487-F2487</f>
        <v/>
      </c>
    </row>
    <row r="2488" ht="15" customHeight="1" s="1">
      <c r="A2488" s="2" t="n">
        <v>52486</v>
      </c>
      <c r="B2488" s="2" t="inlineStr">
        <is>
          <t>SKU-0150</t>
        </is>
      </c>
      <c r="C2488" s="2" t="n">
        <v>1</v>
      </c>
      <c r="D2488" s="2">
        <f>VLOOKUP(B2488,Products!$A$2:$D$201,3,FALSE())</f>
        <v/>
      </c>
      <c r="E2488" s="2">
        <f>C2488*D2488</f>
        <v/>
      </c>
      <c r="F2488" s="2">
        <f>C2488*INDEX(Products!$D$2:$D$201,MATCH(B2488,Products!$A$2:$A$201,0))</f>
        <v/>
      </c>
      <c r="G2488" s="2">
        <f>E2488-F2488</f>
        <v/>
      </c>
    </row>
    <row r="2489" ht="15" customHeight="1" s="1">
      <c r="A2489" s="2" t="n">
        <v>52487</v>
      </c>
      <c r="B2489" s="2" t="inlineStr">
        <is>
          <t>SKU-0048</t>
        </is>
      </c>
      <c r="C2489" s="2" t="n">
        <v>4</v>
      </c>
      <c r="D2489" s="2">
        <f>VLOOKUP(B2489,Products!$A$2:$D$201,3,FALSE())</f>
        <v/>
      </c>
      <c r="E2489" s="2">
        <f>C2489*D2489</f>
        <v/>
      </c>
      <c r="F2489" s="2">
        <f>C2489*INDEX(Products!$D$2:$D$201,MATCH(B2489,Products!$A$2:$A$201,0))</f>
        <v/>
      </c>
      <c r="G2489" s="2">
        <f>E2489-F2489</f>
        <v/>
      </c>
    </row>
    <row r="2490" ht="15" customHeight="1" s="1">
      <c r="A2490" s="2" t="n">
        <v>52488</v>
      </c>
      <c r="B2490" s="2" t="inlineStr">
        <is>
          <t>SKU-0125</t>
        </is>
      </c>
      <c r="C2490" s="2" t="n">
        <v>16</v>
      </c>
      <c r="D2490" s="2">
        <f>VLOOKUP(B2490,Products!$A$2:$D$201,3,FALSE())</f>
        <v/>
      </c>
      <c r="E2490" s="2">
        <f>C2490*D2490</f>
        <v/>
      </c>
      <c r="F2490" s="2">
        <f>C2490*INDEX(Products!$D$2:$D$201,MATCH(B2490,Products!$A$2:$A$201,0))</f>
        <v/>
      </c>
      <c r="G2490" s="2">
        <f>E2490-F2490</f>
        <v/>
      </c>
    </row>
    <row r="2491" ht="15" customHeight="1" s="1">
      <c r="A2491" s="2" t="n">
        <v>52489</v>
      </c>
      <c r="B2491" s="2" t="inlineStr">
        <is>
          <t>SKU-0044</t>
        </is>
      </c>
      <c r="C2491" s="2" t="n">
        <v>14</v>
      </c>
      <c r="D2491" s="2">
        <f>VLOOKUP(B2491,Products!$A$2:$D$201,3,FALSE())</f>
        <v/>
      </c>
      <c r="E2491" s="2">
        <f>C2491*D2491</f>
        <v/>
      </c>
      <c r="F2491" s="2">
        <f>C2491*INDEX(Products!$D$2:$D$201,MATCH(B2491,Products!$A$2:$A$201,0))</f>
        <v/>
      </c>
      <c r="G2491" s="2">
        <f>E2491-F2491</f>
        <v/>
      </c>
    </row>
    <row r="2492" ht="15" customHeight="1" s="1">
      <c r="A2492" s="2" t="n">
        <v>52490</v>
      </c>
      <c r="B2492" s="2" t="inlineStr">
        <is>
          <t>SKU-0188</t>
        </is>
      </c>
      <c r="C2492" s="2" t="n">
        <v>9</v>
      </c>
      <c r="D2492" s="2">
        <f>VLOOKUP(B2492,Products!$A$2:$D$201,3,FALSE())</f>
        <v/>
      </c>
      <c r="E2492" s="2">
        <f>C2492*D2492</f>
        <v/>
      </c>
      <c r="F2492" s="2">
        <f>C2492*INDEX(Products!$D$2:$D$201,MATCH(B2492,Products!$A$2:$A$201,0))</f>
        <v/>
      </c>
      <c r="G2492" s="2">
        <f>E2492-F2492</f>
        <v/>
      </c>
    </row>
    <row r="2493" ht="15" customHeight="1" s="1">
      <c r="A2493" s="2" t="n">
        <v>52491</v>
      </c>
      <c r="B2493" s="2" t="inlineStr">
        <is>
          <t>SKU-0020</t>
        </is>
      </c>
      <c r="C2493" s="2" t="n">
        <v>16</v>
      </c>
      <c r="D2493" s="2">
        <f>VLOOKUP(B2493,Products!$A$2:$D$201,3,FALSE())</f>
        <v/>
      </c>
      <c r="E2493" s="2">
        <f>C2493*D2493</f>
        <v/>
      </c>
      <c r="F2493" s="2">
        <f>C2493*INDEX(Products!$D$2:$D$201,MATCH(B2493,Products!$A$2:$A$201,0))</f>
        <v/>
      </c>
      <c r="G2493" s="2">
        <f>E2493-F2493</f>
        <v/>
      </c>
    </row>
    <row r="2494" ht="15" customHeight="1" s="1">
      <c r="A2494" s="2" t="n">
        <v>52492</v>
      </c>
      <c r="B2494" s="2" t="inlineStr">
        <is>
          <t>SKU-0114</t>
        </is>
      </c>
      <c r="C2494" s="2" t="n">
        <v>13</v>
      </c>
      <c r="D2494" s="2">
        <f>VLOOKUP(B2494,Products!$A$2:$D$201,3,FALSE())</f>
        <v/>
      </c>
      <c r="E2494" s="2">
        <f>C2494*D2494</f>
        <v/>
      </c>
      <c r="F2494" s="2">
        <f>C2494*INDEX(Products!$D$2:$D$201,MATCH(B2494,Products!$A$2:$A$201,0))</f>
        <v/>
      </c>
      <c r="G2494" s="2">
        <f>E2494-F2494</f>
        <v/>
      </c>
    </row>
    <row r="2495" ht="15" customHeight="1" s="1">
      <c r="A2495" s="2" t="n">
        <v>52493</v>
      </c>
      <c r="B2495" s="2" t="inlineStr">
        <is>
          <t>SKU-0017</t>
        </is>
      </c>
      <c r="C2495" s="2" t="n">
        <v>9</v>
      </c>
      <c r="D2495" s="2">
        <f>VLOOKUP(B2495,Products!$A$2:$D$201,3,FALSE())</f>
        <v/>
      </c>
      <c r="E2495" s="2">
        <f>C2495*D2495</f>
        <v/>
      </c>
      <c r="F2495" s="2">
        <f>C2495*INDEX(Products!$D$2:$D$201,MATCH(B2495,Products!$A$2:$A$201,0))</f>
        <v/>
      </c>
      <c r="G2495" s="2">
        <f>E2495-F2495</f>
        <v/>
      </c>
    </row>
    <row r="2496" ht="15" customHeight="1" s="1">
      <c r="A2496" s="2" t="n">
        <v>52494</v>
      </c>
      <c r="B2496" s="2" t="inlineStr">
        <is>
          <t>SKU-0077</t>
        </is>
      </c>
      <c r="C2496" s="2" t="n">
        <v>20</v>
      </c>
      <c r="D2496" s="2">
        <f>VLOOKUP(B2496,Products!$A$2:$D$201,3,FALSE())</f>
        <v/>
      </c>
      <c r="E2496" s="2">
        <f>C2496*D2496</f>
        <v/>
      </c>
      <c r="F2496" s="2">
        <f>C2496*INDEX(Products!$D$2:$D$201,MATCH(B2496,Products!$A$2:$A$201,0))</f>
        <v/>
      </c>
      <c r="G2496" s="2">
        <f>E2496-F2496</f>
        <v/>
      </c>
    </row>
    <row r="2497" ht="15" customHeight="1" s="1">
      <c r="A2497" s="2" t="n">
        <v>52495</v>
      </c>
      <c r="B2497" s="2" t="inlineStr">
        <is>
          <t>SKU-0009</t>
        </is>
      </c>
      <c r="C2497" s="2" t="n">
        <v>13</v>
      </c>
      <c r="D2497" s="2">
        <f>VLOOKUP(B2497,Products!$A$2:$D$201,3,FALSE())</f>
        <v/>
      </c>
      <c r="E2497" s="2">
        <f>C2497*D2497</f>
        <v/>
      </c>
      <c r="F2497" s="2">
        <f>C2497*INDEX(Products!$D$2:$D$201,MATCH(B2497,Products!$A$2:$A$201,0))</f>
        <v/>
      </c>
      <c r="G2497" s="2">
        <f>E2497-F2497</f>
        <v/>
      </c>
    </row>
    <row r="2498" ht="15" customHeight="1" s="1">
      <c r="A2498" s="2" t="n">
        <v>52496</v>
      </c>
      <c r="B2498" s="2" t="inlineStr">
        <is>
          <t>SKU-0141</t>
        </is>
      </c>
      <c r="C2498" s="2" t="n">
        <v>17</v>
      </c>
      <c r="D2498" s="2">
        <f>VLOOKUP(B2498,Products!$A$2:$D$201,3,FALSE())</f>
        <v/>
      </c>
      <c r="E2498" s="2">
        <f>C2498*D2498</f>
        <v/>
      </c>
      <c r="F2498" s="2">
        <f>C2498*INDEX(Products!$D$2:$D$201,MATCH(B2498,Products!$A$2:$A$201,0))</f>
        <v/>
      </c>
      <c r="G2498" s="2">
        <f>E2498-F2498</f>
        <v/>
      </c>
    </row>
    <row r="2499" ht="15" customHeight="1" s="1">
      <c r="A2499" s="2" t="n">
        <v>52497</v>
      </c>
      <c r="B2499" s="2" t="inlineStr">
        <is>
          <t>SKU-0063</t>
        </is>
      </c>
      <c r="C2499" s="2" t="n">
        <v>9</v>
      </c>
      <c r="D2499" s="2">
        <f>VLOOKUP(B2499,Products!$A$2:$D$201,3,FALSE())</f>
        <v/>
      </c>
      <c r="E2499" s="2">
        <f>C2499*D2499</f>
        <v/>
      </c>
      <c r="F2499" s="2">
        <f>C2499*INDEX(Products!$D$2:$D$201,MATCH(B2499,Products!$A$2:$A$201,0))</f>
        <v/>
      </c>
      <c r="G2499" s="2">
        <f>E2499-F2499</f>
        <v/>
      </c>
    </row>
    <row r="2500" ht="15" customHeight="1" s="1">
      <c r="A2500" s="2" t="n">
        <v>52498</v>
      </c>
      <c r="B2500" s="2" t="inlineStr">
        <is>
          <t>SKU-0083</t>
        </is>
      </c>
      <c r="C2500" s="2" t="n">
        <v>20</v>
      </c>
      <c r="D2500" s="2">
        <f>VLOOKUP(B2500,Products!$A$2:$D$201,3,FALSE())</f>
        <v/>
      </c>
      <c r="E2500" s="2">
        <f>C2500*D2500</f>
        <v/>
      </c>
      <c r="F2500" s="2">
        <f>C2500*INDEX(Products!$D$2:$D$201,MATCH(B2500,Products!$A$2:$A$201,0))</f>
        <v/>
      </c>
      <c r="G2500" s="2">
        <f>E2500-F2500</f>
        <v/>
      </c>
    </row>
    <row r="2501" ht="15" customHeight="1" s="1">
      <c r="A2501" s="2" t="n">
        <v>52499</v>
      </c>
      <c r="B2501" s="2" t="inlineStr">
        <is>
          <t>SKU-0060</t>
        </is>
      </c>
      <c r="C2501" s="2" t="n">
        <v>13</v>
      </c>
      <c r="D2501" s="2">
        <f>VLOOKUP(B2501,Products!$A$2:$D$201,3,FALSE())</f>
        <v/>
      </c>
      <c r="E2501" s="2">
        <f>C2501*D2501</f>
        <v/>
      </c>
      <c r="F2501" s="2">
        <f>C2501*INDEX(Products!$D$2:$D$201,MATCH(B2501,Products!$A$2:$A$201,0))</f>
        <v/>
      </c>
      <c r="G2501" s="2">
        <f>E2501-F2501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">
      <c r="A1" s="2" t="inlineStr">
        <is>
          <t>metric</t>
        </is>
      </c>
      <c r="B1" s="2" t="inlineStr">
        <is>
          <t>value</t>
        </is>
      </c>
    </row>
    <row r="2" ht="15" customHeight="1" s="1">
      <c r="A2" s="2" t="inlineStr">
        <is>
          <t>Revenue</t>
        </is>
      </c>
      <c r="B2" s="2">
        <f>SUM(Orders!E2:E2501)</f>
        <v/>
      </c>
    </row>
    <row r="3" ht="15" customHeight="1" s="1">
      <c r="A3" s="2" t="inlineStr">
        <is>
          <t>Profit</t>
        </is>
      </c>
      <c r="B3" s="2">
        <f>SUM(Orders!G2:G2501)</f>
        <v/>
      </c>
    </row>
    <row r="4" ht="15" customHeight="1" s="1">
      <c r="A4" s="2" t="inlineStr">
        <is>
          <t>Margin</t>
        </is>
      </c>
      <c r="B4" s="2">
        <f>ROUND(B3/B2,4)</f>
        <v/>
      </c>
    </row>
    <row r="5" ht="15" customHeight="1" s="1">
      <c r="A5" s="2" t="inlineStr">
        <is>
          <t>Top SKU units</t>
        </is>
      </c>
      <c r="B5" s="2">
        <f>MAX(Orders!C2:C2501)</f>
        <v/>
      </c>
    </row>
    <row r="6" ht="15" customHeight="1" s="1">
      <c r="A6" s="2" t="inlineStr">
        <is>
          <t>SKU-0007 revenue</t>
        </is>
      </c>
      <c r="B6" s="2">
        <f>SUMIF(Orders!B2:B2501,"SKU-0007",Orders!E2:E2501)</f>
        <v/>
      </c>
    </row>
    <row r="7" ht="15" customHeight="1" s="1">
      <c r="A7" s="2" t="inlineStr">
        <is>
          <t>Orders &gt; 1000</t>
        </is>
      </c>
      <c r="B7" s="2">
        <f>COUNTIF(Orders!E2:E2501,"&gt;1000")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2026-10-23T18:21:25Z</dcterms:created>
  <dcterms:modified xmlns:dcterms="http://purl.org/dc/terms/" xmlns:xsi="http://www.w3.org/2001/XMLSchema-instance" xsi:type="dcterms:W3CDTF">2026-10-23T18:21:28Z</dcterms:modified>
  <cp:revision>0</cp:revision>
</cp:coreProperties>
</file>